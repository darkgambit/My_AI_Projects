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rips" sheetId="2" state="visible" r:id="rId2"/>
    <sheet name="Expenses" sheetId="3" state="visible" r:id="rId3"/>
    <sheet name="Payroll" sheetId="4" state="visible" r:id="rId4"/>
    <sheet name="Setup" sheetId="5" state="visible" r:id="rId5"/>
    <sheet name="Read Me" sheetId="6" state="visible" r:id="rId6"/>
    <sheet name="Calc" sheetId="7" state="hidden" r:id="rId7"/>
  </sheets>
  <definedNames>
    <definedName name="Reporting_Month">Dashboard!$C$4</definedName>
    <definedName name="Truck_Filter">Dashboard!$F$4</definedName>
    <definedName name="Gross_Fee_Month">Dashboard!$B$8</definedName>
    <definedName name="Cash_Profit_Month">Dashboard!$L$8</definedName>
    <definedName name="Margin_Month">Dashboard!$B$12</definedName>
    <definedName name="Crew_To_Pay">Dashboard!$H$12</definedName>
    <definedName name="Loan_Balance">Dashboard!$J$12</definedName>
    <definedName name="Unpaid_Invoices">Dashboard!$L$12</definedName>
    <definedName name="_xlnm._FilterDatabase" localSheetId="1" hidden="1">'Trips'!$A$4:$X$1004</definedName>
    <definedName name="_xlnm.Print_Titles" localSheetId="1">'Trips'!$4:$4</definedName>
    <definedName name="_xlnm._FilterDatabase" localSheetId="2" hidden="1">'Expenses'!$A$4:$I$1004</definedName>
    <definedName name="_xlnm.Print_Titles" localSheetId="2">'Expenses'!$4:$4</definedName>
  </definedNames>
  <calcPr calcId="124519" fullCalcOnLoad="1"/>
</workbook>
</file>

<file path=xl/styles.xml><?xml version="1.0" encoding="utf-8"?>
<styleSheet xmlns="http://schemas.openxmlformats.org/spreadsheetml/2006/main">
  <numFmts count="6">
    <numFmt numFmtId="164" formatCode="0.0%"/>
    <numFmt numFmtId="165" formatCode="&quot;₱&quot;#,##0;[Red]-&quot;₱&quot;#,##0;&quot;–&quot;"/>
    <numFmt numFmtId="166" formatCode="&quot;₱&quot;#,##0.00;[Red]-&quot;₱&quot;#,##0.00;&quot;–&quot;"/>
    <numFmt numFmtId="167" formatCode="yyyy-mm-dd"/>
    <numFmt numFmtId="168" formatCode="dd mmm yyyy"/>
    <numFmt numFmtId="169" formatCode="mmmm yyyy"/>
  </numFmts>
  <fonts count="52">
    <font>
      <name val="Calibri"/>
      <family val="2"/>
      <color theme="1"/>
      <sz val="11"/>
      <scheme val="minor"/>
    </font>
    <font>
      <name val="Calibri"/>
      <b val="1"/>
      <color rgb="00FFFFFF"/>
      <sz val="18"/>
    </font>
    <font>
      <name val="Calibri"/>
      <i val="1"/>
      <color rgb="00D6E4F0"/>
      <sz val="9.5"/>
    </font>
    <font>
      <name val="Calibri"/>
      <i val="1"/>
      <color rgb="00B7791F"/>
      <sz val="8.5"/>
    </font>
    <font>
      <name val="Calibri"/>
      <b val="1"/>
      <color rgb="00FFFFFF"/>
      <sz val="10.5"/>
    </font>
    <font>
      <name val="Calibri"/>
      <color rgb="001F2937"/>
      <sz val="10"/>
    </font>
    <font>
      <name val="Calibri"/>
      <b val="1"/>
      <color rgb="000B2545"/>
      <sz val="10"/>
    </font>
    <font>
      <name val="Calibri"/>
      <b val="1"/>
      <color rgb="000B2545"/>
      <sz val="11"/>
    </font>
    <font>
      <name val="Calibri"/>
      <i val="1"/>
      <color rgb="00667085"/>
      <sz val="8.5"/>
    </font>
    <font>
      <name val="Calibri"/>
      <b val="1"/>
      <color rgb="000B2545"/>
      <sz val="9"/>
    </font>
    <font>
      <name val="Calibri"/>
      <color rgb="00667085"/>
      <sz val="9"/>
    </font>
    <font>
      <name val="Calibri"/>
      <color rgb="001F2937"/>
      <sz val="9"/>
    </font>
    <font>
      <name val="Calibri"/>
      <b val="1"/>
      <color rgb="000E7C7B"/>
      <sz val="10"/>
    </font>
    <font>
      <name val="Calibri"/>
      <color rgb="00667085"/>
      <sz val="10"/>
    </font>
    <font>
      <name val="Calibri"/>
      <b val="1"/>
      <color rgb="00B42318"/>
      <sz val="10"/>
    </font>
    <font>
      <name val="Calibri"/>
      <color rgb="001F2937"/>
      <sz val="9.5"/>
    </font>
    <font>
      <name val="Calibri"/>
      <b val="1"/>
      <color rgb="00B42318"/>
      <sz val="12"/>
    </font>
    <font>
      <name val="Calibri"/>
      <i val="1"/>
      <color rgb="00667085"/>
      <sz val="9"/>
    </font>
    <font>
      <name val="Calibri"/>
      <b val="1"/>
      <color rgb="00FFFFFF"/>
      <sz val="10"/>
    </font>
    <font>
      <name val="Calibri"/>
      <b val="1"/>
      <color rgb="00FFFFFF"/>
      <sz val="9"/>
    </font>
    <font>
      <name val="Calibri"/>
      <color rgb="00667085"/>
      <sz val="8.5"/>
    </font>
    <font>
      <name val="Calibri"/>
      <b val="1"/>
      <color rgb="000B2545"/>
      <sz val="8"/>
    </font>
    <font>
      <name val="Calibri"/>
      <b val="1"/>
      <color rgb="001F2937"/>
      <sz val="9"/>
    </font>
    <font>
      <name val="Calibri"/>
      <color rgb="00667085"/>
      <sz val="8"/>
    </font>
    <font>
      <name val="Calibri"/>
      <b val="1"/>
      <color rgb="00FFFFFF"/>
      <sz val="8"/>
    </font>
    <font>
      <name val="Calibri"/>
      <b val="1"/>
      <color rgb="00667085"/>
      <sz val="9"/>
    </font>
    <font>
      <name val="Calibri"/>
      <b val="1"/>
      <color rgb="00FFFFFF"/>
      <sz val="8.5"/>
    </font>
    <font>
      <name val="Calibri"/>
      <b val="1"/>
      <color rgb="000B2545"/>
      <sz val="8.5"/>
    </font>
    <font>
      <name val="Calibri"/>
      <b val="1"/>
      <color rgb="00667085"/>
      <sz val="9.5"/>
    </font>
    <font>
      <name val="Calibri"/>
      <b val="1"/>
      <color rgb="00FFFFFF"/>
      <sz val="11"/>
    </font>
    <font>
      <name val="Calibri"/>
      <b val="1"/>
      <color rgb="001F2937"/>
      <sz val="9.5"/>
    </font>
    <font>
      <name val="Calibri"/>
      <b val="1"/>
      <color rgb="000B2545"/>
      <sz val="9.5"/>
    </font>
    <font>
      <name val="Calibri"/>
      <b val="1"/>
      <color rgb="00667085"/>
      <sz val="8"/>
    </font>
    <font>
      <name val="Calibri"/>
      <color rgb="001F2937"/>
      <sz val="8"/>
    </font>
    <font>
      <name val="Calibri"/>
      <b val="1"/>
      <color rgb="00FFFFFF"/>
      <sz val="20"/>
    </font>
    <font>
      <name val="Calibri"/>
      <i val="1"/>
      <color rgb="00D6E4F0"/>
      <sz val="9"/>
    </font>
    <font>
      <name val="Calibri"/>
      <b val="1"/>
      <color rgb="000E7C7B"/>
      <sz val="8.5"/>
      <u val="single"/>
    </font>
    <font>
      <name val="Calibri"/>
      <b val="1"/>
      <color rgb="000B2545"/>
      <sz val="12"/>
    </font>
    <font>
      <name val="Calibri"/>
      <i val="1"/>
      <color rgb="00667085"/>
      <sz val="7.5"/>
    </font>
    <font>
      <name val="Calibri"/>
      <b val="1"/>
      <color rgb="00667085"/>
      <sz val="7.5"/>
    </font>
    <font>
      <name val="Calibri"/>
      <b val="1"/>
      <color rgb="000B2545"/>
      <sz val="19"/>
    </font>
    <font>
      <name val="Calibri"/>
      <b val="1"/>
      <color rgb="00B7791F"/>
      <sz val="19"/>
    </font>
    <font>
      <name val="Calibri"/>
      <b val="1"/>
      <color rgb="000E7C7B"/>
      <sz val="19"/>
    </font>
    <font>
      <name val="Calibri"/>
      <b val="1"/>
      <color rgb="001E6F42"/>
      <sz val="19"/>
    </font>
    <font>
      <name val="Calibri"/>
      <b val="1"/>
      <color rgb="00B42318"/>
      <sz val="19"/>
    </font>
    <font>
      <name val="Calibri"/>
      <b val="1"/>
      <color rgb="00FFFFFF"/>
      <sz val="9.5"/>
    </font>
    <font>
      <name val="Calibri"/>
      <b val="1"/>
      <color rgb="001E6F42"/>
      <sz val="11"/>
    </font>
    <font>
      <name val="Calibri"/>
      <i val="1"/>
      <color rgb="00667085"/>
      <sz val="8"/>
    </font>
    <font>
      <name val="Calibri"/>
      <b val="1"/>
      <color rgb="00667085"/>
      <sz val="8.5"/>
    </font>
    <font>
      <name val="Calibri"/>
      <b val="1"/>
      <color rgb="00B42318"/>
      <sz val="9"/>
    </font>
    <font>
      <name val="Calibri"/>
      <color rgb="00B42318"/>
      <sz val="9"/>
    </font>
    <font>
      <name val="Calibri"/>
      <i val="1"/>
      <color rgb="001F2937"/>
      <sz val="9"/>
    </font>
  </fonts>
  <fills count="14">
    <fill>
      <patternFill/>
    </fill>
    <fill>
      <patternFill patternType="gray125"/>
    </fill>
    <fill>
      <patternFill patternType="solid">
        <fgColor rgb="000B2545"/>
      </patternFill>
    </fill>
    <fill>
      <patternFill patternType="solid">
        <fgColor rgb="0013315C"/>
      </patternFill>
    </fill>
    <fill>
      <patternFill patternType="solid">
        <fgColor rgb="000E7C7B"/>
      </patternFill>
    </fill>
    <fill>
      <patternFill patternType="solid">
        <fgColor rgb="00FDF6E3"/>
      </patternFill>
    </fill>
    <fill>
      <patternFill patternType="solid">
        <fgColor rgb="00EEF1F4"/>
      </patternFill>
    </fill>
    <fill>
      <patternFill patternType="solid">
        <fgColor rgb="00FFFFFF"/>
      </patternFill>
    </fill>
    <fill>
      <patternFill patternType="solid">
        <fgColor rgb="00F4F6F8"/>
      </patternFill>
    </fill>
    <fill>
      <patternFill patternType="solid">
        <fgColor rgb="00FAFBFC"/>
      </patternFill>
    </fill>
    <fill>
      <patternFill patternType="solid">
        <fgColor rgb="00B7791F"/>
      </patternFill>
    </fill>
    <fill>
      <patternFill patternType="solid">
        <fgColor rgb="001E6F42"/>
      </patternFill>
    </fill>
    <fill>
      <patternFill patternType="solid">
        <fgColor rgb="00E6F4EA"/>
      </patternFill>
    </fill>
    <fill>
      <patternFill patternType="solid">
        <fgColor rgb="00B42318"/>
      </patternFill>
    </fill>
  </fills>
  <borders count="19">
    <border>
      <left/>
      <right/>
      <top/>
      <bottom/>
      <diagonal/>
    </border>
    <border>
      <left style="thin">
        <color rgb="00D5DBE1"/>
      </left>
      <right style="thin">
        <color rgb="00D5DBE1"/>
      </right>
      <top style="thin">
        <color rgb="00D5DBE1"/>
      </top>
      <bottom style="thin">
        <color rgb="00D5DBE1"/>
      </bottom>
    </border>
    <border>
      <left/>
      <right/>
      <top style="thin">
        <color rgb="00D5DBE1"/>
      </top>
      <bottom/>
      <diagonal/>
    </border>
    <border>
      <left/>
      <right style="thin">
        <color rgb="00D5DBE1"/>
      </right>
      <top style="thin">
        <color rgb="00D5DBE1"/>
      </top>
      <bottom/>
      <diagonal/>
    </border>
    <border>
      <left/>
      <right/>
      <top style="thin">
        <color rgb="00D5DBE1"/>
      </top>
      <bottom style="thin">
        <color rgb="00D5DBE1"/>
      </bottom>
      <diagonal/>
    </border>
    <border>
      <left/>
      <right style="thin">
        <color rgb="00D5DBE1"/>
      </right>
      <top style="thin">
        <color rgb="00D5DBE1"/>
      </top>
      <bottom style="thin">
        <color rgb="00D5DBE1"/>
      </bottom>
      <diagonal/>
    </border>
    <border>
      <top style="thin">
        <color rgb="00D5DBE1"/>
      </top>
      <bottom style="thin">
        <color rgb="00D5DBE1"/>
      </bottom>
    </border>
    <border>
      <left style="thin">
        <color rgb="00D5DBE1"/>
      </left>
    </border>
    <border>
      <left style="thin">
        <color rgb="00FFFFFF"/>
      </left>
      <right style="thin">
        <color rgb="00FFFFFF"/>
      </right>
      <top style="thin">
        <color rgb="000B2545"/>
      </top>
      <bottom style="thin">
        <color rgb="000B2545"/>
      </bottom>
    </border>
    <border>
      <bottom style="thin">
        <color rgb="00E8ECEF"/>
      </bottom>
    </border>
    <border>
      <left style="thin">
        <color rgb="00FFFFFF"/>
      </left>
      <right style="thin">
        <color rgb="00FFFFFF"/>
      </right>
      <top style="thin">
        <color rgb="001E6F42"/>
      </top>
      <bottom style="thin">
        <color rgb="001E6F42"/>
      </bottom>
    </border>
    <border>
      <top style="thin">
        <color rgb="001E6F42"/>
      </top>
      <bottom style="thin">
        <color rgb="00D5DBE1"/>
      </bottom>
    </border>
    <border>
      <left style="thin">
        <color rgb="00B7791F"/>
      </left>
      <right style="thin">
        <color rgb="00B7791F"/>
      </right>
      <top style="thin">
        <color rgb="00B7791F"/>
      </top>
      <bottom style="thin">
        <color rgb="00B7791F"/>
      </bottom>
    </border>
    <border>
      <left style="thin">
        <color rgb="00D5DBE1"/>
      </left>
      <right style="thin">
        <color rgb="00D5DBE1"/>
      </right>
      <top style="thin">
        <color rgb="00D5DBE1"/>
      </top>
    </border>
    <border>
      <left style="thin">
        <color rgb="00D5DBE1"/>
      </left>
      <right style="thin">
        <color rgb="00D5DBE1"/>
      </right>
    </border>
    <border>
      <left style="thin">
        <color rgb="00D5DBE1"/>
      </left>
      <right style="thin">
        <color rgb="00D5DBE1"/>
      </right>
      <bottom style="thin">
        <color rgb="00D5DBE1"/>
      </bottom>
    </border>
    <border>
      <bottom style="thin">
        <color rgb="00D5DBE1"/>
      </bottom>
    </border>
    <border>
      <top style="thin">
        <color rgb="00E8ECEF"/>
      </top>
      <bottom style="thin">
        <color rgb="00E8ECEF"/>
      </bottom>
    </border>
    <border>
      <top style="thin">
        <color rgb="0013315C"/>
      </top>
      <bottom style="thin">
        <color rgb="00E8ECEF"/>
      </bottom>
    </border>
  </borders>
  <cellStyleXfs count="1">
    <xf numFmtId="0" fontId="0" fillId="0" borderId="0"/>
  </cellStyleXfs>
  <cellXfs count="205">
    <xf numFmtId="0" fontId="0" fillId="0" borderId="0" pivotButton="0" quotePrefix="0" xfId="0"/>
    <xf numFmtId="0" fontId="34" fillId="2" borderId="0" applyAlignment="1" pivotButton="0" quotePrefix="0" xfId="0">
      <alignment horizontal="left" vertical="center" indent="1"/>
    </xf>
    <xf numFmtId="0" fontId="35" fillId="3" borderId="0" applyAlignment="1" pivotButton="0" quotePrefix="0" xfId="0">
      <alignment horizontal="left" vertical="center" indent="1"/>
    </xf>
    <xf numFmtId="0" fontId="0" fillId="7" borderId="0" pivotButton="0" quotePrefix="0" xfId="0"/>
    <xf numFmtId="0" fontId="32" fillId="0" borderId="0" applyAlignment="1" pivotButton="0" quotePrefix="0" xfId="0">
      <alignment horizontal="right" vertical="center"/>
    </xf>
    <xf numFmtId="0" fontId="36" fillId="0" borderId="0" applyAlignment="1" pivotButton="0" quotePrefix="0" xfId="0">
      <alignment horizontal="center" vertical="center"/>
    </xf>
    <xf numFmtId="169" fontId="37" fillId="5" borderId="12" applyAlignment="1" pivotButton="0" quotePrefix="0" xfId="0">
      <alignment horizontal="center" vertical="center"/>
    </xf>
    <xf numFmtId="0" fontId="38" fillId="0" borderId="0" applyAlignment="1" pivotButton="0" quotePrefix="0" xfId="0">
      <alignment horizontal="left" vertical="center"/>
    </xf>
    <xf numFmtId="0" fontId="37" fillId="5" borderId="12" applyAlignment="1" pivotButton="0" quotePrefix="0" xfId="0">
      <alignment horizontal="center" vertical="center"/>
    </xf>
    <xf numFmtId="0" fontId="8" fillId="0" borderId="0" applyAlignment="1" pivotButton="0" quotePrefix="0" xfId="0">
      <alignment horizontal="left" vertical="center"/>
    </xf>
    <xf numFmtId="0" fontId="39" fillId="8" borderId="13" applyAlignment="1" pivotButton="0" quotePrefix="0" xfId="0">
      <alignment horizontal="center" vertical="center"/>
    </xf>
    <xf numFmtId="0" fontId="0" fillId="0" borderId="13" pivotButton="0" quotePrefix="0" xfId="0"/>
    <xf numFmtId="165" fontId="40" fillId="0" borderId="14" applyAlignment="1" pivotButton="0" quotePrefix="0" xfId="0">
      <alignment horizontal="center" vertical="center"/>
    </xf>
    <xf numFmtId="0" fontId="0" fillId="0" borderId="14" pivotButton="0" quotePrefix="0" xfId="0"/>
    <xf numFmtId="165" fontId="41" fillId="0" borderId="14" applyAlignment="1" pivotButton="0" quotePrefix="0" xfId="0">
      <alignment horizontal="center" vertical="center"/>
    </xf>
    <xf numFmtId="165" fontId="42" fillId="0" borderId="14" applyAlignment="1" pivotButton="0" quotePrefix="0" xfId="0">
      <alignment horizontal="center" vertical="center"/>
    </xf>
    <xf numFmtId="165" fontId="43" fillId="0" borderId="14" applyAlignment="1" pivotButton="0" quotePrefix="0" xfId="0">
      <alignment horizontal="center" vertical="center"/>
    </xf>
    <xf numFmtId="0" fontId="38" fillId="0" borderId="15" applyAlignment="1" pivotButton="0" quotePrefix="0" xfId="0">
      <alignment horizontal="center" vertical="center"/>
    </xf>
    <xf numFmtId="0" fontId="0" fillId="0" borderId="15" pivotButton="0" quotePrefix="0" xfId="0"/>
    <xf numFmtId="164" fontId="43" fillId="0" borderId="14" applyAlignment="1" pivotButton="0" quotePrefix="0" xfId="0">
      <alignment horizontal="center" vertical="center"/>
    </xf>
    <xf numFmtId="1" fontId="40" fillId="0" borderId="14" applyAlignment="1" pivotButton="0" quotePrefix="0" xfId="0">
      <alignment horizontal="center" vertical="center"/>
    </xf>
    <xf numFmtId="4" fontId="40" fillId="0" borderId="14" applyAlignment="1" pivotButton="0" quotePrefix="0" xfId="0">
      <alignment horizontal="center" vertical="center"/>
    </xf>
    <xf numFmtId="165" fontId="44" fillId="0" borderId="14" applyAlignment="1" pivotButton="0" quotePrefix="0" xfId="0">
      <alignment horizontal="center" vertical="center"/>
    </xf>
    <xf numFmtId="0" fontId="45" fillId="3" borderId="0" applyAlignment="1" pivotButton="0" quotePrefix="0" xfId="0">
      <alignment horizontal="left" vertical="center" indent="1"/>
    </xf>
    <xf numFmtId="0" fontId="32" fillId="0" borderId="16" applyAlignment="1" pivotButton="0" quotePrefix="0" xfId="0">
      <alignment horizontal="left" vertical="center" indent="1"/>
    </xf>
    <xf numFmtId="0" fontId="0" fillId="0" borderId="16" pivotButton="0" quotePrefix="0" xfId="0"/>
    <xf numFmtId="0" fontId="32" fillId="0" borderId="16" applyAlignment="1" pivotButton="0" quotePrefix="0" xfId="0">
      <alignment horizontal="right" vertical="center" indent="1"/>
    </xf>
    <xf numFmtId="0" fontId="15" fillId="7" borderId="17" applyAlignment="1" pivotButton="0" quotePrefix="0" xfId="0">
      <alignment horizontal="left" vertical="center" indent="1"/>
    </xf>
    <xf numFmtId="0" fontId="0" fillId="7" borderId="17" pivotButton="0" quotePrefix="0" xfId="0"/>
    <xf numFmtId="166" fontId="15" fillId="7" borderId="17" applyAlignment="1" pivotButton="0" quotePrefix="0" xfId="0">
      <alignment horizontal="right" vertical="center" indent="1"/>
    </xf>
    <xf numFmtId="164" fontId="20" fillId="7" borderId="17" applyAlignment="1" pivotButton="0" quotePrefix="0" xfId="0">
      <alignment horizontal="right" vertical="center" indent="1"/>
    </xf>
    <xf numFmtId="0" fontId="38" fillId="7" borderId="17" applyAlignment="1" pivotButton="0" quotePrefix="0" xfId="0">
      <alignment horizontal="left" vertical="center" indent="1"/>
    </xf>
    <xf numFmtId="0" fontId="15" fillId="7" borderId="17" applyAlignment="1" pivotButton="0" quotePrefix="0" xfId="0">
      <alignment horizontal="left" vertical="center" indent="2"/>
    </xf>
    <xf numFmtId="0" fontId="31" fillId="8" borderId="18" applyAlignment="1" pivotButton="0" quotePrefix="0" xfId="0">
      <alignment horizontal="left" vertical="center" indent="2"/>
    </xf>
    <xf numFmtId="0" fontId="0" fillId="8" borderId="18" pivotButton="0" quotePrefix="0" xfId="0"/>
    <xf numFmtId="166" fontId="31" fillId="8" borderId="18" applyAlignment="1" pivotButton="0" quotePrefix="0" xfId="0">
      <alignment horizontal="right" vertical="center" indent="1"/>
    </xf>
    <xf numFmtId="164" fontId="20" fillId="8" borderId="18" applyAlignment="1" pivotButton="0" quotePrefix="0" xfId="0">
      <alignment horizontal="right" vertical="center" indent="1"/>
    </xf>
    <xf numFmtId="0" fontId="38" fillId="8" borderId="18" applyAlignment="1" pivotButton="0" quotePrefix="0" xfId="0">
      <alignment horizontal="left" vertical="center" indent="1"/>
    </xf>
    <xf numFmtId="0" fontId="46" fillId="12" borderId="18" applyAlignment="1" pivotButton="0" quotePrefix="0" xfId="0">
      <alignment horizontal="left" vertical="center" indent="2"/>
    </xf>
    <xf numFmtId="0" fontId="0" fillId="12" borderId="18" pivotButton="0" quotePrefix="0" xfId="0"/>
    <xf numFmtId="166" fontId="46" fillId="12" borderId="18" applyAlignment="1" pivotButton="0" quotePrefix="0" xfId="0">
      <alignment horizontal="right" vertical="center" indent="1"/>
    </xf>
    <xf numFmtId="164" fontId="20" fillId="12" borderId="18" applyAlignment="1" pivotButton="0" quotePrefix="0" xfId="0">
      <alignment horizontal="right" vertical="center" indent="1"/>
    </xf>
    <xf numFmtId="0" fontId="38" fillId="12" borderId="18" applyAlignment="1" pivotButton="0" quotePrefix="0" xfId="0">
      <alignment horizontal="left" vertical="center" indent="1"/>
    </xf>
    <xf numFmtId="164" fontId="15" fillId="7" borderId="17" applyAlignment="1" pivotButton="0" quotePrefix="0" xfId="0">
      <alignment horizontal="right" vertical="center" indent="1"/>
    </xf>
    <xf numFmtId="0" fontId="39" fillId="0" borderId="16" applyAlignment="1" pivotButton="0" quotePrefix="0" xfId="0">
      <alignment horizontal="center" vertical="center" wrapText="1"/>
    </xf>
    <xf numFmtId="0" fontId="39" fillId="0" borderId="16" applyAlignment="1" pivotButton="0" quotePrefix="0" xfId="0">
      <alignment horizontal="left" vertical="center" indent="1"/>
    </xf>
    <xf numFmtId="0" fontId="9" fillId="0" borderId="9" applyAlignment="1" pivotButton="0" quotePrefix="0" xfId="0">
      <alignment horizontal="left" vertical="center" indent="1"/>
    </xf>
    <xf numFmtId="1" fontId="11" fillId="0" borderId="9" applyAlignment="1" pivotButton="0" quotePrefix="0" xfId="0">
      <alignment horizontal="center" vertical="center" indent="1"/>
    </xf>
    <xf numFmtId="4" fontId="11" fillId="0" borderId="9" applyAlignment="1" pivotButton="0" quotePrefix="0" xfId="0">
      <alignment horizontal="center" vertical="center" indent="1"/>
    </xf>
    <xf numFmtId="166" fontId="11" fillId="0" borderId="9" applyAlignment="1" pivotButton="0" quotePrefix="0" xfId="0">
      <alignment horizontal="right" vertical="center" indent="1"/>
    </xf>
    <xf numFmtId="164" fontId="11" fillId="0" borderId="9" applyAlignment="1" pivotButton="0" quotePrefix="0" xfId="0">
      <alignment horizontal="center" vertical="center" indent="1"/>
    </xf>
    <xf numFmtId="0" fontId="0" fillId="0" borderId="9" pivotButton="0" quotePrefix="0" xfId="0"/>
    <xf numFmtId="0" fontId="19" fillId="13" borderId="0" applyAlignment="1" pivotButton="0" quotePrefix="0" xfId="0">
      <alignment horizontal="left" vertical="center" indent="1"/>
    </xf>
    <xf numFmtId="0" fontId="0" fillId="13" borderId="0" pivotButton="0" quotePrefix="0" xfId="0"/>
    <xf numFmtId="166" fontId="19" fillId="13" borderId="0" applyAlignment="1" pivotButton="0" quotePrefix="0" xfId="0">
      <alignment horizontal="right" vertical="center" indent="1"/>
    </xf>
    <xf numFmtId="1" fontId="19" fillId="13" borderId="0" applyAlignment="1" pivotButton="0" quotePrefix="0" xfId="0">
      <alignment horizontal="center" vertical="center" indent="1"/>
    </xf>
    <xf numFmtId="164" fontId="19" fillId="13" borderId="0" applyAlignment="1" pivotButton="0" quotePrefix="0" xfId="0">
      <alignment horizontal="center" vertical="center" indent="1"/>
    </xf>
    <xf numFmtId="0" fontId="19" fillId="4" borderId="0" pivotButton="0" quotePrefix="0" xfId="0"/>
    <xf numFmtId="1" fontId="19" fillId="4" borderId="0" applyAlignment="1" pivotButton="0" quotePrefix="0" xfId="0">
      <alignment horizontal="center" vertical="center"/>
    </xf>
    <xf numFmtId="4" fontId="19" fillId="4" borderId="0" applyAlignment="1" pivotButton="0" quotePrefix="0" xfId="0">
      <alignment horizontal="center" vertical="center"/>
    </xf>
    <xf numFmtId="166" fontId="19" fillId="4" borderId="0" applyAlignment="1" pivotButton="0" quotePrefix="0" xfId="0">
      <alignment horizontal="center" vertical="center"/>
    </xf>
    <xf numFmtId="164" fontId="19" fillId="4" borderId="0" applyAlignment="1" pivotButton="0" quotePrefix="0" xfId="0">
      <alignment horizontal="center" vertical="center"/>
    </xf>
    <xf numFmtId="164" fontId="11" fillId="0" borderId="9" applyAlignment="1" pivotButton="0" quotePrefix="0" xfId="0">
      <alignment horizontal="center" vertical="center"/>
    </xf>
    <xf numFmtId="0" fontId="47" fillId="0" borderId="9" applyAlignment="1" pivotButton="0" quotePrefix="0" xfId="0">
      <alignment horizontal="left" vertical="center" indent="1"/>
    </xf>
    <xf numFmtId="0" fontId="19" fillId="10" borderId="0" applyAlignment="1" pivotButton="0" quotePrefix="0" xfId="0">
      <alignment horizontal="left" vertical="center" indent="1"/>
    </xf>
    <xf numFmtId="0" fontId="0" fillId="10" borderId="0" pivotButton="0" quotePrefix="0" xfId="0"/>
    <xf numFmtId="166" fontId="19" fillId="10" borderId="0" applyAlignment="1" pivotButton="0" quotePrefix="0" xfId="0">
      <alignment horizontal="right" vertical="center" indent="1"/>
    </xf>
    <xf numFmtId="164" fontId="19" fillId="10" borderId="0" applyAlignment="1" pivotButton="0" quotePrefix="0" xfId="0">
      <alignment horizontal="center" vertical="center"/>
    </xf>
    <xf numFmtId="0" fontId="11" fillId="0" borderId="9" applyAlignment="1" pivotButton="0" quotePrefix="0" xfId="0">
      <alignment horizontal="center" vertical="center"/>
    </xf>
    <xf numFmtId="1" fontId="11" fillId="0" borderId="9" applyAlignment="1" pivotButton="0" quotePrefix="0" xfId="0">
      <alignment horizontal="center" vertical="center"/>
    </xf>
    <xf numFmtId="166" fontId="9" fillId="0" borderId="9" applyAlignment="1" pivotButton="0" quotePrefix="0" xfId="0">
      <alignment horizontal="right" vertical="center" indent="1"/>
    </xf>
    <xf numFmtId="0" fontId="48" fillId="0" borderId="9" applyAlignment="1" pivotButton="0" quotePrefix="0" xfId="0">
      <alignment horizontal="center" vertical="center"/>
    </xf>
    <xf numFmtId="0" fontId="19" fillId="11" borderId="0" pivotButton="0" quotePrefix="0" xfId="0"/>
    <xf numFmtId="0" fontId="0" fillId="11" borderId="0" pivotButton="0" quotePrefix="0" xfId="0"/>
    <xf numFmtId="1" fontId="19" fillId="11" borderId="0" applyAlignment="1" pivotButton="0" quotePrefix="0" xfId="0">
      <alignment horizontal="center" vertical="center" indent="1"/>
    </xf>
    <xf numFmtId="166" fontId="19" fillId="11" borderId="0" applyAlignment="1" pivotButton="0" quotePrefix="0" xfId="0">
      <alignment horizontal="right" vertical="center" indent="1"/>
    </xf>
    <xf numFmtId="0" fontId="47" fillId="0" borderId="0" applyAlignment="1" pivotButton="0" quotePrefix="0" xfId="0">
      <alignment horizontal="left" vertical="center"/>
    </xf>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27" fillId="6" borderId="0" applyAlignment="1" pivotButton="0" quotePrefix="0" xfId="0">
      <alignment horizontal="left" vertical="center" indent="1"/>
    </xf>
    <xf numFmtId="0" fontId="27" fillId="6" borderId="0" applyAlignment="1" pivotButton="0" quotePrefix="0" xfId="0">
      <alignment horizontal="center" vertical="center"/>
    </xf>
    <xf numFmtId="4" fontId="27" fillId="6" borderId="0" applyAlignment="1" pivotButton="0" quotePrefix="0" xfId="0">
      <alignment horizontal="center" vertical="center"/>
    </xf>
    <xf numFmtId="165" fontId="27" fillId="6" borderId="0" applyAlignment="1" pivotButton="0" quotePrefix="0" xfId="0">
      <alignment horizontal="right" vertical="center" indent="1"/>
    </xf>
    <xf numFmtId="0" fontId="26" fillId="4" borderId="8" applyAlignment="1" pivotButton="0" quotePrefix="0" xfId="0">
      <alignment horizontal="center" vertical="center" wrapText="1"/>
    </xf>
    <xf numFmtId="0" fontId="26" fillId="3" borderId="8" applyAlignment="1" pivotButton="0" quotePrefix="0" xfId="0">
      <alignment horizontal="center" vertical="center" wrapText="1"/>
    </xf>
    <xf numFmtId="168" fontId="15" fillId="7" borderId="9" applyAlignment="1" pivotButton="0" quotePrefix="0" xfId="0">
      <alignment horizontal="center" vertical="center"/>
    </xf>
    <xf numFmtId="0" fontId="15" fillId="7" borderId="9" applyAlignment="1" pivotButton="0" quotePrefix="0" xfId="0">
      <alignment horizontal="center" vertical="center"/>
    </xf>
    <xf numFmtId="0" fontId="15" fillId="7" borderId="9" applyAlignment="1" pivotButton="0" quotePrefix="0" xfId="0">
      <alignment horizontal="left" vertical="center"/>
    </xf>
    <xf numFmtId="4" fontId="15" fillId="7" borderId="9" applyAlignment="1" pivotButton="0" quotePrefix="0" xfId="0">
      <alignment horizontal="right" vertical="center"/>
    </xf>
    <xf numFmtId="166" fontId="28" fillId="6" borderId="9" applyAlignment="1" pivotButton="0" quotePrefix="0" xfId="0">
      <alignment horizontal="right" vertical="center"/>
    </xf>
    <xf numFmtId="164" fontId="15" fillId="7" borderId="9" applyAlignment="1" pivotButton="0" quotePrefix="0" xfId="0">
      <alignment horizontal="right" vertical="center"/>
    </xf>
    <xf numFmtId="166" fontId="15" fillId="7" borderId="9" applyAlignment="1" pivotButton="0" quotePrefix="0" xfId="0">
      <alignment horizontal="right" vertical="center"/>
    </xf>
    <xf numFmtId="0" fontId="23" fillId="0" borderId="0" pivotButton="0" quotePrefix="0" xfId="0"/>
    <xf numFmtId="168" fontId="15" fillId="9" borderId="9" applyAlignment="1" pivotButton="0" quotePrefix="0" xfId="0">
      <alignment horizontal="center" vertical="center"/>
    </xf>
    <xf numFmtId="0" fontId="15" fillId="9" borderId="9" applyAlignment="1" pivotButton="0" quotePrefix="0" xfId="0">
      <alignment horizontal="center" vertical="center"/>
    </xf>
    <xf numFmtId="0" fontId="15" fillId="9" borderId="9" applyAlignment="1" pivotButton="0" quotePrefix="0" xfId="0">
      <alignment horizontal="left" vertical="center"/>
    </xf>
    <xf numFmtId="4" fontId="15" fillId="9" borderId="9" applyAlignment="1" pivotButton="0" quotePrefix="0" xfId="0">
      <alignment horizontal="right" vertical="center"/>
    </xf>
    <xf numFmtId="164" fontId="15" fillId="9" borderId="9" applyAlignment="1" pivotButton="0" quotePrefix="0" xfId="0">
      <alignment horizontal="right" vertical="center"/>
    </xf>
    <xf numFmtId="166" fontId="15" fillId="9" borderId="9" applyAlignment="1" pivotButton="0" quotePrefix="0" xfId="0">
      <alignment horizontal="right" vertical="center"/>
    </xf>
    <xf numFmtId="0" fontId="26" fillId="10" borderId="8" applyAlignment="1" pivotButton="0" quotePrefix="0" xfId="0">
      <alignment horizontal="center" vertical="center" wrapText="1"/>
    </xf>
    <xf numFmtId="0" fontId="28" fillId="6" borderId="9" applyAlignment="1" pivotButton="0" quotePrefix="0" xfId="0">
      <alignment horizontal="right" vertical="center"/>
    </xf>
    <xf numFmtId="0" fontId="26" fillId="11" borderId="10" applyAlignment="1" pivotButton="0" quotePrefix="0" xfId="0">
      <alignment horizontal="center" vertical="center" wrapText="1"/>
    </xf>
    <xf numFmtId="0" fontId="29" fillId="4" borderId="0" applyAlignment="1" pivotButton="0" quotePrefix="0" xfId="0">
      <alignment horizontal="left" vertical="center" indent="1"/>
    </xf>
    <xf numFmtId="0" fontId="31" fillId="0" borderId="0" applyAlignment="1" pivotButton="0" quotePrefix="0" xfId="0">
      <alignment horizontal="left" vertical="center" indent="1"/>
    </xf>
    <xf numFmtId="0" fontId="0" fillId="0" borderId="0" applyAlignment="1" pivotButton="0" quotePrefix="0" xfId="0">
      <alignment horizontal="center" vertical="center"/>
    </xf>
    <xf numFmtId="1" fontId="15" fillId="0" borderId="0" applyAlignment="1" pivotButton="0" quotePrefix="0" xfId="0">
      <alignment horizontal="center" vertical="center"/>
    </xf>
    <xf numFmtId="165" fontId="15" fillId="0" borderId="0" applyAlignment="1" pivotButton="0" quotePrefix="0" xfId="0">
      <alignment horizontal="right" vertical="center"/>
    </xf>
    <xf numFmtId="166" fontId="30" fillId="0" borderId="0" applyAlignment="1" pivotButton="0" quotePrefix="0" xfId="0">
      <alignment horizontal="right" vertical="center"/>
    </xf>
    <xf numFmtId="166" fontId="15" fillId="0" borderId="0" applyAlignment="1" pivotButton="0" quotePrefix="0" xfId="0">
      <alignment horizontal="right" vertical="center"/>
    </xf>
    <xf numFmtId="166" fontId="31" fillId="0" borderId="0" applyAlignment="1" pivotButton="0" quotePrefix="0" xfId="0">
      <alignment horizontal="right" vertical="center"/>
    </xf>
    <xf numFmtId="0" fontId="25" fillId="0" borderId="0" applyAlignment="1" pivotButton="0" quotePrefix="0" xfId="0">
      <alignment horizontal="center" vertical="center"/>
    </xf>
    <xf numFmtId="167" fontId="0" fillId="0" borderId="0" pivotButton="0" quotePrefix="0" xfId="0"/>
    <xf numFmtId="0" fontId="31" fillId="12" borderId="11" applyAlignment="1" pivotButton="0" quotePrefix="0" xfId="0">
      <alignment horizontal="left" vertical="center" indent="1"/>
    </xf>
    <xf numFmtId="0" fontId="0" fillId="12" borderId="11" pivotButton="0" quotePrefix="0" xfId="0"/>
    <xf numFmtId="1" fontId="31" fillId="12" borderId="11" applyAlignment="1" pivotButton="0" quotePrefix="0" xfId="0">
      <alignment horizontal="center" vertical="center"/>
    </xf>
    <xf numFmtId="165" fontId="31" fillId="12" borderId="11" applyAlignment="1" pivotButton="0" quotePrefix="0" xfId="0">
      <alignment horizontal="right" vertical="center"/>
    </xf>
    <xf numFmtId="166" fontId="31" fillId="12" borderId="11" applyAlignment="1" pivotButton="0" quotePrefix="0" xfId="0">
      <alignment horizontal="right" vertical="center"/>
    </xf>
    <xf numFmtId="0" fontId="0" fillId="0" borderId="11" pivotButton="0" quotePrefix="0" xfId="0"/>
    <xf numFmtId="0" fontId="4" fillId="4" borderId="0" applyAlignment="1" pivotButton="0" quotePrefix="0" xfId="0">
      <alignment horizontal="left" vertical="center" indent="1"/>
    </xf>
    <xf numFmtId="0" fontId="5" fillId="0" borderId="0" applyAlignment="1" pivotButton="0" quotePrefix="0" xfId="0">
      <alignment horizontal="left" vertical="center" indent="1"/>
    </xf>
    <xf numFmtId="0" fontId="6" fillId="5" borderId="1" applyAlignment="1" pivotButton="0" quotePrefix="0" xfId="0">
      <alignment horizontal="left" vertical="center" indent="1"/>
    </xf>
    <xf numFmtId="0" fontId="0" fillId="0" borderId="4" pivotButton="0" quotePrefix="0" xfId="0"/>
    <xf numFmtId="0" fontId="0" fillId="0" borderId="5" pivotButton="0" quotePrefix="0" xfId="0"/>
    <xf numFmtId="164" fontId="7" fillId="5" borderId="1" applyAlignment="1" pivotButton="0" quotePrefix="0" xfId="0">
      <alignment horizontal="center" vertical="center"/>
    </xf>
    <xf numFmtId="0" fontId="8" fillId="0" borderId="0" applyAlignment="1" pivotButton="0" quotePrefix="0" xfId="0">
      <alignment horizontal="left" vertical="center" indent="1"/>
    </xf>
    <xf numFmtId="165" fontId="7" fillId="5" borderId="1" applyAlignment="1" pivotButton="0" quotePrefix="0" xfId="0">
      <alignment horizontal="center" vertical="center"/>
    </xf>
    <xf numFmtId="0" fontId="9" fillId="6" borderId="6" applyAlignment="1" pivotButton="0" quotePrefix="0" xfId="0">
      <alignment horizontal="center" vertical="center" wrapText="1"/>
    </xf>
    <xf numFmtId="0" fontId="5" fillId="7" borderId="7" applyAlignment="1" pivotButton="0" quotePrefix="0" xfId="0">
      <alignment horizontal="left" vertical="center" indent="1"/>
    </xf>
    <xf numFmtId="166" fontId="5" fillId="5" borderId="7" applyAlignment="1" pivotButton="0" quotePrefix="0" xfId="0">
      <alignment horizontal="right" vertical="center" indent="1"/>
    </xf>
    <xf numFmtId="164" fontId="10" fillId="7" borderId="7" applyAlignment="1" pivotButton="0" quotePrefix="0" xfId="0">
      <alignment horizontal="center" vertical="center"/>
    </xf>
    <xf numFmtId="165" fontId="10" fillId="7" borderId="7" applyAlignment="1" pivotButton="0" quotePrefix="0" xfId="0">
      <alignment horizontal="right" vertical="center" indent="1"/>
    </xf>
    <xf numFmtId="0" fontId="5" fillId="8" borderId="7" applyAlignment="1" pivotButton="0" quotePrefix="0" xfId="0">
      <alignment horizontal="left" vertical="center" indent="1"/>
    </xf>
    <xf numFmtId="164" fontId="10" fillId="8" borderId="7" applyAlignment="1" pivotButton="0" quotePrefix="0" xfId="0">
      <alignment horizontal="center" vertical="center"/>
    </xf>
    <xf numFmtId="165" fontId="10" fillId="8" borderId="7" applyAlignment="1" pivotButton="0" quotePrefix="0" xfId="0">
      <alignment horizontal="right" vertical="center" indent="1"/>
    </xf>
    <xf numFmtId="166" fontId="5" fillId="8" borderId="7" applyAlignment="1" pivotButton="0" quotePrefix="0" xfId="0">
      <alignment horizontal="right" vertical="center" indent="1"/>
    </xf>
    <xf numFmtId="166" fontId="5" fillId="7" borderId="7" applyAlignment="1" pivotButton="0" quotePrefix="0" xfId="0">
      <alignment horizontal="right" vertical="center" indent="1"/>
    </xf>
    <xf numFmtId="4" fontId="5" fillId="7" borderId="7" applyAlignment="1" pivotButton="0" quotePrefix="0" xfId="0">
      <alignment horizontal="center" vertical="center"/>
    </xf>
    <xf numFmtId="4" fontId="5" fillId="8" borderId="7" applyAlignment="1" pivotButton="0" quotePrefix="0" xfId="0">
      <alignment horizontal="center" vertical="center"/>
    </xf>
    <xf numFmtId="0" fontId="5" fillId="7" borderId="7" applyAlignment="1" pivotButton="0" quotePrefix="0" xfId="0">
      <alignment horizontal="center" vertical="center"/>
    </xf>
    <xf numFmtId="164" fontId="5" fillId="7" borderId="7" applyAlignment="1" pivotButton="0" quotePrefix="0" xfId="0">
      <alignment horizontal="center" vertical="center"/>
    </xf>
    <xf numFmtId="0" fontId="11" fillId="7" borderId="7" applyAlignment="1" pivotButton="0" quotePrefix="0" xfId="0">
      <alignment horizontal="left" vertical="center" indent="1"/>
    </xf>
    <xf numFmtId="0" fontId="5" fillId="8" borderId="7" applyAlignment="1" pivotButton="0" quotePrefix="0" xfId="0">
      <alignment horizontal="center" vertical="center"/>
    </xf>
    <xf numFmtId="164" fontId="5" fillId="8" borderId="7" applyAlignment="1" pivotButton="0" quotePrefix="0" xfId="0">
      <alignment horizontal="center" vertical="center"/>
    </xf>
    <xf numFmtId="0" fontId="11" fillId="8" borderId="7" applyAlignment="1" pivotButton="0" quotePrefix="0" xfId="0">
      <alignment horizontal="left" vertical="center" indent="1"/>
    </xf>
    <xf numFmtId="0" fontId="12" fillId="7" borderId="7" applyAlignment="1" pivotButton="0" quotePrefix="0" xfId="0">
      <alignment horizontal="center" vertical="center"/>
    </xf>
    <xf numFmtId="0" fontId="8" fillId="7" borderId="7" applyAlignment="1" pivotButton="0" quotePrefix="0" xfId="0">
      <alignment horizontal="left" vertical="center" indent="1"/>
    </xf>
    <xf numFmtId="0" fontId="12" fillId="8" borderId="7" applyAlignment="1" pivotButton="0" quotePrefix="0" xfId="0">
      <alignment horizontal="center" vertical="center"/>
    </xf>
    <xf numFmtId="0" fontId="8" fillId="8" borderId="7" applyAlignment="1" pivotButton="0" quotePrefix="0" xfId="0">
      <alignment horizontal="left" vertical="center" indent="1"/>
    </xf>
    <xf numFmtId="0" fontId="6" fillId="7" borderId="7" applyAlignment="1" pivotButton="0" quotePrefix="0" xfId="0">
      <alignment horizontal="left" vertical="center" indent="1"/>
    </xf>
    <xf numFmtId="165" fontId="5" fillId="7" borderId="7" applyAlignment="1" pivotButton="0" quotePrefix="0" xfId="0">
      <alignment horizontal="right" vertical="center" indent="1"/>
    </xf>
    <xf numFmtId="1" fontId="5" fillId="7" borderId="7" applyAlignment="1" pivotButton="0" quotePrefix="0" xfId="0">
      <alignment horizontal="center" vertical="center"/>
    </xf>
    <xf numFmtId="168" fontId="5" fillId="7" borderId="7" applyAlignment="1" pivotButton="0" quotePrefix="0" xfId="0">
      <alignment horizontal="center" vertical="center"/>
    </xf>
    <xf numFmtId="1" fontId="13" fillId="6" borderId="7" applyAlignment="1" pivotButton="0" quotePrefix="0" xfId="0">
      <alignment horizontal="center" vertical="center"/>
    </xf>
    <xf numFmtId="165" fontId="13" fillId="6" borderId="7" applyAlignment="1" pivotButton="0" quotePrefix="0" xfId="0">
      <alignment horizontal="right" vertical="center" indent="1"/>
    </xf>
    <xf numFmtId="165" fontId="6" fillId="6" borderId="7" applyAlignment="1" pivotButton="0" quotePrefix="0" xfId="0">
      <alignment horizontal="right" vertical="center" indent="1"/>
    </xf>
    <xf numFmtId="165" fontId="14" fillId="6" borderId="7" applyAlignment="1" pivotButton="0" quotePrefix="0" xfId="0">
      <alignment horizontal="right" vertical="center" indent="1"/>
    </xf>
    <xf numFmtId="164" fontId="13" fillId="6" borderId="7" applyAlignment="1" pivotButton="0" quotePrefix="0" xfId="0">
      <alignment horizontal="center" vertical="center"/>
    </xf>
    <xf numFmtId="0" fontId="6" fillId="8" borderId="7" applyAlignment="1" pivotButton="0" quotePrefix="0" xfId="0">
      <alignment horizontal="left" vertical="center" indent="1"/>
    </xf>
    <xf numFmtId="165" fontId="5" fillId="8" borderId="7" applyAlignment="1" pivotButton="0" quotePrefix="0" xfId="0">
      <alignment horizontal="right" vertical="center" indent="1"/>
    </xf>
    <xf numFmtId="1" fontId="5" fillId="8" borderId="7" applyAlignment="1" pivotButton="0" quotePrefix="0" xfId="0">
      <alignment horizontal="center" vertical="center"/>
    </xf>
    <xf numFmtId="168" fontId="5" fillId="8" borderId="7" applyAlignment="1" pivotButton="0" quotePrefix="0" xfId="0">
      <alignment horizontal="center" vertical="center"/>
    </xf>
    <xf numFmtId="0" fontId="15" fillId="7" borderId="7" applyAlignment="1" pivotButton="0" quotePrefix="0" xfId="0">
      <alignment horizontal="left" vertical="center" indent="1"/>
    </xf>
    <xf numFmtId="0" fontId="15" fillId="8" borderId="7" applyAlignment="1" pivotButton="0" quotePrefix="0" xfId="0">
      <alignment horizontal="left" vertical="center" indent="1"/>
    </xf>
    <xf numFmtId="0" fontId="5" fillId="0" borderId="7" applyAlignment="1" pivotButton="0" quotePrefix="0" xfId="0">
      <alignment horizontal="left" vertical="center" indent="1"/>
    </xf>
    <xf numFmtId="0" fontId="10" fillId="0" borderId="7" applyAlignment="1" pivotButton="0" quotePrefix="0" xfId="0">
      <alignment horizontal="center" vertical="center"/>
    </xf>
    <xf numFmtId="0" fontId="15" fillId="0" borderId="0" applyAlignment="1" pivotButton="0" quotePrefix="0" xfId="0">
      <alignment horizontal="left" vertical="top" wrapText="1" indent="1"/>
    </xf>
    <xf numFmtId="0" fontId="11" fillId="0" borderId="0" applyAlignment="1" pivotButton="0" quotePrefix="0" xfId="0">
      <alignment horizontal="left" vertical="top" wrapText="1" indent="1"/>
    </xf>
    <xf numFmtId="0" fontId="9" fillId="5" borderId="0" applyAlignment="1" pivotButton="0" quotePrefix="0" xfId="0">
      <alignment horizontal="left" vertical="top" wrapText="1" indent="1"/>
    </xf>
    <xf numFmtId="0" fontId="49" fillId="0" borderId="0" applyAlignment="1" pivotButton="0" quotePrefix="0" xfId="0">
      <alignment horizontal="left" vertical="top" wrapText="1" indent="1"/>
    </xf>
    <xf numFmtId="0" fontId="50" fillId="0" borderId="0" applyAlignment="1" pivotButton="0" quotePrefix="0" xfId="0">
      <alignment horizontal="left" vertical="top" wrapText="1" indent="1"/>
    </xf>
    <xf numFmtId="0" fontId="51" fillId="0" borderId="0" applyAlignment="1" pivotButton="0" quotePrefix="0" xfId="0">
      <alignment horizontal="left" vertical="top" wrapText="1" indent="1"/>
    </xf>
    <xf numFmtId="0" fontId="16" fillId="0" borderId="0" pivotButton="0" quotePrefix="0" xfId="0"/>
    <xf numFmtId="0" fontId="32" fillId="0" borderId="0" pivotButton="0" quotePrefix="0" xfId="0"/>
    <xf numFmtId="0" fontId="33" fillId="0" borderId="0" pivotButton="0" quotePrefix="0" xfId="0"/>
    <xf numFmtId="0" fontId="17" fillId="0" borderId="0" pivotButton="0" quotePrefix="0" xfId="0"/>
    <xf numFmtId="167" fontId="33" fillId="0" borderId="0" pivotButton="0" quotePrefix="0" xfId="0"/>
    <xf numFmtId="0" fontId="10" fillId="0" borderId="0" pivotButton="0" quotePrefix="0" xfId="0"/>
    <xf numFmtId="168" fontId="9" fillId="0" borderId="0" pivotButton="0" quotePrefix="0" xfId="0"/>
    <xf numFmtId="0" fontId="9" fillId="0" borderId="0" pivotButton="0" quotePrefix="0" xfId="0"/>
    <xf numFmtId="0" fontId="19" fillId="2" borderId="0" pivotButton="0" quotePrefix="0" xfId="0"/>
    <xf numFmtId="0" fontId="18" fillId="2" borderId="0" pivotButton="0" quotePrefix="0" xfId="0"/>
    <xf numFmtId="0" fontId="0" fillId="2" borderId="0" pivotButton="0" quotePrefix="0" xfId="0"/>
    <xf numFmtId="166" fontId="6" fillId="0" borderId="0" applyAlignment="1" pivotButton="0" quotePrefix="0" xfId="0">
      <alignment horizontal="right" vertical="center"/>
    </xf>
    <xf numFmtId="0" fontId="20" fillId="0" borderId="0" pivotButton="0" quotePrefix="0" xfId="0"/>
    <xf numFmtId="166" fontId="11" fillId="0" borderId="0" pivotButton="0" quotePrefix="0" xfId="0"/>
    <xf numFmtId="164" fontId="6" fillId="0" borderId="0" applyAlignment="1" pivotButton="0" quotePrefix="0" xfId="0">
      <alignment horizontal="right" vertical="center"/>
    </xf>
    <xf numFmtId="1" fontId="6" fillId="0" borderId="0" applyAlignment="1" pivotButton="0" quotePrefix="0" xfId="0">
      <alignment horizontal="right" vertical="center"/>
    </xf>
    <xf numFmtId="4" fontId="6" fillId="0" borderId="0" applyAlignment="1" pivotButton="0" quotePrefix="0" xfId="0">
      <alignment horizontal="right" vertical="center"/>
    </xf>
    <xf numFmtId="0" fontId="21" fillId="6" borderId="0" applyAlignment="1" pivotButton="0" quotePrefix="0" xfId="0">
      <alignment horizontal="center" vertical="center" wrapText="1"/>
    </xf>
    <xf numFmtId="167" fontId="11" fillId="0" borderId="0" pivotButton="0" quotePrefix="0" xfId="0"/>
    <xf numFmtId="0" fontId="11" fillId="0" borderId="0" pivotButton="0" quotePrefix="0" xfId="0"/>
    <xf numFmtId="1" fontId="11" fillId="0" borderId="0" pivotButton="0" quotePrefix="0" xfId="0"/>
    <xf numFmtId="4" fontId="11" fillId="0" borderId="0" pivotButton="0" quotePrefix="0" xfId="0"/>
    <xf numFmtId="166" fontId="22" fillId="0" borderId="0" pivotButton="0" quotePrefix="0" xfId="0"/>
    <xf numFmtId="164" fontId="11" fillId="0" borderId="0" pivotButton="0" quotePrefix="0" xfId="0"/>
    <xf numFmtId="165" fontId="11" fillId="0" borderId="0" pivotButton="0" quotePrefix="0" xfId="0"/>
    <xf numFmtId="0" fontId="21" fillId="6" borderId="0" applyAlignment="1" pivotButton="0" quotePrefix="0" xfId="0">
      <alignment horizontal="center" vertical="center"/>
    </xf>
    <xf numFmtId="167" fontId="23" fillId="0" borderId="0" pivotButton="0" quotePrefix="0" xfId="0"/>
    <xf numFmtId="166" fontId="10" fillId="0" borderId="0" pivotButton="0" quotePrefix="0" xfId="0"/>
    <xf numFmtId="1" fontId="10" fillId="0" borderId="0" pivotButton="0" quotePrefix="0" xfId="0"/>
    <xf numFmtId="4" fontId="10" fillId="0" borderId="0" pivotButton="0" quotePrefix="0" xfId="0"/>
    <xf numFmtId="0" fontId="24" fillId="2" borderId="0" pivotButton="0" quotePrefix="0" xfId="0"/>
    <xf numFmtId="1" fontId="23" fillId="0" borderId="0" pivotButton="0" quotePrefix="0" xfId="0"/>
    <xf numFmtId="0" fontId="22" fillId="0" borderId="0" pivotButton="0" quotePrefix="0" xfId="0"/>
    <xf numFmtId="0" fontId="25" fillId="0" borderId="0" pivotButton="0" quotePrefix="0" xfId="0"/>
  </cellXfs>
  <cellStyles count="1">
    <cellStyle name="Normal" xfId="0" builtinId="0" hidden="0"/>
  </cellStyles>
  <dxfs count="9">
    <dxf>
      <font>
        <name val="Calibri"/>
        <b val="1"/>
        <color rgb="00B42318"/>
        <sz val="19"/>
      </font>
    </dxf>
    <dxf>
      <font>
        <name val="Calibri"/>
        <b val="1"/>
        <color rgb="00B42318"/>
        <sz val="9.5"/>
      </font>
    </dxf>
    <dxf>
      <font>
        <name val="Calibri"/>
        <b val="1"/>
        <color rgb="00B42318"/>
        <sz val="9"/>
      </font>
    </dxf>
    <dxf>
      <font>
        <name val="Calibri"/>
        <b val="1"/>
        <color rgb="001E6F42"/>
        <sz val="9"/>
      </font>
    </dxf>
    <dxf>
      <fill>
        <patternFill patternType="solid">
          <fgColor rgb="00FDF6E3"/>
        </patternFill>
      </fill>
    </dxf>
    <dxf>
      <font>
        <name val="Calibri"/>
        <b val="1"/>
        <color rgb="00B42318"/>
        <sz val="9.5"/>
      </font>
      <fill>
        <patternFill patternType="solid">
          <fgColor rgb="00FDECEA"/>
        </patternFill>
      </fill>
    </dxf>
    <dxf>
      <font>
        <name val="Calibri"/>
        <b val="1"/>
        <color rgb="001E6F42"/>
        <sz val="9.5"/>
      </font>
    </dxf>
    <dxf>
      <font>
        <name val="Calibri"/>
        <b val="1"/>
        <color rgb="00B7791F"/>
        <sz val="9.5"/>
      </font>
      <fill>
        <patternFill patternType="solid">
          <fgColor rgb="00FDF6E3"/>
        </patternFill>
      </fill>
    </dxf>
    <dxf>
      <font>
        <name val="Calibri"/>
        <b val="1"/>
        <color rgb="001E6F42"/>
        <sz val="9.5"/>
      </font>
      <fill>
        <patternFill patternType="solid">
          <fgColor rgb="00E6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2"/>
  <chart>
    <title>
      <tx>
        <rich>
          <a:bodyPr/>
          <a:p>
            <a:pPr>
              <a:defRPr/>
            </a:pPr>
            <a:r>
              <a:t>Monthly trend — fee, total cost, net profit</a:t>
            </a:r>
          </a:p>
        </rich>
      </tx>
    </title>
    <plotArea>
      <lineChart>
        <grouping val="standard"/>
        <ser>
          <idx val="0"/>
          <order val="0"/>
          <tx>
            <strRef>
              <f>'Calc'!E22</f>
            </strRef>
          </tx>
          <spPr>
            <a:ln>
              <a:prstDash val="solid"/>
            </a:ln>
          </spPr>
          <marker>
            <symbol val="none"/>
            <spPr>
              <a:ln>
                <a:prstDash val="solid"/>
              </a:ln>
            </spPr>
          </marker>
          <cat>
            <strRef>
              <f>Calc!$B$23:$B$46</f>
            </strRef>
          </cat>
          <val>
            <numRef>
              <f>'Calc'!$E$23:$E$46</f>
            </numRef>
          </val>
        </ser>
        <ser>
          <idx val="1"/>
          <order val="1"/>
          <tx>
            <strRef>
              <f>'Calc'!L22</f>
            </strRef>
          </tx>
          <spPr>
            <a:ln>
              <a:prstDash val="solid"/>
            </a:ln>
          </spPr>
          <marker>
            <symbol val="none"/>
            <spPr>
              <a:ln>
                <a:prstDash val="solid"/>
              </a:ln>
            </spPr>
          </marker>
          <cat>
            <strRef>
              <f>Calc!$B$23:$B$46</f>
            </strRef>
          </cat>
          <val>
            <numRef>
              <f>'Calc'!$L$23:$L$46</f>
            </numRef>
          </val>
        </ser>
        <ser>
          <idx val="2"/>
          <order val="2"/>
          <tx>
            <strRef>
              <f>'Calc'!M22</f>
            </strRef>
          </tx>
          <spPr>
            <a:ln>
              <a:prstDash val="solid"/>
            </a:ln>
          </spPr>
          <marker>
            <symbol val="none"/>
            <spPr>
              <a:ln>
                <a:prstDash val="solid"/>
              </a:ln>
            </spPr>
          </marker>
          <cat>
            <strRef>
              <f>Calc!$B$23:$B$46</f>
            </strRef>
          </cat>
          <val>
            <numRef>
              <f>'Calc'!$M$23:$M$46</f>
            </numRef>
          </val>
        </ser>
        <axId val="10"/>
        <axId val="100"/>
      </lineChart>
      <catAx>
        <axId val="10"/>
        <scaling>
          <orientation val="minMax"/>
        </scaling>
        <axPos val="l"/>
        <majorTickMark val="none"/>
        <minorTickMark val="none"/>
        <crossAx val="100"/>
        <lblOffset val="100"/>
      </catAx>
      <valAx>
        <axId val="100"/>
        <scaling>
          <orientation val="minMax"/>
        </scaling>
        <axPos val="l"/>
        <numFmt formatCode="&quot;₱&quot;#,##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Booked expenses by cost group (this month)</a:t>
            </a:r>
          </a:p>
        </rich>
      </tx>
    </title>
    <plotArea>
      <barChart>
        <barDir val="col"/>
        <grouping val="clustered"/>
        <ser>
          <idx val="0"/>
          <order val="0"/>
          <tx>
            <strRef>
              <f>'Calc'!B90</f>
            </strRef>
          </tx>
          <spPr>
            <a:ln>
              <a:prstDash val="solid"/>
            </a:ln>
          </spPr>
          <cat>
            <strRef>
              <f>Calc!$A$91:$A$95</f>
            </strRef>
          </cat>
          <val>
            <numRef>
              <f>'Calc'!$B$91:$B$95</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quot;₱&quot;#,##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Where the revenue comes from (by destination)</a:t>
            </a:r>
          </a:p>
        </rich>
      </tx>
    </title>
    <plotArea>
      <pieChart>
        <varyColors val="1"/>
        <ser>
          <idx val="0"/>
          <order val="0"/>
          <tx>
            <strRef>
              <f>'Calc'!D50</f>
            </strRef>
          </tx>
          <spPr>
            <a:ln>
              <a:prstDash val="solid"/>
            </a:ln>
          </spPr>
          <cat>
            <strRef>
              <f>Calc!$A$51:$A$57</f>
            </strRef>
          </cat>
          <val>
            <numRef>
              <f>'Calc'!$D$51:$D$57</f>
            </numRef>
          </val>
        </ser>
        <dLbls>
          <showPercent val="1"/>
        </dLbls>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Trip net profit per truck (this month)</a:t>
            </a:r>
          </a:p>
        </rich>
      </tx>
    </title>
    <plotArea>
      <barChart>
        <barDir val="bar"/>
        <grouping val="clustered"/>
        <ser>
          <idx val="0"/>
          <order val="0"/>
          <tx>
            <strRef>
              <f>'Calc'!U31</f>
            </strRef>
          </tx>
          <spPr>
            <a:ln>
              <a:prstDash val="solid"/>
            </a:ln>
          </spPr>
          <cat>
            <strRef>
              <f>Calc!$Q$32:$Q$41</f>
            </strRef>
          </cat>
          <val>
            <numRef>
              <f>'Calc'!$U$32:$U$41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quot;₱&quot;#,##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4536000" cy="2664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15</row>
      <rowOff>0</rowOff>
    </from>
    <ext cx="4536000" cy="2664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30</row>
      <rowOff>0</rowOff>
    </from>
    <ext cx="4536000" cy="2664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30</row>
      <rowOff>0</rowOff>
    </from>
    <ext cx="4536000" cy="2664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B47" TargetMode="External" Id="rId1" /><Relationship Type="http://schemas.openxmlformats.org/officeDocument/2006/relationships/hyperlink" Target="#'Dashboard'!B70" TargetMode="External" Id="rId2" /><Relationship Type="http://schemas.openxmlformats.org/officeDocument/2006/relationships/hyperlink" Target="#'Dashboard'!H70" TargetMode="External" Id="rId3" /><Relationship Type="http://schemas.openxmlformats.org/officeDocument/2006/relationships/hyperlink" Target="#'Dashboard'!B84" TargetMode="External" Id="rId4" /><Relationship Type="http://schemas.openxmlformats.org/officeDocument/2006/relationships/hyperlink" Target="#'Dashboard'!B99" TargetMode="External" Id="rId5" /><Relationship Type="http://schemas.openxmlformats.org/officeDocument/2006/relationships/hyperlink" Target="#'Trips'!A1" TargetMode="External" Id="rId6" /><Relationship Type="http://schemas.openxmlformats.org/officeDocument/2006/relationships/hyperlink" Target="#'Expenses'!A1" TargetMode="External" Id="rId7" /><Relationship Type="http://schemas.openxmlformats.org/officeDocument/2006/relationships/hyperlink" Target="#'Payroll'!A1" TargetMode="External" Id="rId8" /><Relationship Type="http://schemas.openxmlformats.org/officeDocument/2006/relationships/hyperlink" Target="#'Setup'!A1" TargetMode="External" Id="rId9" /><Relationship Type="http://schemas.openxmlformats.org/officeDocument/2006/relationships/hyperlink" Target="#'Read Me'!A1" TargetMode="External" Id="rId10" /><Relationship Type="http://schemas.openxmlformats.org/officeDocument/2006/relationships/drawing" Target="/xl/drawings/drawing1.xml" Id="rId11" /></Relationships>
</file>

<file path=xl/worksheets/sheet1.xml><?xml version="1.0" encoding="utf-8"?>
<worksheet xmlns="http://schemas.openxmlformats.org/spreadsheetml/2006/main">
  <sheetPr>
    <tabColor rgb="000B2545"/>
    <outlinePr summaryBelow="1" summaryRight="1"/>
    <pageSetUpPr fitToPage="1"/>
  </sheetPr>
  <dimension ref="A1:M115"/>
  <sheetViews>
    <sheetView showGridLines="0" zoomScale="90" workbookViewId="0">
      <pane ySplit="5" topLeftCell="A6" activePane="bottomLeft" state="frozen"/>
      <selection pane="bottomLeft" activeCell="A1" sqref="A1"/>
    </sheetView>
  </sheetViews>
  <sheetFormatPr baseColWidth="8" defaultRowHeight="15"/>
  <cols>
    <col width="2.5" customWidth="1" min="1" max="1"/>
    <col width="17.5" customWidth="1" min="2" max="2"/>
    <col width="17.5" customWidth="1" min="3" max="3"/>
    <col width="17.5" customWidth="1" min="4" max="4"/>
    <col width="17.5" customWidth="1" min="5" max="5"/>
    <col width="17.5" customWidth="1" min="6" max="6"/>
    <col width="17.5" customWidth="1" min="7" max="7"/>
    <col width="17.5" customWidth="1" min="8" max="8"/>
    <col width="17.5" customWidth="1" min="9" max="9"/>
    <col width="17.5" customWidth="1" min="10" max="10"/>
    <col width="17.5" customWidth="1" min="11" max="11"/>
    <col width="17.5" customWidth="1" min="12" max="12"/>
    <col width="17.5" customWidth="1" min="13" max="13"/>
    <col width="2.5" customWidth="1" min="14" max="14"/>
  </cols>
  <sheetData>
    <row r="1" ht="44" customHeight="1">
      <c r="A1" s="1" t="inlineStr">
        <is>
          <t>🚚  J&amp;Z TRUCKING  ·  COMMAND CENTER</t>
        </is>
      </c>
    </row>
    <row r="2" ht="20" customHeight="1">
      <c r="A2" s="2" t="inlineStr">
        <is>
          <t>Live figures from every trip, every receipt and every loan. Change the two filters below — the whole page follows.</t>
        </is>
      </c>
    </row>
    <row r="3">
      <c r="A3" s="3" t="inlineStr"/>
      <c r="B3" s="4" t="inlineStr">
        <is>
          <t>GO TO  ▸</t>
        </is>
      </c>
      <c r="C3" s="5" t="inlineStr">
        <is>
          <t>P&amp;L</t>
        </is>
      </c>
      <c r="D3" s="5" t="inlineStr">
        <is>
          <t>Trucks</t>
        </is>
      </c>
      <c r="E3" s="5" t="inlineStr">
        <is>
          <t>Loans</t>
        </is>
      </c>
      <c r="F3" s="5" t="inlineStr">
        <is>
          <t>Destinations</t>
        </is>
      </c>
      <c r="G3" s="5" t="inlineStr">
        <is>
          <t>Crew pay</t>
        </is>
      </c>
      <c r="H3" s="5" t="inlineStr">
        <is>
          <t>Trips log</t>
        </is>
      </c>
      <c r="I3" s="5" t="inlineStr">
        <is>
          <t>Expenses</t>
        </is>
      </c>
      <c r="J3" s="5" t="inlineStr">
        <is>
          <t>Payroll</t>
        </is>
      </c>
      <c r="K3" s="5" t="inlineStr">
        <is>
          <t>Setup</t>
        </is>
      </c>
      <c r="L3" s="5" t="inlineStr">
        <is>
          <t>Read me</t>
        </is>
      </c>
    </row>
    <row r="4" ht="30" customHeight="1">
      <c r="B4" s="4" t="inlineStr">
        <is>
          <t>MONTH</t>
        </is>
      </c>
      <c r="C4" s="6" t="n">
        <v>46296</v>
      </c>
      <c r="D4" s="7" t="inlineStr">
        <is>
          <t>◀ change</t>
        </is>
      </c>
      <c r="E4" s="4" t="inlineStr">
        <is>
          <t>TRUCK</t>
        </is>
      </c>
      <c r="F4" s="8" t="inlineStr">
        <is>
          <t>All</t>
        </is>
      </c>
      <c r="G4" s="7" t="inlineStr">
        <is>
          <t>all units</t>
        </is>
      </c>
      <c r="H4" s="9">
        <f>"vs previous month   ▸   fee "&amp;IF(N(Calc!$B$40)=0,"n/a",IF(Calc!$B$7&gt;=Calc!$B$40,"+","")&amp;ROUND((Calc!$B$7/Calc!$B$40-1)*100,1)&amp;"%")&amp;"      trips "&amp;IF(N(Calc!$B$41)=0,"n/a",IF(Calc!$B$10&gt;=Calc!$B$41,"+","")&amp;(Calc!$B$10-Calc!$B$41))&amp;"      tons "&amp;IF(N(Calc!$B$42)=0,"n/a",IF(Calc!$B$11&gt;=Calc!$B$42,"+","")&amp;ROUND((Calc!$B$11/Calc!$B$42-1)*100,1)&amp;"%")&amp;"      (pick a truck to see that unit alone)"</f>
        <v/>
      </c>
    </row>
    <row r="7">
      <c r="B7" s="10" t="inlineStr">
        <is>
          <t>GROSS HAULING FEE</t>
        </is>
      </c>
      <c r="C7" s="11" t="n"/>
      <c r="D7" s="10" t="inlineStr">
        <is>
          <t>NET HAULING FEE</t>
        </is>
      </c>
      <c r="E7" s="11" t="n"/>
      <c r="F7" s="10" t="inlineStr">
        <is>
          <t>CREW COST</t>
        </is>
      </c>
      <c r="G7" s="11" t="n"/>
      <c r="H7" s="10" t="inlineStr">
        <is>
          <t>TRIP NET PROFIT</t>
        </is>
      </c>
      <c r="I7" s="11" t="n"/>
      <c r="J7" s="10" t="inlineStr">
        <is>
          <t>OPERATING PROFIT</t>
        </is>
      </c>
      <c r="K7" s="11" t="n"/>
      <c r="L7" s="10" t="inlineStr">
        <is>
          <t>CASH PROFIT AFTER LOANS</t>
        </is>
      </c>
      <c r="M7" s="11" t="n"/>
    </row>
    <row r="8" ht="32" customHeight="1">
      <c r="B8" s="12">
        <f>Calc!$B$7</f>
        <v/>
      </c>
      <c r="C8" s="13" t="n"/>
      <c r="D8" s="12">
        <f>Calc!$Q$9</f>
        <v/>
      </c>
      <c r="E8" s="13" t="n"/>
      <c r="F8" s="14">
        <f>Calc!$B$15</f>
        <v/>
      </c>
      <c r="G8" s="13" t="n"/>
      <c r="H8" s="15">
        <f>Calc!$Q$19</f>
        <v/>
      </c>
      <c r="I8" s="13" t="n"/>
      <c r="J8" s="16">
        <f>Calc!$Q$22</f>
        <v/>
      </c>
      <c r="K8" s="13" t="n"/>
      <c r="L8" s="16">
        <f>Calc!$Q$24</f>
        <v/>
      </c>
      <c r="M8" s="13" t="n"/>
    </row>
    <row r="9" ht="16" customHeight="1">
      <c r="B9" s="17" t="inlineStr">
        <is>
          <t>total fee invoiced this month</t>
        </is>
      </c>
      <c r="C9" s="18" t="n"/>
      <c r="D9" s="17" t="inlineStr">
        <is>
          <t>after the 2% withholding tax</t>
        </is>
      </c>
      <c r="E9" s="18" t="n"/>
      <c r="F9" s="17" t="inlineStr">
        <is>
          <t>driver + helper share + allowance</t>
        </is>
      </c>
      <c r="G9" s="18" t="n"/>
      <c r="H9" s="17" t="inlineStr">
        <is>
          <t>after fuel, toll &amp; crew</t>
        </is>
      </c>
      <c r="I9" s="18" t="n"/>
      <c r="J9" s="17" t="inlineStr">
        <is>
          <t>after repairs, rent &amp; overhead</t>
        </is>
      </c>
      <c r="K9" s="18" t="n"/>
      <c r="L9" s="17" t="inlineStr">
        <is>
          <t>what is really left in your pocket</t>
        </is>
      </c>
      <c r="M9" s="18" t="n"/>
    </row>
    <row r="11">
      <c r="B11" s="10" t="inlineStr">
        <is>
          <t>PROFIT MARGIN</t>
        </is>
      </c>
      <c r="C11" s="11" t="n"/>
      <c r="D11" s="10" t="inlineStr">
        <is>
          <t>TRIPS DELIVERED</t>
        </is>
      </c>
      <c r="E11" s="11" t="n"/>
      <c r="F11" s="10" t="inlineStr">
        <is>
          <t>TONS HAULED</t>
        </is>
      </c>
      <c r="G11" s="11" t="n"/>
      <c r="H11" s="10" t="inlineStr">
        <is>
          <t>STILL TO PAY CREW</t>
        </is>
      </c>
      <c r="I11" s="11" t="n"/>
      <c r="J11" s="10" t="inlineStr">
        <is>
          <t>LOAN BALANCE</t>
        </is>
      </c>
      <c r="K11" s="11" t="n"/>
      <c r="L11" s="10" t="inlineStr">
        <is>
          <t>UNPAID INVOICES</t>
        </is>
      </c>
      <c r="M11" s="11" t="n"/>
    </row>
    <row r="12" ht="32" customHeight="1">
      <c r="B12" s="19">
        <f>Calc!$Q$25</f>
        <v/>
      </c>
      <c r="C12" s="13" t="n"/>
      <c r="D12" s="20">
        <f>Calc!$B$10</f>
        <v/>
      </c>
      <c r="E12" s="13" t="n"/>
      <c r="F12" s="21">
        <f>Calc!$B$11</f>
        <v/>
      </c>
      <c r="G12" s="13" t="n"/>
      <c r="H12" s="14">
        <f>Calc!$B$30</f>
        <v/>
      </c>
      <c r="I12" s="13" t="n"/>
      <c r="J12" s="22">
        <f>Calc!$B$99</f>
        <v/>
      </c>
      <c r="K12" s="13" t="n"/>
      <c r="L12" s="22">
        <f>Calc!$B$31</f>
        <v/>
      </c>
      <c r="M12" s="13" t="n"/>
    </row>
    <row r="13" ht="16" customHeight="1">
      <c r="B13" s="17" t="inlineStr">
        <is>
          <t>cash profit ÷ gross fee</t>
        </is>
      </c>
      <c r="C13" s="18" t="n"/>
      <c r="D13" s="17" t="inlineStr">
        <is>
          <t>this month</t>
        </is>
      </c>
      <c r="E13" s="18" t="n"/>
      <c r="F13" s="17" t="inlineStr">
        <is>
          <t>total weight moved</t>
        </is>
      </c>
      <c r="G13" s="18" t="n"/>
      <c r="H13" s="17" t="inlineStr">
        <is>
          <t>unsettled balance this month</t>
        </is>
      </c>
      <c r="I13" s="18" t="n"/>
      <c r="J13" s="17" t="inlineStr">
        <is>
          <t>principal still owed, all lenders</t>
        </is>
      </c>
      <c r="K13" s="18" t="n"/>
      <c r="L13" s="17" t="inlineStr">
        <is>
          <t>customer fees not yet collected</t>
        </is>
      </c>
      <c r="M13" s="18" t="n"/>
    </row>
    <row r="47" ht="24" customHeight="1">
      <c r="B47" s="23" t="inlineStr">
        <is>
          <t>PROFIT &amp; LOSS  ·  selected month</t>
        </is>
      </c>
    </row>
    <row r="48">
      <c r="B48" s="24" t="inlineStr">
        <is>
          <t>LINE ITEM</t>
        </is>
      </c>
      <c r="C48" s="25" t="n"/>
      <c r="D48" s="26" t="inlineStr">
        <is>
          <t>AMOUNT</t>
        </is>
      </c>
      <c r="E48" s="26" t="inlineStr">
        <is>
          <t>% OF FEE</t>
        </is>
      </c>
      <c r="F48" s="24" t="inlineStr">
        <is>
          <t>HOW IT IS BUILT</t>
        </is>
      </c>
      <c r="G48" s="25" t="n"/>
    </row>
    <row r="49" ht="18" customHeight="1">
      <c r="B49" s="27" t="inlineStr">
        <is>
          <t>Gross hauling fee</t>
        </is>
      </c>
      <c r="C49" s="28" t="n"/>
      <c r="D49" s="29">
        <f>Calc!$Q$7</f>
        <v/>
      </c>
      <c r="E49" s="30">
        <f>IF(Calc!$Q$7=0,"",D49/Calc!$Q$7)</f>
        <v/>
      </c>
      <c r="F49" s="31" t="inlineStr">
        <is>
          <t>tons × rate × (1 + fuel surcharge)</t>
        </is>
      </c>
      <c r="G49" s="28" t="n"/>
    </row>
    <row r="50" ht="18" customHeight="1">
      <c r="B50" s="32" t="inlineStr">
        <is>
          <t>Withholding tax (2%)</t>
        </is>
      </c>
      <c r="C50" s="28" t="n"/>
      <c r="D50" s="29">
        <f>Calc!$Q$8</f>
        <v/>
      </c>
      <c r="E50" s="30">
        <f>IF(Calc!$Q$7=0,"",D50/Calc!$Q$7)</f>
        <v/>
      </c>
      <c r="F50" s="31" t="inlineStr">
        <is>
          <t>2% withheld by the client</t>
        </is>
      </c>
      <c r="G50" s="28" t="n"/>
    </row>
    <row r="51" ht="18" customHeight="1">
      <c r="B51" s="33" t="inlineStr">
        <is>
          <t>Net hauling fee</t>
        </is>
      </c>
      <c r="C51" s="34" t="n"/>
      <c r="D51" s="35">
        <f>Calc!$Q$9</f>
        <v/>
      </c>
      <c r="E51" s="36">
        <f>IF(Calc!$Q$7=0,"",D51/Calc!$Q$7)</f>
        <v/>
      </c>
      <c r="F51" s="37" t="inlineStr">
        <is>
          <t>the base for the crew shares</t>
        </is>
      </c>
      <c r="G51" s="34" t="n"/>
    </row>
    <row r="52" ht="18" customHeight="1">
      <c r="B52" s="32" t="inlineStr">
        <is>
          <t>Driver share</t>
        </is>
      </c>
      <c r="C52" s="28" t="n"/>
      <c r="D52" s="29">
        <f>Calc!$Q$10</f>
        <v/>
      </c>
      <c r="E52" s="30">
        <f>IF(Calc!$Q$7=0,"",D52/Calc!$Q$7)</f>
        <v/>
      </c>
      <c r="F52" s="31" t="inlineStr">
        <is>
          <t>driver share of net fee</t>
        </is>
      </c>
      <c r="G52" s="28" t="n"/>
    </row>
    <row r="53" ht="18" customHeight="1">
      <c r="B53" s="32" t="inlineStr">
        <is>
          <t>Helper share</t>
        </is>
      </c>
      <c r="C53" s="28" t="n"/>
      <c r="D53" s="29">
        <f>Calc!$Q$11</f>
        <v/>
      </c>
      <c r="E53" s="30">
        <f>IF(Calc!$Q$7=0,"",D53/Calc!$Q$7)</f>
        <v/>
      </c>
      <c r="F53" s="31" t="inlineStr">
        <is>
          <t>helper share of net fee</t>
        </is>
      </c>
      <c r="G53" s="28" t="n"/>
    </row>
    <row r="54" ht="18" customHeight="1">
      <c r="B54" s="32" t="inlineStr">
        <is>
          <t>Driver allowance</t>
        </is>
      </c>
      <c r="C54" s="28" t="n"/>
      <c r="D54" s="29">
        <f>Calc!$Q$12</f>
        <v/>
      </c>
      <c r="E54" s="30">
        <f>IF(Calc!$Q$7=0,"",D54/Calc!$Q$7)</f>
        <v/>
      </c>
      <c r="F54" s="31" t="inlineStr">
        <is>
          <t>cash given per trip</t>
        </is>
      </c>
      <c r="G54" s="28" t="n"/>
    </row>
    <row r="55" ht="18" customHeight="1">
      <c r="B55" s="32" t="inlineStr">
        <is>
          <t>Reimbursable expenses</t>
        </is>
      </c>
      <c r="C55" s="28" t="n"/>
      <c r="D55" s="29">
        <f>Calc!$Q$13</f>
        <v/>
      </c>
      <c r="E55" s="30">
        <f>IF(Calc!$Q$7=0,"",D55/Calc!$Q$7)</f>
        <v/>
      </c>
      <c r="F55" s="31" t="inlineStr">
        <is>
          <t>driver receipts to pay back</t>
        </is>
      </c>
      <c r="G55" s="28" t="n"/>
    </row>
    <row r="56" ht="18" customHeight="1">
      <c r="B56" s="33" t="inlineStr">
        <is>
          <t>Gross profit</t>
        </is>
      </c>
      <c r="C56" s="34" t="n"/>
      <c r="D56" s="35">
        <f>Calc!$Q$14</f>
        <v/>
      </c>
      <c r="E56" s="36">
        <f>IF(Calc!$Q$7=0,"",D56/Calc!$Q$7)</f>
        <v/>
      </c>
      <c r="F56" s="37" t="inlineStr">
        <is>
          <t>after crew and reimbursables</t>
        </is>
      </c>
      <c r="G56" s="34" t="n"/>
    </row>
    <row r="57" ht="18" customHeight="1">
      <c r="B57" s="32" t="inlineStr">
        <is>
          <t>Fuel</t>
        </is>
      </c>
      <c r="C57" s="28" t="n"/>
      <c r="D57" s="29">
        <f>Calc!$Q$15</f>
        <v/>
      </c>
      <c r="E57" s="30">
        <f>IF(Calc!$Q$7=0,"",D57/Calc!$Q$7)</f>
        <v/>
      </c>
      <c r="F57" s="31" t="inlineStr">
        <is>
          <t>diesel logged per trip</t>
        </is>
      </c>
      <c r="G57" s="28" t="n"/>
    </row>
    <row r="58" ht="18" customHeight="1">
      <c r="B58" s="32" t="inlineStr">
        <is>
          <t>Toll &amp; parking</t>
        </is>
      </c>
      <c r="C58" s="28" t="n"/>
      <c r="D58" s="29">
        <f>Calc!$Q$16</f>
        <v/>
      </c>
      <c r="E58" s="30">
        <f>IF(Calc!$Q$7=0,"",D58/Calc!$Q$7)</f>
        <v/>
      </c>
      <c r="F58" s="31" t="inlineStr">
        <is>
          <t>expressway + parking</t>
        </is>
      </c>
      <c r="G58" s="28" t="n"/>
    </row>
    <row r="59" ht="18" customHeight="1">
      <c r="B59" s="32" t="inlineStr">
        <is>
          <t>Other trip costs</t>
        </is>
      </c>
      <c r="C59" s="28" t="n"/>
      <c r="D59" s="29">
        <f>Calc!$Q$17</f>
        <v/>
      </c>
      <c r="E59" s="30">
        <f>IF(Calc!$Q$7=0,"",D59/Calc!$Q$7)</f>
        <v/>
      </c>
      <c r="F59" s="31" t="inlineStr">
        <is>
          <t>weighing, grease, tips</t>
        </is>
      </c>
      <c r="G59" s="28" t="n"/>
    </row>
    <row r="60" ht="18" customHeight="1">
      <c r="B60" s="32" t="inlineStr">
        <is>
          <t>Total trip cost</t>
        </is>
      </c>
      <c r="C60" s="28" t="n"/>
      <c r="D60" s="29">
        <f>Calc!$Q$18</f>
        <v/>
      </c>
      <c r="E60" s="30">
        <f>IF(Calc!$Q$7=0,"",D60/Calc!$Q$7)</f>
        <v/>
      </c>
      <c r="F60" s="31" t="inlineStr"/>
      <c r="G60" s="28" t="n"/>
    </row>
    <row r="61" ht="18" customHeight="1">
      <c r="B61" s="33" t="inlineStr">
        <is>
          <t>Trip net profit</t>
        </is>
      </c>
      <c r="C61" s="34" t="n"/>
      <c r="D61" s="35">
        <f>Calc!$Q$19</f>
        <v/>
      </c>
      <c r="E61" s="36">
        <f>IF(Calc!$Q$7=0,"",D61/Calc!$Q$7)</f>
        <v/>
      </c>
      <c r="F61" s="37" t="inlineStr">
        <is>
          <t>before truck running costs</t>
        </is>
      </c>
      <c r="G61" s="34" t="n"/>
    </row>
    <row r="62" ht="18" customHeight="1">
      <c r="B62" s="32" t="inlineStr">
        <is>
          <t>Vehicle running costs (repairs, tires…)</t>
        </is>
      </c>
      <c r="C62" s="28" t="n"/>
      <c r="D62" s="29">
        <f>Calc!$Q$20</f>
        <v/>
      </c>
      <c r="E62" s="30">
        <f>IF(Calc!$Q$7=0,"",D62/Calc!$Q$7)</f>
        <v/>
      </c>
      <c r="F62" s="31" t="inlineStr">
        <is>
          <t>repairs, tires, insurance, LTO, wash</t>
        </is>
      </c>
      <c r="G62" s="28" t="n"/>
    </row>
    <row r="63" ht="18" customHeight="1">
      <c r="B63" s="32" t="inlineStr">
        <is>
          <t>Overhead (rent, office, salaries…)</t>
        </is>
      </c>
      <c r="C63" s="28" t="n"/>
      <c r="D63" s="29">
        <f>Calc!$Q$21</f>
        <v/>
      </c>
      <c r="E63" s="30">
        <f>IF(Calc!$Q$7=0,"",D63/Calc!$Q$7)</f>
        <v/>
      </c>
      <c r="F63" s="31" t="inlineStr">
        <is>
          <t>rent, office salary, utilities, fees</t>
        </is>
      </c>
      <c r="G63" s="28" t="n"/>
    </row>
    <row r="64" ht="18" customHeight="1">
      <c r="B64" s="33" t="inlineStr">
        <is>
          <t>Operating profit</t>
        </is>
      </c>
      <c r="C64" s="34" t="n"/>
      <c r="D64" s="35">
        <f>Calc!$Q$22</f>
        <v/>
      </c>
      <c r="E64" s="36">
        <f>IF(Calc!$Q$7=0,"",D64/Calc!$Q$7)</f>
        <v/>
      </c>
      <c r="F64" s="37" t="inlineStr">
        <is>
          <t>the operating result</t>
        </is>
      </c>
      <c r="G64" s="34" t="n"/>
    </row>
    <row r="65" ht="18" customHeight="1">
      <c r="B65" s="32" t="inlineStr">
        <is>
          <t>Loan amortisation paid</t>
        </is>
      </c>
      <c r="C65" s="28" t="n"/>
      <c r="D65" s="29">
        <f>Calc!$Q$23</f>
        <v/>
      </c>
      <c r="E65" s="30">
        <f>IF(Calc!$Q$7=0,"",D65/Calc!$Q$7)</f>
        <v/>
      </c>
      <c r="F65" s="31" t="inlineStr">
        <is>
          <t>principal + interest to all lenders</t>
        </is>
      </c>
      <c r="G65" s="28" t="n"/>
    </row>
    <row r="66" ht="22" customHeight="1">
      <c r="B66" s="38" t="inlineStr">
        <is>
          <t>Cash profit after loans</t>
        </is>
      </c>
      <c r="C66" s="39" t="n"/>
      <c r="D66" s="40">
        <f>Calc!$Q$24</f>
        <v/>
      </c>
      <c r="E66" s="41">
        <f>IF(Calc!$Q$7=0,"",D66/Calc!$Q$7)</f>
        <v/>
      </c>
      <c r="F66" s="42" t="inlineStr">
        <is>
          <t>money actually left with you</t>
        </is>
      </c>
      <c r="G66" s="39" t="n"/>
    </row>
    <row r="67" ht="18" customHeight="1">
      <c r="B67" s="32" t="inlineStr">
        <is>
          <t>Margin on hauling fee</t>
        </is>
      </c>
      <c r="C67" s="28" t="n"/>
      <c r="D67" s="43">
        <f>Calc!$Q$25</f>
        <v/>
      </c>
      <c r="E67" s="30" t="inlineStr"/>
      <c r="F67" s="31" t="inlineStr">
        <is>
          <t>cash profit ÷ gross fee</t>
        </is>
      </c>
      <c r="G67" s="28" t="n"/>
    </row>
    <row r="68" ht="18" customHeight="1">
      <c r="B68" s="32" t="inlineStr">
        <is>
          <t>Memo: advances &amp; payouts (not a cost)</t>
        </is>
      </c>
      <c r="C68" s="28" t="n"/>
      <c r="D68" s="29">
        <f>Calc!$Q$26</f>
        <v/>
      </c>
      <c r="E68" s="30">
        <f>IF(Calc!$Q$7=0,"",D68/Calc!$Q$7)</f>
        <v/>
      </c>
      <c r="F68" s="31" t="inlineStr">
        <is>
          <t>advances are a transfer, not a cost</t>
        </is>
      </c>
      <c r="G68" s="28" t="n"/>
    </row>
    <row r="70" ht="24" customHeight="1">
      <c r="B70" s="23" t="inlineStr">
        <is>
          <t>TRUCK PERFORMANCE  ·  selected month</t>
        </is>
      </c>
      <c r="H70" s="23" t="inlineStr">
        <is>
          <t>LOAN BOOK  ·  all lenders, self-updating</t>
        </is>
      </c>
    </row>
    <row r="71">
      <c r="B71" s="44" t="inlineStr">
        <is>
          <t>TRUCK</t>
        </is>
      </c>
      <c r="C71" s="44" t="inlineStr">
        <is>
          <t>TRIPS</t>
        </is>
      </c>
      <c r="D71" s="44" t="inlineStr">
        <is>
          <t>TONS</t>
        </is>
      </c>
      <c r="E71" s="44" t="inlineStr">
        <is>
          <t>GROSS FEE</t>
        </is>
      </c>
      <c r="F71" s="44" t="inlineStr">
        <is>
          <t>TRIP PROFIT</t>
        </is>
      </c>
      <c r="G71" s="44" t="inlineStr">
        <is>
          <t>MARGIN</t>
        </is>
      </c>
      <c r="H71" s="45" t="inlineStr">
        <is>
          <t>LENDER  ·  TRUCK</t>
        </is>
      </c>
      <c r="I71" s="25" t="n"/>
      <c r="J71" s="44" t="inlineStr">
        <is>
          <t>AMORT.</t>
        </is>
      </c>
      <c r="K71" s="44" t="inlineStr">
        <is>
          <t>BALANCE</t>
        </is>
      </c>
      <c r="L71" s="44" t="inlineStr">
        <is>
          <t>MONTHS LEFT</t>
        </is>
      </c>
      <c r="M71" s="44" t="inlineStr">
        <is>
          <t>PAID %</t>
        </is>
      </c>
    </row>
    <row r="72" ht="18" customHeight="1">
      <c r="B72" s="46">
        <f>Calc!$Q$32</f>
        <v/>
      </c>
      <c r="C72" s="47">
        <f>Calc!$R$32</f>
        <v/>
      </c>
      <c r="D72" s="48">
        <f>Calc!$S$32</f>
        <v/>
      </c>
      <c r="E72" s="49">
        <f>Calc!$T$32</f>
        <v/>
      </c>
      <c r="F72" s="49">
        <f>Calc!$U$32</f>
        <v/>
      </c>
      <c r="G72" s="50">
        <f>Calc!$V$32</f>
        <v/>
      </c>
      <c r="H72" s="46">
        <f>IF(Setup!$A133="","",Setup!$A133&amp;"  ·  "&amp;Setup!$B133)</f>
        <v/>
      </c>
      <c r="I72" s="51" t="n"/>
      <c r="J72" s="49">
        <f>Setup!$E133</f>
        <v/>
      </c>
      <c r="K72" s="49">
        <f>Setup!$K133</f>
        <v/>
      </c>
      <c r="L72" s="47">
        <f>Setup!$J133</f>
        <v/>
      </c>
      <c r="M72" s="50">
        <f>Setup!$M133</f>
        <v/>
      </c>
    </row>
    <row r="73" ht="18" customHeight="1">
      <c r="B73" s="46">
        <f>Calc!$Q$33</f>
        <v/>
      </c>
      <c r="C73" s="47">
        <f>Calc!$R$33</f>
        <v/>
      </c>
      <c r="D73" s="48">
        <f>Calc!$S$33</f>
        <v/>
      </c>
      <c r="E73" s="49">
        <f>Calc!$T$33</f>
        <v/>
      </c>
      <c r="F73" s="49">
        <f>Calc!$U$33</f>
        <v/>
      </c>
      <c r="G73" s="50">
        <f>Calc!$V$33</f>
        <v/>
      </c>
      <c r="H73" s="46">
        <f>IF(Setup!$A134="","",Setup!$A134&amp;"  ·  "&amp;Setup!$B134)</f>
        <v/>
      </c>
      <c r="I73" s="51" t="n"/>
      <c r="J73" s="49">
        <f>Setup!$E134</f>
        <v/>
      </c>
      <c r="K73" s="49">
        <f>Setup!$K134</f>
        <v/>
      </c>
      <c r="L73" s="47">
        <f>Setup!$J134</f>
        <v/>
      </c>
      <c r="M73" s="50">
        <f>Setup!$M134</f>
        <v/>
      </c>
    </row>
    <row r="74" ht="18" customHeight="1">
      <c r="B74" s="46">
        <f>Calc!$Q$34</f>
        <v/>
      </c>
      <c r="C74" s="47">
        <f>Calc!$R$34</f>
        <v/>
      </c>
      <c r="D74" s="48">
        <f>Calc!$S$34</f>
        <v/>
      </c>
      <c r="E74" s="49">
        <f>Calc!$T$34</f>
        <v/>
      </c>
      <c r="F74" s="49">
        <f>Calc!$U$34</f>
        <v/>
      </c>
      <c r="G74" s="50">
        <f>Calc!$V$34</f>
        <v/>
      </c>
      <c r="H74" s="46">
        <f>IF(Setup!$A135="","",Setup!$A135&amp;"  ·  "&amp;Setup!$B135)</f>
        <v/>
      </c>
      <c r="I74" s="51" t="n"/>
      <c r="J74" s="49">
        <f>Setup!$E135</f>
        <v/>
      </c>
      <c r="K74" s="49">
        <f>Setup!$K135</f>
        <v/>
      </c>
      <c r="L74" s="47">
        <f>Setup!$J135</f>
        <v/>
      </c>
      <c r="M74" s="50">
        <f>Setup!$M135</f>
        <v/>
      </c>
    </row>
    <row r="75" ht="18" customHeight="1">
      <c r="B75" s="46">
        <f>Calc!$Q$35</f>
        <v/>
      </c>
      <c r="C75" s="47">
        <f>Calc!$R$35</f>
        <v/>
      </c>
      <c r="D75" s="48">
        <f>Calc!$S$35</f>
        <v/>
      </c>
      <c r="E75" s="49">
        <f>Calc!$T$35</f>
        <v/>
      </c>
      <c r="F75" s="49">
        <f>Calc!$U$35</f>
        <v/>
      </c>
      <c r="G75" s="50">
        <f>Calc!$V$35</f>
        <v/>
      </c>
      <c r="H75" s="46">
        <f>IF(Setup!$A136="","",Setup!$A136&amp;"  ·  "&amp;Setup!$B136)</f>
        <v/>
      </c>
      <c r="I75" s="51" t="n"/>
      <c r="J75" s="49">
        <f>Setup!$E136</f>
        <v/>
      </c>
      <c r="K75" s="49">
        <f>Setup!$K136</f>
        <v/>
      </c>
      <c r="L75" s="47">
        <f>Setup!$J136</f>
        <v/>
      </c>
      <c r="M75" s="50">
        <f>Setup!$M136</f>
        <v/>
      </c>
    </row>
    <row r="76" ht="18" customHeight="1">
      <c r="B76" s="46">
        <f>Calc!$Q$36</f>
        <v/>
      </c>
      <c r="C76" s="47">
        <f>Calc!$R$36</f>
        <v/>
      </c>
      <c r="D76" s="48">
        <f>Calc!$S$36</f>
        <v/>
      </c>
      <c r="E76" s="49">
        <f>Calc!$T$36</f>
        <v/>
      </c>
      <c r="F76" s="49">
        <f>Calc!$U$36</f>
        <v/>
      </c>
      <c r="G76" s="50">
        <f>Calc!$V$36</f>
        <v/>
      </c>
      <c r="H76" s="46">
        <f>IF(Setup!$A137="","",Setup!$A137&amp;"  ·  "&amp;Setup!$B137)</f>
        <v/>
      </c>
      <c r="I76" s="51" t="n"/>
      <c r="J76" s="49">
        <f>Setup!$E137</f>
        <v/>
      </c>
      <c r="K76" s="49">
        <f>Setup!$K137</f>
        <v/>
      </c>
      <c r="L76" s="47">
        <f>Setup!$J137</f>
        <v/>
      </c>
      <c r="M76" s="50">
        <f>Setup!$M137</f>
        <v/>
      </c>
    </row>
    <row r="77" ht="18" customHeight="1">
      <c r="B77" s="46">
        <f>Calc!$Q$37</f>
        <v/>
      </c>
      <c r="C77" s="47">
        <f>Calc!$R$37</f>
        <v/>
      </c>
      <c r="D77" s="48">
        <f>Calc!$S$37</f>
        <v/>
      </c>
      <c r="E77" s="49">
        <f>Calc!$T$37</f>
        <v/>
      </c>
      <c r="F77" s="49">
        <f>Calc!$U$37</f>
        <v/>
      </c>
      <c r="G77" s="50">
        <f>Calc!$V$37</f>
        <v/>
      </c>
      <c r="H77" s="46">
        <f>IF(Setup!$A138="","",Setup!$A138&amp;"  ·  "&amp;Setup!$B138)</f>
        <v/>
      </c>
      <c r="I77" s="51" t="n"/>
      <c r="J77" s="49">
        <f>Setup!$E138</f>
        <v/>
      </c>
      <c r="K77" s="49">
        <f>Setup!$K138</f>
        <v/>
      </c>
      <c r="L77" s="47">
        <f>Setup!$J138</f>
        <v/>
      </c>
      <c r="M77" s="50">
        <f>Setup!$M138</f>
        <v/>
      </c>
    </row>
    <row r="78" ht="18" customHeight="1">
      <c r="B78" s="46">
        <f>Calc!$Q$38</f>
        <v/>
      </c>
      <c r="C78" s="47">
        <f>Calc!$R$38</f>
        <v/>
      </c>
      <c r="D78" s="48">
        <f>Calc!$S$38</f>
        <v/>
      </c>
      <c r="E78" s="49">
        <f>Calc!$T$38</f>
        <v/>
      </c>
      <c r="F78" s="49">
        <f>Calc!$U$38</f>
        <v/>
      </c>
      <c r="G78" s="50">
        <f>Calc!$V$38</f>
        <v/>
      </c>
      <c r="H78" s="52" t="inlineStr">
        <is>
          <t>TOTAL</t>
        </is>
      </c>
      <c r="I78" s="53" t="n"/>
      <c r="J78" s="54">
        <f>SUM(J72:J77)</f>
        <v/>
      </c>
      <c r="K78" s="54">
        <f>SUM(K72:K77)</f>
        <v/>
      </c>
      <c r="L78" s="55">
        <f>SUM(L72:L77)</f>
        <v/>
      </c>
      <c r="M78" s="56">
        <f>IF(SUM(Setup!$C$133:$C$138)=0,0,1-K78/SUM(Setup!$C$133:$C$138))</f>
        <v/>
      </c>
    </row>
    <row r="79" ht="18" customHeight="1">
      <c r="B79" s="46">
        <f>Calc!$Q$39</f>
        <v/>
      </c>
      <c r="C79" s="47">
        <f>Calc!$R$39</f>
        <v/>
      </c>
      <c r="D79" s="48">
        <f>Calc!$S$39</f>
        <v/>
      </c>
      <c r="E79" s="49">
        <f>Calc!$T$39</f>
        <v/>
      </c>
      <c r="F79" s="49">
        <f>Calc!$U$39</f>
        <v/>
      </c>
      <c r="G79" s="50">
        <f>Calc!$V$39</f>
        <v/>
      </c>
    </row>
    <row r="80" ht="18" customHeight="1">
      <c r="B80" s="46">
        <f>Calc!$Q$40</f>
        <v/>
      </c>
      <c r="C80" s="47">
        <f>Calc!$R$40</f>
        <v/>
      </c>
      <c r="D80" s="48">
        <f>Calc!$S$40</f>
        <v/>
      </c>
      <c r="E80" s="49">
        <f>Calc!$T$40</f>
        <v/>
      </c>
      <c r="F80" s="49">
        <f>Calc!$U$40</f>
        <v/>
      </c>
      <c r="G80" s="50">
        <f>Calc!$V$40</f>
        <v/>
      </c>
    </row>
    <row r="81" ht="18" customHeight="1">
      <c r="B81" s="46">
        <f>Calc!$Q$41</f>
        <v/>
      </c>
      <c r="C81" s="47">
        <f>Calc!$R$41</f>
        <v/>
      </c>
      <c r="D81" s="48">
        <f>Calc!$S$41</f>
        <v/>
      </c>
      <c r="E81" s="49">
        <f>Calc!$T$41</f>
        <v/>
      </c>
      <c r="F81" s="49">
        <f>Calc!$U$41</f>
        <v/>
      </c>
      <c r="G81" s="50">
        <f>Calc!$V$41</f>
        <v/>
      </c>
    </row>
    <row r="82">
      <c r="B82" s="57" t="inlineStr">
        <is>
          <t>TOTAL</t>
        </is>
      </c>
      <c r="C82" s="58">
        <f>SUM(C72:C81)</f>
        <v/>
      </c>
      <c r="D82" s="59">
        <f>SUM(D72:D81)</f>
        <v/>
      </c>
      <c r="E82" s="60">
        <f>SUM(E72:E81)</f>
        <v/>
      </c>
      <c r="F82" s="60">
        <f>SUM(F72:F81)</f>
        <v/>
      </c>
      <c r="G82" s="61">
        <f>SUM(G72:G81)</f>
        <v/>
      </c>
    </row>
    <row r="84" ht="24" customHeight="1">
      <c r="B84" s="23" t="inlineStr">
        <is>
          <t>TOP DESTINATIONS  ·  selected month</t>
        </is>
      </c>
      <c r="H84" s="23" t="inlineStr">
        <is>
          <t>WHERE THE MONEY WENT  ·  booked expenses</t>
        </is>
      </c>
    </row>
    <row r="85">
      <c r="B85" s="44" t="inlineStr">
        <is>
          <t>DESTINATION</t>
        </is>
      </c>
      <c r="C85" s="44" t="inlineStr">
        <is>
          <t>TRIPS</t>
        </is>
      </c>
      <c r="D85" s="44" t="inlineStr">
        <is>
          <t>TONS</t>
        </is>
      </c>
      <c r="E85" s="44" t="inlineStr">
        <is>
          <t>GROSS FEE</t>
        </is>
      </c>
      <c r="F85" s="44" t="inlineStr">
        <is>
          <t>TRIP PROFIT</t>
        </is>
      </c>
      <c r="G85" s="44" t="inlineStr">
        <is>
          <t>MARGIN</t>
        </is>
      </c>
      <c r="H85" s="45" t="inlineStr">
        <is>
          <t>COST GROUP</t>
        </is>
      </c>
      <c r="I85" s="25" t="n"/>
      <c r="J85" s="25" t="n"/>
      <c r="K85" s="44" t="inlineStr">
        <is>
          <t>AMOUNT</t>
        </is>
      </c>
      <c r="L85" s="44" t="inlineStr">
        <is>
          <t>SHARE</t>
        </is>
      </c>
      <c r="M85" s="44" t="inlineStr">
        <is>
          <t>COUNTED IN PROFIT?</t>
        </is>
      </c>
    </row>
    <row r="86" ht="18" customHeight="1">
      <c r="B86" s="46">
        <f>Calc!$J$51</f>
        <v/>
      </c>
      <c r="C86" s="47">
        <f>IF(Calc!$J$51="","",Calc!$K$51)</f>
        <v/>
      </c>
      <c r="D86" s="48">
        <f>IF(Calc!$J$51="","",Calc!$L$51)</f>
        <v/>
      </c>
      <c r="E86" s="49">
        <f>IF(Calc!$J$51="","",Calc!$M$51)</f>
        <v/>
      </c>
      <c r="F86" s="49">
        <f>IF(Calc!$J$51="","",Calc!$N$51)</f>
        <v/>
      </c>
      <c r="G86" s="50">
        <f>IF(Calc!$J$51="","",Calc!$O$51)</f>
        <v/>
      </c>
      <c r="H86" s="46" t="inlineStr">
        <is>
          <t>Vehicle</t>
        </is>
      </c>
      <c r="I86" s="51" t="n"/>
      <c r="J86" s="51" t="n"/>
      <c r="K86" s="49">
        <f>Calc!$B$91</f>
        <v/>
      </c>
      <c r="L86" s="62">
        <f>IF(Calc!$B$97=0,"",K86/Calc!$B$97)</f>
        <v/>
      </c>
      <c r="M86" s="63" t="inlineStr">
        <is>
          <t>yes — running cost</t>
        </is>
      </c>
    </row>
    <row r="87" ht="18" customHeight="1">
      <c r="B87" s="46">
        <f>Calc!$J$52</f>
        <v/>
      </c>
      <c r="C87" s="47">
        <f>IF(Calc!$J$52="","",Calc!$K$52)</f>
        <v/>
      </c>
      <c r="D87" s="48">
        <f>IF(Calc!$J$52="","",Calc!$L$52)</f>
        <v/>
      </c>
      <c r="E87" s="49">
        <f>IF(Calc!$J$52="","",Calc!$M$52)</f>
        <v/>
      </c>
      <c r="F87" s="49">
        <f>IF(Calc!$J$52="","",Calc!$N$52)</f>
        <v/>
      </c>
      <c r="G87" s="50">
        <f>IF(Calc!$J$52="","",Calc!$O$52)</f>
        <v/>
      </c>
      <c r="H87" s="46" t="inlineStr">
        <is>
          <t>Financing</t>
        </is>
      </c>
      <c r="I87" s="51" t="n"/>
      <c r="J87" s="51" t="n"/>
      <c r="K87" s="49">
        <f>Calc!$B$92</f>
        <v/>
      </c>
      <c r="L87" s="62">
        <f>IF(Calc!$B$97=0,"",K87/Calc!$B$97)</f>
        <v/>
      </c>
      <c r="M87" s="63" t="inlineStr">
        <is>
          <t>yes — after operating profit</t>
        </is>
      </c>
    </row>
    <row r="88" ht="18" customHeight="1">
      <c r="B88" s="46">
        <f>Calc!$J$53</f>
        <v/>
      </c>
      <c r="C88" s="47">
        <f>IF(Calc!$J$53="","",Calc!$K$53)</f>
        <v/>
      </c>
      <c r="D88" s="48">
        <f>IF(Calc!$J$53="","",Calc!$L$53)</f>
        <v/>
      </c>
      <c r="E88" s="49">
        <f>IF(Calc!$J$53="","",Calc!$M$53)</f>
        <v/>
      </c>
      <c r="F88" s="49">
        <f>IF(Calc!$J$53="","",Calc!$N$53)</f>
        <v/>
      </c>
      <c r="G88" s="50">
        <f>IF(Calc!$J$53="","",Calc!$O$53)</f>
        <v/>
      </c>
      <c r="H88" s="46" t="inlineStr">
        <is>
          <t>Transfer</t>
        </is>
      </c>
      <c r="I88" s="51" t="n"/>
      <c r="J88" s="51" t="n"/>
      <c r="K88" s="49">
        <f>Calc!$B$93</f>
        <v/>
      </c>
      <c r="L88" s="62">
        <f>IF(Calc!$B$97=0,"",K88/Calc!$B$97)</f>
        <v/>
      </c>
      <c r="M88" s="63" t="inlineStr">
        <is>
          <t>no — advances</t>
        </is>
      </c>
    </row>
    <row r="89" ht="18" customHeight="1">
      <c r="B89" s="46">
        <f>Calc!$J$54</f>
        <v/>
      </c>
      <c r="C89" s="47">
        <f>IF(Calc!$J$54="","",Calc!$K$54)</f>
        <v/>
      </c>
      <c r="D89" s="48">
        <f>IF(Calc!$J$54="","",Calc!$L$54)</f>
        <v/>
      </c>
      <c r="E89" s="49">
        <f>IF(Calc!$J$54="","",Calc!$M$54)</f>
        <v/>
      </c>
      <c r="F89" s="49">
        <f>IF(Calc!$J$54="","",Calc!$N$54)</f>
        <v/>
      </c>
      <c r="G89" s="50">
        <f>IF(Calc!$J$54="","",Calc!$O$54)</f>
        <v/>
      </c>
      <c r="H89" s="46" t="inlineStr">
        <is>
          <t>Overhead</t>
        </is>
      </c>
      <c r="I89" s="51" t="n"/>
      <c r="J89" s="51" t="n"/>
      <c r="K89" s="49">
        <f>Calc!$B$94</f>
        <v/>
      </c>
      <c r="L89" s="62">
        <f>IF(Calc!$B$97=0,"",K89/Calc!$B$97)</f>
        <v/>
      </c>
      <c r="M89" s="63" t="inlineStr">
        <is>
          <t>yes — overhead</t>
        </is>
      </c>
    </row>
    <row r="90" ht="18" customHeight="1">
      <c r="B90" s="46">
        <f>Calc!$J$55</f>
        <v/>
      </c>
      <c r="C90" s="47">
        <f>IF(Calc!$J$55="","",Calc!$K$55)</f>
        <v/>
      </c>
      <c r="D90" s="48">
        <f>IF(Calc!$J$55="","",Calc!$L$55)</f>
        <v/>
      </c>
      <c r="E90" s="49">
        <f>IF(Calc!$J$55="","",Calc!$M$55)</f>
        <v/>
      </c>
      <c r="F90" s="49">
        <f>IF(Calc!$J$55="","",Calc!$N$55)</f>
        <v/>
      </c>
      <c r="G90" s="50">
        <f>IF(Calc!$J$55="","",Calc!$O$55)</f>
        <v/>
      </c>
      <c r="H90" s="46" t="inlineStr">
        <is>
          <t>Other</t>
        </is>
      </c>
      <c r="I90" s="51" t="n"/>
      <c r="J90" s="51" t="n"/>
      <c r="K90" s="49">
        <f>Calc!$B$95</f>
        <v/>
      </c>
      <c r="L90" s="62">
        <f>IF(Calc!$B$97=0,"",K90/Calc!$B$97)</f>
        <v/>
      </c>
      <c r="M90" s="63" t="inlineStr">
        <is>
          <t>no — owner / capital</t>
        </is>
      </c>
    </row>
    <row r="91" ht="18" customHeight="1">
      <c r="B91" s="46">
        <f>Calc!$J$56</f>
        <v/>
      </c>
      <c r="C91" s="47">
        <f>IF(Calc!$J$56="","",Calc!$K$56)</f>
        <v/>
      </c>
      <c r="D91" s="48">
        <f>IF(Calc!$J$56="","",Calc!$L$56)</f>
        <v/>
      </c>
      <c r="E91" s="49">
        <f>IF(Calc!$J$56="","",Calc!$M$56)</f>
        <v/>
      </c>
      <c r="F91" s="49">
        <f>IF(Calc!$J$56="","",Calc!$N$56)</f>
        <v/>
      </c>
      <c r="G91" s="50">
        <f>IF(Calc!$J$56="","",Calc!$O$56)</f>
        <v/>
      </c>
      <c r="H91" s="64" t="inlineStr">
        <is>
          <t>TOTAL BOOKED</t>
        </is>
      </c>
      <c r="I91" s="65" t="n"/>
      <c r="J91" s="65" t="n"/>
      <c r="K91" s="66">
        <f>Calc!$B$97</f>
        <v/>
      </c>
      <c r="L91" s="67" t="n">
        <v>1</v>
      </c>
      <c r="M91" s="65" t="n"/>
    </row>
    <row r="92" ht="18" customHeight="1">
      <c r="B92" s="46">
        <f>Calc!$J$57</f>
        <v/>
      </c>
      <c r="C92" s="47">
        <f>IF(Calc!$J$57="","",Calc!$K$57)</f>
        <v/>
      </c>
      <c r="D92" s="48">
        <f>IF(Calc!$J$57="","",Calc!$L$57)</f>
        <v/>
      </c>
      <c r="E92" s="49">
        <f>IF(Calc!$J$57="","",Calc!$M$57)</f>
        <v/>
      </c>
      <c r="F92" s="49">
        <f>IF(Calc!$J$57="","",Calc!$N$57)</f>
        <v/>
      </c>
      <c r="G92" s="50">
        <f>IF(Calc!$J$57="","",Calc!$O$57)</f>
        <v/>
      </c>
      <c r="H92" s="7" t="inlineStr">
        <is>
          <t>Only Vehicle / Overhead / Financing reach the P&amp;L. Advances, payouts, owner's draw and asset buys are excluded.</t>
        </is>
      </c>
    </row>
    <row r="93" ht="18" customHeight="1">
      <c r="B93" s="46">
        <f>Calc!$J$58</f>
        <v/>
      </c>
      <c r="C93" s="47">
        <f>IF(Calc!$J$58="","",Calc!$K$58)</f>
        <v/>
      </c>
      <c r="D93" s="48">
        <f>IF(Calc!$J$58="","",Calc!$L$58)</f>
        <v/>
      </c>
      <c r="E93" s="49">
        <f>IF(Calc!$J$58="","",Calc!$M$58)</f>
        <v/>
      </c>
      <c r="F93" s="49">
        <f>IF(Calc!$J$58="","",Calc!$N$58)</f>
        <v/>
      </c>
      <c r="G93" s="50">
        <f>IF(Calc!$J$58="","",Calc!$O$58)</f>
        <v/>
      </c>
    </row>
    <row r="94" ht="18" customHeight="1">
      <c r="B94" s="46">
        <f>Calc!$J$59</f>
        <v/>
      </c>
      <c r="C94" s="47">
        <f>IF(Calc!$J$59="","",Calc!$K$59)</f>
        <v/>
      </c>
      <c r="D94" s="48">
        <f>IF(Calc!$J$59="","",Calc!$L$59)</f>
        <v/>
      </c>
      <c r="E94" s="49">
        <f>IF(Calc!$J$59="","",Calc!$M$59)</f>
        <v/>
      </c>
      <c r="F94" s="49">
        <f>IF(Calc!$J$59="","",Calc!$N$59)</f>
        <v/>
      </c>
      <c r="G94" s="50">
        <f>IF(Calc!$J$59="","",Calc!$O$59)</f>
        <v/>
      </c>
    </row>
    <row r="95" ht="18" customHeight="1">
      <c r="B95" s="46">
        <f>Calc!$J$60</f>
        <v/>
      </c>
      <c r="C95" s="47">
        <f>IF(Calc!$J$60="","",Calc!$K$60)</f>
        <v/>
      </c>
      <c r="D95" s="48">
        <f>IF(Calc!$J$60="","",Calc!$L$60)</f>
        <v/>
      </c>
      <c r="E95" s="49">
        <f>IF(Calc!$J$60="","",Calc!$M$60)</f>
        <v/>
      </c>
      <c r="F95" s="49">
        <f>IF(Calc!$J$60="","",Calc!$N$60)</f>
        <v/>
      </c>
      <c r="G95" s="50">
        <f>IF(Calc!$J$60="","",Calc!$O$60)</f>
        <v/>
      </c>
    </row>
    <row r="96">
      <c r="B96" s="7" t="inlineStr">
        <is>
          <t>Full list (20 destinations) is on the Calc sheet — add new lanes in Setup §8.</t>
        </is>
      </c>
    </row>
    <row r="99" ht="24" customHeight="1">
      <c r="B99" s="23" t="inlineStr">
        <is>
          <t>CREW SETTLEMENT  ·  selected month  (auto — mirrors the Payroll sheet)</t>
        </is>
      </c>
    </row>
    <row r="100">
      <c r="B100" s="44" t="inlineStr">
        <is>
          <t>CREW NAME</t>
        </is>
      </c>
      <c r="C100" s="44" t="inlineStr">
        <is>
          <t>ROLE</t>
        </is>
      </c>
      <c r="D100" s="44" t="inlineStr">
        <is>
          <t>TRIPS</t>
        </is>
      </c>
      <c r="E100" s="44" t="inlineStr">
        <is>
          <t>GROSS FEE HANDLED</t>
        </is>
      </c>
      <c r="F100" s="44" t="inlineStr">
        <is>
          <t>SHARE</t>
        </is>
      </c>
      <c r="G100" s="44" t="inlineStr">
        <is>
          <t>ALLOWANCE + REIMB.</t>
        </is>
      </c>
      <c r="H100" s="44" t="inlineStr">
        <is>
          <t>CASH ADVANCE</t>
        </is>
      </c>
      <c r="I100" s="44" t="inlineStr">
        <is>
          <t>PAYOUT RELEASED</t>
        </is>
      </c>
      <c r="J100" s="44" t="inlineStr">
        <is>
          <t>BALANCE</t>
        </is>
      </c>
      <c r="K100" s="44" t="inlineStr">
        <is>
          <t>STATUS</t>
        </is>
      </c>
    </row>
    <row r="101" ht="18" customHeight="1">
      <c r="B101" s="46">
        <f>Calc!$A$75</f>
        <v/>
      </c>
      <c r="C101" s="68">
        <f>Calc!$B$75</f>
        <v/>
      </c>
      <c r="D101" s="69">
        <f>IF(Calc!$A$75="","",Calc!$C$75)</f>
        <v/>
      </c>
      <c r="E101" s="49">
        <f>IF(Calc!$A$75="","",Calc!$D$75)</f>
        <v/>
      </c>
      <c r="F101" s="49">
        <f>IF(Calc!$A$75="","",Calc!$E$75)</f>
        <v/>
      </c>
      <c r="G101" s="49">
        <f>IF(Calc!$A$75="","",Calc!$F$75+Calc!$G$75)</f>
        <v/>
      </c>
      <c r="H101" s="49">
        <f>IF(Calc!$A$75="","",Calc!$H$75)</f>
        <v/>
      </c>
      <c r="I101" s="49">
        <f>IF(Calc!$A$75="","",Calc!$I$75)</f>
        <v/>
      </c>
      <c r="J101" s="70">
        <f>IF(Calc!$A$75="","",Calc!$J$75)</f>
        <v/>
      </c>
      <c r="K101" s="71">
        <f>IF(B101="","",IF(AND(Calc!$E$75=0,Calc!$H$75=0,Calc!$I$75=0),"",IF(J101&gt;0.5,"TO PAY",IF(J101&lt;-0.5,"OWES ADVANCE","SETTLED"))))</f>
        <v/>
      </c>
    </row>
    <row r="102" ht="18" customHeight="1">
      <c r="B102" s="46">
        <f>Calc!$A$76</f>
        <v/>
      </c>
      <c r="C102" s="68">
        <f>Calc!$B$76</f>
        <v/>
      </c>
      <c r="D102" s="69">
        <f>IF(Calc!$A$76="","",Calc!$C$76)</f>
        <v/>
      </c>
      <c r="E102" s="49">
        <f>IF(Calc!$A$76="","",Calc!$D$76)</f>
        <v/>
      </c>
      <c r="F102" s="49">
        <f>IF(Calc!$A$76="","",Calc!$E$76)</f>
        <v/>
      </c>
      <c r="G102" s="49">
        <f>IF(Calc!$A$76="","",Calc!$F$76+Calc!$G$76)</f>
        <v/>
      </c>
      <c r="H102" s="49">
        <f>IF(Calc!$A$76="","",Calc!$H$76)</f>
        <v/>
      </c>
      <c r="I102" s="49">
        <f>IF(Calc!$A$76="","",Calc!$I$76)</f>
        <v/>
      </c>
      <c r="J102" s="70">
        <f>IF(Calc!$A$76="","",Calc!$J$76)</f>
        <v/>
      </c>
      <c r="K102" s="71">
        <f>IF(B102="","",IF(AND(Calc!$E$76=0,Calc!$H$76=0,Calc!$I$76=0),"",IF(J102&gt;0.5,"TO PAY",IF(J102&lt;-0.5,"OWES ADVANCE","SETTLED"))))</f>
        <v/>
      </c>
    </row>
    <row r="103" ht="18" customHeight="1">
      <c r="B103" s="46">
        <f>Calc!$A$77</f>
        <v/>
      </c>
      <c r="C103" s="68">
        <f>Calc!$B$77</f>
        <v/>
      </c>
      <c r="D103" s="69">
        <f>IF(Calc!$A$77="","",Calc!$C$77)</f>
        <v/>
      </c>
      <c r="E103" s="49">
        <f>IF(Calc!$A$77="","",Calc!$D$77)</f>
        <v/>
      </c>
      <c r="F103" s="49">
        <f>IF(Calc!$A$77="","",Calc!$E$77)</f>
        <v/>
      </c>
      <c r="G103" s="49">
        <f>IF(Calc!$A$77="","",Calc!$F$77+Calc!$G$77)</f>
        <v/>
      </c>
      <c r="H103" s="49">
        <f>IF(Calc!$A$77="","",Calc!$H$77)</f>
        <v/>
      </c>
      <c r="I103" s="49">
        <f>IF(Calc!$A$77="","",Calc!$I$77)</f>
        <v/>
      </c>
      <c r="J103" s="70">
        <f>IF(Calc!$A$77="","",Calc!$J$77)</f>
        <v/>
      </c>
      <c r="K103" s="71">
        <f>IF(B103="","",IF(AND(Calc!$E$77=0,Calc!$H$77=0,Calc!$I$77=0),"",IF(J103&gt;0.5,"TO PAY",IF(J103&lt;-0.5,"OWES ADVANCE","SETTLED"))))</f>
        <v/>
      </c>
    </row>
    <row r="104" ht="18" customHeight="1">
      <c r="B104" s="46">
        <f>Calc!$A$78</f>
        <v/>
      </c>
      <c r="C104" s="68">
        <f>Calc!$B$78</f>
        <v/>
      </c>
      <c r="D104" s="69">
        <f>IF(Calc!$A$78="","",Calc!$C$78)</f>
        <v/>
      </c>
      <c r="E104" s="49">
        <f>IF(Calc!$A$78="","",Calc!$D$78)</f>
        <v/>
      </c>
      <c r="F104" s="49">
        <f>IF(Calc!$A$78="","",Calc!$E$78)</f>
        <v/>
      </c>
      <c r="G104" s="49">
        <f>IF(Calc!$A$78="","",Calc!$F$78+Calc!$G$78)</f>
        <v/>
      </c>
      <c r="H104" s="49">
        <f>IF(Calc!$A$78="","",Calc!$H$78)</f>
        <v/>
      </c>
      <c r="I104" s="49">
        <f>IF(Calc!$A$78="","",Calc!$I$78)</f>
        <v/>
      </c>
      <c r="J104" s="70">
        <f>IF(Calc!$A$78="","",Calc!$J$78)</f>
        <v/>
      </c>
      <c r="K104" s="71">
        <f>IF(B104="","",IF(AND(Calc!$E$78=0,Calc!$H$78=0,Calc!$I$78=0),"",IF(J104&gt;0.5,"TO PAY",IF(J104&lt;-0.5,"OWES ADVANCE","SETTLED"))))</f>
        <v/>
      </c>
    </row>
    <row r="105" ht="18" customHeight="1">
      <c r="B105" s="46">
        <f>Calc!$A$79</f>
        <v/>
      </c>
      <c r="C105" s="68">
        <f>Calc!$B$79</f>
        <v/>
      </c>
      <c r="D105" s="69">
        <f>IF(Calc!$A$79="","",Calc!$C$79)</f>
        <v/>
      </c>
      <c r="E105" s="49">
        <f>IF(Calc!$A$79="","",Calc!$D$79)</f>
        <v/>
      </c>
      <c r="F105" s="49">
        <f>IF(Calc!$A$79="","",Calc!$E$79)</f>
        <v/>
      </c>
      <c r="G105" s="49">
        <f>IF(Calc!$A$79="","",Calc!$F$79+Calc!$G$79)</f>
        <v/>
      </c>
      <c r="H105" s="49">
        <f>IF(Calc!$A$79="","",Calc!$H$79)</f>
        <v/>
      </c>
      <c r="I105" s="49">
        <f>IF(Calc!$A$79="","",Calc!$I$79)</f>
        <v/>
      </c>
      <c r="J105" s="70">
        <f>IF(Calc!$A$79="","",Calc!$J$79)</f>
        <v/>
      </c>
      <c r="K105" s="71">
        <f>IF(B105="","",IF(AND(Calc!$E$79=0,Calc!$H$79=0,Calc!$I$79=0),"",IF(J105&gt;0.5,"TO PAY",IF(J105&lt;-0.5,"OWES ADVANCE","SETTLED"))))</f>
        <v/>
      </c>
    </row>
    <row r="106" ht="18" customHeight="1">
      <c r="B106" s="46">
        <f>Calc!$A$80</f>
        <v/>
      </c>
      <c r="C106" s="68">
        <f>Calc!$B$80</f>
        <v/>
      </c>
      <c r="D106" s="69">
        <f>IF(Calc!$A$80="","",Calc!$C$80)</f>
        <v/>
      </c>
      <c r="E106" s="49">
        <f>IF(Calc!$A$80="","",Calc!$D$80)</f>
        <v/>
      </c>
      <c r="F106" s="49">
        <f>IF(Calc!$A$80="","",Calc!$E$80)</f>
        <v/>
      </c>
      <c r="G106" s="49">
        <f>IF(Calc!$A$80="","",Calc!$F$80+Calc!$G$80)</f>
        <v/>
      </c>
      <c r="H106" s="49">
        <f>IF(Calc!$A$80="","",Calc!$H$80)</f>
        <v/>
      </c>
      <c r="I106" s="49">
        <f>IF(Calc!$A$80="","",Calc!$I$80)</f>
        <v/>
      </c>
      <c r="J106" s="70">
        <f>IF(Calc!$A$80="","",Calc!$J$80)</f>
        <v/>
      </c>
      <c r="K106" s="71">
        <f>IF(B106="","",IF(AND(Calc!$E$80=0,Calc!$H$80=0,Calc!$I$80=0),"",IF(J106&gt;0.5,"TO PAY",IF(J106&lt;-0.5,"OWES ADVANCE","SETTLED"))))</f>
        <v/>
      </c>
    </row>
    <row r="107" ht="18" customHeight="1">
      <c r="B107" s="46">
        <f>Calc!$A$81</f>
        <v/>
      </c>
      <c r="C107" s="68">
        <f>Calc!$B$81</f>
        <v/>
      </c>
      <c r="D107" s="69">
        <f>IF(Calc!$A$81="","",Calc!$C$81)</f>
        <v/>
      </c>
      <c r="E107" s="49">
        <f>IF(Calc!$A$81="","",Calc!$D$81)</f>
        <v/>
      </c>
      <c r="F107" s="49">
        <f>IF(Calc!$A$81="","",Calc!$E$81)</f>
        <v/>
      </c>
      <c r="G107" s="49">
        <f>IF(Calc!$A$81="","",Calc!$F$81+Calc!$G$81)</f>
        <v/>
      </c>
      <c r="H107" s="49">
        <f>IF(Calc!$A$81="","",Calc!$H$81)</f>
        <v/>
      </c>
      <c r="I107" s="49">
        <f>IF(Calc!$A$81="","",Calc!$I$81)</f>
        <v/>
      </c>
      <c r="J107" s="70">
        <f>IF(Calc!$A$81="","",Calc!$J$81)</f>
        <v/>
      </c>
      <c r="K107" s="71">
        <f>IF(B107="","",IF(AND(Calc!$E$81=0,Calc!$H$81=0,Calc!$I$81=0),"",IF(J107&gt;0.5,"TO PAY",IF(J107&lt;-0.5,"OWES ADVANCE","SETTLED"))))</f>
        <v/>
      </c>
    </row>
    <row r="108" ht="18" customHeight="1">
      <c r="B108" s="46">
        <f>Calc!$A$82</f>
        <v/>
      </c>
      <c r="C108" s="68">
        <f>Calc!$B$82</f>
        <v/>
      </c>
      <c r="D108" s="69">
        <f>IF(Calc!$A$82="","",Calc!$C$82)</f>
        <v/>
      </c>
      <c r="E108" s="49">
        <f>IF(Calc!$A$82="","",Calc!$D$82)</f>
        <v/>
      </c>
      <c r="F108" s="49">
        <f>IF(Calc!$A$82="","",Calc!$E$82)</f>
        <v/>
      </c>
      <c r="G108" s="49">
        <f>IF(Calc!$A$82="","",Calc!$F$82+Calc!$G$82)</f>
        <v/>
      </c>
      <c r="H108" s="49">
        <f>IF(Calc!$A$82="","",Calc!$H$82)</f>
        <v/>
      </c>
      <c r="I108" s="49">
        <f>IF(Calc!$A$82="","",Calc!$I$82)</f>
        <v/>
      </c>
      <c r="J108" s="70">
        <f>IF(Calc!$A$82="","",Calc!$J$82)</f>
        <v/>
      </c>
      <c r="K108" s="71">
        <f>IF(B108="","",IF(AND(Calc!$E$82=0,Calc!$H$82=0,Calc!$I$82=0),"",IF(J108&gt;0.5,"TO PAY",IF(J108&lt;-0.5,"OWES ADVANCE","SETTLED"))))</f>
        <v/>
      </c>
    </row>
    <row r="109" ht="18" customHeight="1">
      <c r="B109" s="46">
        <f>Calc!$A$83</f>
        <v/>
      </c>
      <c r="C109" s="68">
        <f>Calc!$B$83</f>
        <v/>
      </c>
      <c r="D109" s="69">
        <f>IF(Calc!$A$83="","",Calc!$C$83)</f>
        <v/>
      </c>
      <c r="E109" s="49">
        <f>IF(Calc!$A$83="","",Calc!$D$83)</f>
        <v/>
      </c>
      <c r="F109" s="49">
        <f>IF(Calc!$A$83="","",Calc!$E$83)</f>
        <v/>
      </c>
      <c r="G109" s="49">
        <f>IF(Calc!$A$83="","",Calc!$F$83+Calc!$G$83)</f>
        <v/>
      </c>
      <c r="H109" s="49">
        <f>IF(Calc!$A$83="","",Calc!$H$83)</f>
        <v/>
      </c>
      <c r="I109" s="49">
        <f>IF(Calc!$A$83="","",Calc!$I$83)</f>
        <v/>
      </c>
      <c r="J109" s="70">
        <f>IF(Calc!$A$83="","",Calc!$J$83)</f>
        <v/>
      </c>
      <c r="K109" s="71">
        <f>IF(B109="","",IF(AND(Calc!$E$83=0,Calc!$H$83=0,Calc!$I$83=0),"",IF(J109&gt;0.5,"TO PAY",IF(J109&lt;-0.5,"OWES ADVANCE","SETTLED"))))</f>
        <v/>
      </c>
    </row>
    <row r="110" ht="18" customHeight="1">
      <c r="B110" s="46">
        <f>Calc!$A$84</f>
        <v/>
      </c>
      <c r="C110" s="68">
        <f>Calc!$B$84</f>
        <v/>
      </c>
      <c r="D110" s="69">
        <f>IF(Calc!$A$84="","",Calc!$C$84)</f>
        <v/>
      </c>
      <c r="E110" s="49">
        <f>IF(Calc!$A$84="","",Calc!$D$84)</f>
        <v/>
      </c>
      <c r="F110" s="49">
        <f>IF(Calc!$A$84="","",Calc!$E$84)</f>
        <v/>
      </c>
      <c r="G110" s="49">
        <f>IF(Calc!$A$84="","",Calc!$F$84+Calc!$G$84)</f>
        <v/>
      </c>
      <c r="H110" s="49">
        <f>IF(Calc!$A$84="","",Calc!$H$84)</f>
        <v/>
      </c>
      <c r="I110" s="49">
        <f>IF(Calc!$A$84="","",Calc!$I$84)</f>
        <v/>
      </c>
      <c r="J110" s="70">
        <f>IF(Calc!$A$84="","",Calc!$J$84)</f>
        <v/>
      </c>
      <c r="K110" s="71">
        <f>IF(B110="","",IF(AND(Calc!$E$84=0,Calc!$H$84=0,Calc!$I$84=0),"",IF(J110&gt;0.5,"TO PAY",IF(J110&lt;-0.5,"OWES ADVANCE","SETTLED"))))</f>
        <v/>
      </c>
    </row>
    <row r="111" ht="18" customHeight="1">
      <c r="B111" s="46">
        <f>Calc!$A$85</f>
        <v/>
      </c>
      <c r="C111" s="68">
        <f>Calc!$B$85</f>
        <v/>
      </c>
      <c r="D111" s="69">
        <f>IF(Calc!$A$85="","",Calc!$C$85)</f>
        <v/>
      </c>
      <c r="E111" s="49">
        <f>IF(Calc!$A$85="","",Calc!$D$85)</f>
        <v/>
      </c>
      <c r="F111" s="49">
        <f>IF(Calc!$A$85="","",Calc!$E$85)</f>
        <v/>
      </c>
      <c r="G111" s="49">
        <f>IF(Calc!$A$85="","",Calc!$F$85+Calc!$G$85)</f>
        <v/>
      </c>
      <c r="H111" s="49">
        <f>IF(Calc!$A$85="","",Calc!$H$85)</f>
        <v/>
      </c>
      <c r="I111" s="49">
        <f>IF(Calc!$A$85="","",Calc!$I$85)</f>
        <v/>
      </c>
      <c r="J111" s="70">
        <f>IF(Calc!$A$85="","",Calc!$J$85)</f>
        <v/>
      </c>
      <c r="K111" s="71">
        <f>IF(B111="","",IF(AND(Calc!$E$85=0,Calc!$H$85=0,Calc!$I$85=0),"",IF(J111&gt;0.5,"TO PAY",IF(J111&lt;-0.5,"OWES ADVANCE","SETTLED"))))</f>
        <v/>
      </c>
    </row>
    <row r="112" ht="18" customHeight="1">
      <c r="B112" s="46">
        <f>Calc!$A$86</f>
        <v/>
      </c>
      <c r="C112" s="68">
        <f>Calc!$B$86</f>
        <v/>
      </c>
      <c r="D112" s="69">
        <f>IF(Calc!$A$86="","",Calc!$C$86)</f>
        <v/>
      </c>
      <c r="E112" s="49">
        <f>IF(Calc!$A$86="","",Calc!$D$86)</f>
        <v/>
      </c>
      <c r="F112" s="49">
        <f>IF(Calc!$A$86="","",Calc!$E$86)</f>
        <v/>
      </c>
      <c r="G112" s="49">
        <f>IF(Calc!$A$86="","",Calc!$F$86+Calc!$G$86)</f>
        <v/>
      </c>
      <c r="H112" s="49">
        <f>IF(Calc!$A$86="","",Calc!$H$86)</f>
        <v/>
      </c>
      <c r="I112" s="49">
        <f>IF(Calc!$A$86="","",Calc!$I$86)</f>
        <v/>
      </c>
      <c r="J112" s="70">
        <f>IF(Calc!$A$86="","",Calc!$J$86)</f>
        <v/>
      </c>
      <c r="K112" s="71">
        <f>IF(B112="","",IF(AND(Calc!$E$86=0,Calc!$H$86=0,Calc!$I$86=0),"",IF(J112&gt;0.5,"TO PAY",IF(J112&lt;-0.5,"OWES ADVANCE","SETTLED"))))</f>
        <v/>
      </c>
    </row>
    <row r="113">
      <c r="B113" s="72" t="inlineStr">
        <is>
          <t>TOTAL</t>
        </is>
      </c>
      <c r="C113" s="73" t="n"/>
      <c r="D113" s="74">
        <f>SUM(D101:D112)</f>
        <v/>
      </c>
      <c r="E113" s="75">
        <f>SUM(E101:E112)</f>
        <v/>
      </c>
      <c r="F113" s="75">
        <f>SUM(F101:F112)</f>
        <v/>
      </c>
      <c r="G113" s="75">
        <f>SUM(G101:G112)</f>
        <v/>
      </c>
      <c r="H113" s="75">
        <f>SUM(H101:H112)</f>
        <v/>
      </c>
      <c r="I113" s="75">
        <f>SUM(I101:I112)</f>
        <v/>
      </c>
      <c r="J113" s="75">
        <f>SUM(J101:J112)</f>
        <v/>
      </c>
      <c r="K113" s="73" t="n"/>
    </row>
    <row r="115">
      <c r="B115" s="76" t="inlineStr">
        <is>
          <t>Every number above is a live formula. Nothing on this page is typed by hand — only the two filters at the top.</t>
        </is>
      </c>
    </row>
  </sheetData>
  <mergeCells count="105">
    <mergeCell ref="F68:G68"/>
    <mergeCell ref="H70:M70"/>
    <mergeCell ref="H9:I9"/>
    <mergeCell ref="J9:K9"/>
    <mergeCell ref="B12:C12"/>
    <mergeCell ref="L12:M12"/>
    <mergeCell ref="D13:E13"/>
    <mergeCell ref="B67:C67"/>
    <mergeCell ref="B61:C61"/>
    <mergeCell ref="H86:J86"/>
    <mergeCell ref="B13:C13"/>
    <mergeCell ref="D7:E7"/>
    <mergeCell ref="H72:I72"/>
    <mergeCell ref="F13:G13"/>
    <mergeCell ref="H13:I13"/>
    <mergeCell ref="B49:C49"/>
    <mergeCell ref="F56:G56"/>
    <mergeCell ref="B47:G47"/>
    <mergeCell ref="B55:C55"/>
    <mergeCell ref="B64:C64"/>
    <mergeCell ref="B51:C51"/>
    <mergeCell ref="H71:I71"/>
    <mergeCell ref="B63:C63"/>
    <mergeCell ref="F57:G57"/>
    <mergeCell ref="A2:M2"/>
    <mergeCell ref="L7:M7"/>
    <mergeCell ref="F54:G54"/>
    <mergeCell ref="F63:G63"/>
    <mergeCell ref="B66:C66"/>
    <mergeCell ref="H74:I74"/>
    <mergeCell ref="B11:C11"/>
    <mergeCell ref="D11:E11"/>
    <mergeCell ref="B99:M99"/>
    <mergeCell ref="B53:C53"/>
    <mergeCell ref="F66:G66"/>
    <mergeCell ref="H11:I11"/>
    <mergeCell ref="J11:K11"/>
    <mergeCell ref="F62:G62"/>
    <mergeCell ref="H75:I75"/>
    <mergeCell ref="D9:E9"/>
    <mergeCell ref="F9:G9"/>
    <mergeCell ref="F61:G61"/>
    <mergeCell ref="H12:I12"/>
    <mergeCell ref="J12:K12"/>
    <mergeCell ref="F48:G48"/>
    <mergeCell ref="F64:G64"/>
    <mergeCell ref="B54:C54"/>
    <mergeCell ref="H89:J89"/>
    <mergeCell ref="B7:C7"/>
    <mergeCell ref="H88:J88"/>
    <mergeCell ref="B56:C56"/>
    <mergeCell ref="F7:G7"/>
    <mergeCell ref="B58:C58"/>
    <mergeCell ref="B52:C52"/>
    <mergeCell ref="H73:I73"/>
    <mergeCell ref="H90:J90"/>
    <mergeCell ref="B84:G84"/>
    <mergeCell ref="B60:C60"/>
    <mergeCell ref="H87:J87"/>
    <mergeCell ref="F50:G50"/>
    <mergeCell ref="L8:M8"/>
    <mergeCell ref="B57:C57"/>
    <mergeCell ref="F8:G8"/>
    <mergeCell ref="A1:M1"/>
    <mergeCell ref="B9:C9"/>
    <mergeCell ref="L9:M9"/>
    <mergeCell ref="D12:E12"/>
    <mergeCell ref="H77:I77"/>
    <mergeCell ref="B115:M115"/>
    <mergeCell ref="F49:G49"/>
    <mergeCell ref="L11:M11"/>
    <mergeCell ref="F11:G11"/>
    <mergeCell ref="B62:C62"/>
    <mergeCell ref="H85:J85"/>
    <mergeCell ref="B59:C59"/>
    <mergeCell ref="H78:I78"/>
    <mergeCell ref="F65:G65"/>
    <mergeCell ref="J13:K13"/>
    <mergeCell ref="L13:M13"/>
    <mergeCell ref="F59:G59"/>
    <mergeCell ref="F55:G55"/>
    <mergeCell ref="F12:G12"/>
    <mergeCell ref="B48:C48"/>
    <mergeCell ref="H84:M84"/>
    <mergeCell ref="F51:G51"/>
    <mergeCell ref="B8:C8"/>
    <mergeCell ref="H7:I7"/>
    <mergeCell ref="J7:K7"/>
    <mergeCell ref="H92:M92"/>
    <mergeCell ref="F58:G58"/>
    <mergeCell ref="H91:J91"/>
    <mergeCell ref="B65:C65"/>
    <mergeCell ref="F52:G52"/>
    <mergeCell ref="F67:G67"/>
    <mergeCell ref="D8:E8"/>
    <mergeCell ref="B68:C68"/>
    <mergeCell ref="H4:M4"/>
    <mergeCell ref="F60:G60"/>
    <mergeCell ref="H76:I76"/>
    <mergeCell ref="B50:C50"/>
    <mergeCell ref="B96:G96"/>
    <mergeCell ref="H8:I8"/>
    <mergeCell ref="B70:G70"/>
    <mergeCell ref="J8:K8"/>
    <mergeCell ref="F53:G53"/>
  </mergeCells>
  <conditionalFormatting sqref="B8">
    <cfRule type="cellIs" priority="1" operator="lessThan" dxfId="0">
      <formula>0</formula>
    </cfRule>
  </conditionalFormatting>
  <conditionalFormatting sqref="D8">
    <cfRule type="cellIs" priority="2" operator="lessThan" dxfId="0">
      <formula>0</formula>
    </cfRule>
  </conditionalFormatting>
  <conditionalFormatting sqref="F8">
    <cfRule type="cellIs" priority="3" operator="lessThan" dxfId="0">
      <formula>0</formula>
    </cfRule>
  </conditionalFormatting>
  <conditionalFormatting sqref="H8">
    <cfRule type="cellIs" priority="4" operator="lessThan" dxfId="0">
      <formula>0</formula>
    </cfRule>
  </conditionalFormatting>
  <conditionalFormatting sqref="J8">
    <cfRule type="cellIs" priority="5" operator="lessThan" dxfId="0">
      <formula>0</formula>
    </cfRule>
  </conditionalFormatting>
  <conditionalFormatting sqref="L8">
    <cfRule type="cellIs" priority="6" operator="lessThan" dxfId="0">
      <formula>0</formula>
    </cfRule>
  </conditionalFormatting>
  <conditionalFormatting sqref="B12">
    <cfRule type="cellIs" priority="7" operator="lessThan" dxfId="0">
      <formula>0</formula>
    </cfRule>
  </conditionalFormatting>
  <conditionalFormatting sqref="D12">
    <cfRule type="cellIs" priority="8" operator="lessThan" dxfId="0">
      <formula>0</formula>
    </cfRule>
  </conditionalFormatting>
  <conditionalFormatting sqref="F12">
    <cfRule type="cellIs" priority="9" operator="lessThan" dxfId="0">
      <formula>0</formula>
    </cfRule>
  </conditionalFormatting>
  <conditionalFormatting sqref="H12">
    <cfRule type="cellIs" priority="10" operator="lessThan" dxfId="0">
      <formula>0</formula>
    </cfRule>
  </conditionalFormatting>
  <conditionalFormatting sqref="J12">
    <cfRule type="cellIs" priority="11" operator="lessThan" dxfId="0">
      <formula>0</formula>
    </cfRule>
  </conditionalFormatting>
  <conditionalFormatting sqref="L12">
    <cfRule type="cellIs" priority="12" operator="lessThan" dxfId="0">
      <formula>0</formula>
    </cfRule>
  </conditionalFormatting>
  <conditionalFormatting sqref="D49">
    <cfRule type="cellIs" priority="13" operator="lessThan" dxfId="1">
      <formula>0</formula>
    </cfRule>
  </conditionalFormatting>
  <conditionalFormatting sqref="D50">
    <cfRule type="cellIs" priority="14" operator="lessThan" dxfId="1">
      <formula>0</formula>
    </cfRule>
  </conditionalFormatting>
  <conditionalFormatting sqref="D51">
    <cfRule type="cellIs" priority="15" operator="lessThan" dxfId="1">
      <formula>0</formula>
    </cfRule>
  </conditionalFormatting>
  <conditionalFormatting sqref="D52">
    <cfRule type="cellIs" priority="16" operator="lessThan" dxfId="1">
      <formula>0</formula>
    </cfRule>
  </conditionalFormatting>
  <conditionalFormatting sqref="D53">
    <cfRule type="cellIs" priority="17" operator="lessThan" dxfId="1">
      <formula>0</formula>
    </cfRule>
  </conditionalFormatting>
  <conditionalFormatting sqref="D54">
    <cfRule type="cellIs" priority="18" operator="lessThan" dxfId="1">
      <formula>0</formula>
    </cfRule>
  </conditionalFormatting>
  <conditionalFormatting sqref="D55">
    <cfRule type="cellIs" priority="19" operator="lessThan" dxfId="1">
      <formula>0</formula>
    </cfRule>
  </conditionalFormatting>
  <conditionalFormatting sqref="D56">
    <cfRule type="cellIs" priority="20" operator="lessThan" dxfId="1">
      <formula>0</formula>
    </cfRule>
  </conditionalFormatting>
  <conditionalFormatting sqref="D57">
    <cfRule type="cellIs" priority="21" operator="lessThan" dxfId="1">
      <formula>0</formula>
    </cfRule>
  </conditionalFormatting>
  <conditionalFormatting sqref="D58">
    <cfRule type="cellIs" priority="22" operator="lessThan" dxfId="1">
      <formula>0</formula>
    </cfRule>
  </conditionalFormatting>
  <conditionalFormatting sqref="D59">
    <cfRule type="cellIs" priority="23" operator="lessThan" dxfId="1">
      <formula>0</formula>
    </cfRule>
  </conditionalFormatting>
  <conditionalFormatting sqref="D60">
    <cfRule type="cellIs" priority="24" operator="lessThan" dxfId="1">
      <formula>0</formula>
    </cfRule>
  </conditionalFormatting>
  <conditionalFormatting sqref="D61">
    <cfRule type="cellIs" priority="25" operator="lessThan" dxfId="1">
      <formula>0</formula>
    </cfRule>
  </conditionalFormatting>
  <conditionalFormatting sqref="D62">
    <cfRule type="cellIs" priority="26" operator="lessThan" dxfId="1">
      <formula>0</formula>
    </cfRule>
  </conditionalFormatting>
  <conditionalFormatting sqref="D63">
    <cfRule type="cellIs" priority="27" operator="lessThan" dxfId="1">
      <formula>0</formula>
    </cfRule>
  </conditionalFormatting>
  <conditionalFormatting sqref="D64">
    <cfRule type="cellIs" priority="28" operator="lessThan" dxfId="1">
      <formula>0</formula>
    </cfRule>
  </conditionalFormatting>
  <conditionalFormatting sqref="D65">
    <cfRule type="cellIs" priority="29" operator="lessThan" dxfId="1">
      <formula>0</formula>
    </cfRule>
  </conditionalFormatting>
  <conditionalFormatting sqref="D66">
    <cfRule type="cellIs" priority="30" operator="lessThan" dxfId="1">
      <formula>0</formula>
    </cfRule>
  </conditionalFormatting>
  <conditionalFormatting sqref="D67">
    <cfRule type="cellIs" priority="31" operator="lessThan" dxfId="1">
      <formula>0</formula>
    </cfRule>
  </conditionalFormatting>
  <conditionalFormatting sqref="D68">
    <cfRule type="cellIs" priority="32" operator="lessThan" dxfId="1">
      <formula>0</formula>
    </cfRule>
  </conditionalFormatting>
  <conditionalFormatting sqref="F72:F82">
    <cfRule type="cellIs" priority="33" operator="lessThan" dxfId="2">
      <formula>0</formula>
    </cfRule>
  </conditionalFormatting>
  <conditionalFormatting sqref="J101:J113">
    <cfRule type="cellIs" priority="34" operator="lessThan" dxfId="2">
      <formula>-0.5</formula>
    </cfRule>
    <cfRule type="cellIs" priority="35" operator="greaterThan" dxfId="3">
      <formula>0.5</formula>
    </cfRule>
  </conditionalFormatting>
  <dataValidations count="2">
    <dataValidation sqref="C4" showDropDown="0" showInputMessage="1" showErrorMessage="1" allowBlank="1" errorTitle="Reporting month" error="Pick a month from the list (this drives the whole dashboard)." promptTitle="Reporting month" prompt="Pick a month from the list (this drives the whole dashboard)." type="list" errorStyle="warning">
      <formula1>=Calc!$AA$2:$AA$25</formula1>
    </dataValidation>
    <dataValidation sqref="F4" showDropDown="0" showInputMessage="1" showErrorMessage="1" allowBlank="1" errorTitle="Truck filter" error="Pick 'All' or one truck." promptTitle="Truck filter" prompt="Pick 'All' or one truck." type="list" errorStyle="warning">
      <formula1>=Calc!$AB$1:$AB$11</formula1>
    </dataValidation>
  </dataValidations>
  <hyperlinks>
    <hyperlink xmlns:r="http://schemas.openxmlformats.org/officeDocument/2006/relationships" ref="C3" r:id="rId1"/>
    <hyperlink xmlns:r="http://schemas.openxmlformats.org/officeDocument/2006/relationships" ref="D3" r:id="rId2"/>
    <hyperlink xmlns:r="http://schemas.openxmlformats.org/officeDocument/2006/relationships" ref="E3" r:id="rId3"/>
    <hyperlink xmlns:r="http://schemas.openxmlformats.org/officeDocument/2006/relationships" ref="F3" r:id="rId4"/>
    <hyperlink xmlns:r="http://schemas.openxmlformats.org/officeDocument/2006/relationships" ref="G3" r:id="rId5"/>
    <hyperlink xmlns:r="http://schemas.openxmlformats.org/officeDocument/2006/relationships" ref="H3" r:id="rId6"/>
    <hyperlink xmlns:r="http://schemas.openxmlformats.org/officeDocument/2006/relationships" ref="I3" r:id="rId7"/>
    <hyperlink xmlns:r="http://schemas.openxmlformats.org/officeDocument/2006/relationships" ref="J3" r:id="rId8"/>
    <hyperlink xmlns:r="http://schemas.openxmlformats.org/officeDocument/2006/relationships" ref="K3" r:id="rId9"/>
    <hyperlink xmlns:r="http://schemas.openxmlformats.org/officeDocument/2006/relationships" ref="L3"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tabColor rgb="000E7C7B"/>
    <outlinePr summaryBelow="1" summaryRight="1"/>
    <pageSetUpPr fitToPage="1"/>
  </sheetPr>
  <dimension ref="A1:Z10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2" customWidth="1" min="3" max="3"/>
    <col width="16" customWidth="1" min="4" max="4"/>
    <col width="16" customWidth="1" min="5" max="5"/>
    <col width="18" customWidth="1" min="6" max="6"/>
    <col width="23" customWidth="1" min="7" max="7"/>
    <col width="8" customWidth="1" min="8" max="8"/>
    <col width="11" customWidth="1" min="9" max="9"/>
    <col width="9" customWidth="1" min="10" max="10"/>
    <col width="12" customWidth="1" min="11" max="11"/>
    <col width="10" customWidth="1" min="12" max="12"/>
    <col width="12" customWidth="1" min="13" max="13"/>
    <col width="11" customWidth="1" min="14" max="14"/>
    <col width="11" customWidth="1" min="15" max="15"/>
    <col width="11" customWidth="1" min="16" max="16"/>
    <col width="13" customWidth="1" min="17" max="17"/>
    <col width="11" customWidth="1" min="18" max="18"/>
    <col width="11" customWidth="1" min="19" max="19"/>
    <col width="12" customWidth="1" min="20" max="20"/>
    <col width="11" customWidth="1" min="21" max="21"/>
    <col width="13" customWidth="1" min="22" max="22"/>
    <col width="10" customWidth="1" min="23" max="23"/>
    <col width="26" customWidth="1" min="24" max="24"/>
    <col width="2" customWidth="1" min="25" max="25"/>
    <col hidden="1" width="13" customWidth="1" min="26" max="26"/>
  </cols>
  <sheetData>
    <row r="1" ht="40" customHeight="1">
      <c r="A1" s="77" t="inlineStr">
        <is>
          <t>🚚  TRIPS  —  one row per delivery  (this is the only sheet you fill in daily)</t>
        </is>
      </c>
    </row>
    <row r="2" ht="20" customHeight="1">
      <c r="A2" s="78" t="inlineStr">
        <is>
          <t>Type only in the WHITE columns. Grey columns calculate themselves. Leave the fuel surcharge blank to use the 18% default — leave allowance blank to use the default.</t>
        </is>
      </c>
    </row>
    <row r="3" ht="18" customHeight="1">
      <c r="A3" s="79" t="inlineStr">
        <is>
          <t>ALL-TIME TOTALS  →</t>
        </is>
      </c>
      <c r="B3" s="80">
        <f>COUNT(5:1004)&amp;" trips logged"</f>
        <v/>
      </c>
      <c r="H3" s="81">
        <f>SUM(H5:H1004)</f>
        <v/>
      </c>
      <c r="K3" s="82">
        <f>SUM(K5:K1004)</f>
        <v/>
      </c>
      <c r="L3" s="82">
        <f>SUM(L5:L1004)</f>
        <v/>
      </c>
      <c r="M3" s="82">
        <f>SUM(M5:M1004)</f>
        <v/>
      </c>
      <c r="N3" s="82">
        <f>SUM(N5:N1004)</f>
        <v/>
      </c>
      <c r="O3" s="82">
        <f>SUM(O5:O1004)</f>
        <v/>
      </c>
      <c r="P3" s="82">
        <f>SUM(P5:P1004)</f>
        <v/>
      </c>
      <c r="Q3" s="82">
        <f>SUM(Q5:Q1004)</f>
        <v/>
      </c>
      <c r="R3" s="82">
        <f>SUM(R5:R1004)</f>
        <v/>
      </c>
      <c r="S3" s="82">
        <f>SUM(S5:S1004)</f>
        <v/>
      </c>
      <c r="T3" s="82">
        <f>SUM(T5:T1004)</f>
        <v/>
      </c>
      <c r="U3" s="82">
        <f>SUM(U5:U1004)</f>
        <v/>
      </c>
      <c r="V3" s="82">
        <f>SUM(V5:V1004)</f>
        <v/>
      </c>
    </row>
    <row r="4" ht="38" customHeight="1">
      <c r="A4" s="83" t="inlineStr">
        <is>
          <t>DATE</t>
        </is>
      </c>
      <c r="B4" s="83" t="inlineStr">
        <is>
          <t>INVOICE / DR NO.</t>
        </is>
      </c>
      <c r="C4" s="83" t="inlineStr">
        <is>
          <t>TRUCK</t>
        </is>
      </c>
      <c r="D4" s="83" t="inlineStr">
        <is>
          <t>DRIVER</t>
        </is>
      </c>
      <c r="E4" s="83" t="inlineStr">
        <is>
          <t>HELPER</t>
        </is>
      </c>
      <c r="F4" s="83" t="inlineStr">
        <is>
          <t>SOURCE</t>
        </is>
      </c>
      <c r="G4" s="83" t="inlineStr">
        <is>
          <t>DESTINATION</t>
        </is>
      </c>
      <c r="H4" s="83" t="inlineStr">
        <is>
          <t>TONS</t>
        </is>
      </c>
      <c r="I4" s="84" t="inlineStr">
        <is>
          <t>RATE /
TON</t>
        </is>
      </c>
      <c r="J4" s="83" t="inlineStr">
        <is>
          <t>FUEL
SURCH. %</t>
        </is>
      </c>
      <c r="K4" s="84" t="inlineStr">
        <is>
          <t>GROSS
FEE</t>
        </is>
      </c>
      <c r="L4" s="84" t="inlineStr">
        <is>
          <t>2% TAX</t>
        </is>
      </c>
      <c r="M4" s="84" t="inlineStr">
        <is>
          <t>NET FEE</t>
        </is>
      </c>
      <c r="N4" s="84" t="inlineStr">
        <is>
          <t>DRIVER
PAY</t>
        </is>
      </c>
      <c r="O4" s="84" t="inlineStr">
        <is>
          <t>HELPER
PAY</t>
        </is>
      </c>
      <c r="P4" s="83" t="inlineStr">
        <is>
          <t>ALLOWANCE</t>
        </is>
      </c>
      <c r="Q4" s="83" t="inlineStr">
        <is>
          <t>REIMBURSABLE</t>
        </is>
      </c>
      <c r="R4" s="83" t="inlineStr">
        <is>
          <t>FUEL COST</t>
        </is>
      </c>
      <c r="S4" s="83" t="inlineStr">
        <is>
          <t>TOLL +
PARKING</t>
        </is>
      </c>
      <c r="T4" s="83" t="inlineStr">
        <is>
          <t>OTHER TRIP
COST</t>
        </is>
      </c>
      <c r="U4" s="84" t="inlineStr">
        <is>
          <t>DIRECT
COST</t>
        </is>
      </c>
      <c r="V4" s="84" t="inlineStr">
        <is>
          <t>TRIP NET
PROFIT</t>
        </is>
      </c>
      <c r="W4" s="83" t="inlineStr">
        <is>
          <t>BILLING</t>
        </is>
      </c>
      <c r="X4" s="83" t="inlineStr">
        <is>
          <t>REMARKS</t>
        </is>
      </c>
    </row>
    <row r="5">
      <c r="A5" s="85" t="n">
        <v>46235</v>
      </c>
      <c r="B5" s="86" t="inlineStr">
        <is>
          <t>DR-1001</t>
        </is>
      </c>
      <c r="C5" s="86" t="inlineStr">
        <is>
          <t>TRUCK 1</t>
        </is>
      </c>
      <c r="D5" s="87" t="inlineStr">
        <is>
          <t>R. Dela Cruz</t>
        </is>
      </c>
      <c r="E5" s="87" t="inlineStr">
        <is>
          <t>J. Santos</t>
        </is>
      </c>
      <c r="F5" s="87" t="inlineStr">
        <is>
          <t>BATAAN</t>
        </is>
      </c>
      <c r="G5" s="87" t="inlineStr">
        <is>
          <t>TARLAC</t>
        </is>
      </c>
      <c r="H5" s="88" t="n">
        <v>17</v>
      </c>
      <c r="I5" s="89">
        <f>IF($G5="","",IF($F5="",IFERROR(INDEX(Setup!$C$21:$C$60,MATCH("|"&amp;UPPER(TRIM($G5)),Setup!$Q$21:$Q$60,0)),"NO RATE"),IFERROR(INDEX(Setup!$C$21:$C$60,MATCH(UPPER(TRIM($F5))&amp;"|"&amp;UPPER(TRIM($G5)),Setup!$P$21:$P$60,0)),IFERROR(INDEX(Setup!$C$21:$C$60,MATCH(UPPER(TRIM($G5))&amp;"|"&amp;UPPER(TRIM($F5)),Setup!$P$21:$P$60,0)),"NO RATE"))))</f>
        <v/>
      </c>
      <c r="J5" s="90" t="n"/>
      <c r="K5" s="89">
        <f>IF(OR($G5="",$H5="",NOT(ISNUMBER($I5))),"",ROUND($H5*$I5*(1+IF($J5="",Setup!$B$16,$J5)),2))</f>
        <v/>
      </c>
      <c r="L5" s="89">
        <f>IF($K5="","",ROUND($K5*Setup!$B$13,2))</f>
        <v/>
      </c>
      <c r="M5" s="89">
        <f>IF($K5="","",$K5-$L5)</f>
        <v/>
      </c>
      <c r="N5" s="89">
        <f>IF(OR($M5="",$D5=""),"",ROUND($M5*IFERROR(IF(VLOOKUP($D5,Setup!$A$76:$C$87,3,FALSE)="",Setup!$B$14,VLOOKUP($D5,Setup!$A$76:$C$87,3,FALSE)),Setup!$B$14),2))</f>
        <v/>
      </c>
      <c r="O5" s="89">
        <f>IF(OR($M5="",$E5=""),"",ROUND($M5*IFERROR(IF(VLOOKUP($E5,Setup!$A$76:$C$87,3,FALSE)="",Setup!$B$15,VLOOKUP($E5,Setup!$A$76:$C$87,3,FALSE)),Setup!$B$15),2))</f>
        <v/>
      </c>
      <c r="P5" s="91" t="n">
        <v>500</v>
      </c>
      <c r="Q5" s="91" t="n">
        <v>450</v>
      </c>
      <c r="R5" s="91" t="n">
        <v>5600</v>
      </c>
      <c r="S5" s="91" t="n">
        <v>620</v>
      </c>
      <c r="T5" s="91" t="n">
        <v>0</v>
      </c>
      <c r="U5" s="89">
        <f>IF($K5="","",SUM($R5:$T5))</f>
        <v/>
      </c>
      <c r="V5" s="89">
        <f>IF($K5="","",$M5-(N($N5)+N($O5)+IF($P5="",Setup!$B$17,$P5)+N($Q5))-N($U5))</f>
        <v/>
      </c>
      <c r="W5" s="86" t="inlineStr">
        <is>
          <t>Paid</t>
        </is>
      </c>
      <c r="X5" s="87" t="inlineStr"/>
      <c r="Z5" s="92">
        <f>IF($A5="","",DATE(YEAR($A5),MONTH($A5),1))</f>
        <v/>
      </c>
    </row>
    <row r="6">
      <c r="A6" s="93" t="n">
        <v>46237</v>
      </c>
      <c r="B6" s="94" t="inlineStr">
        <is>
          <t>DR-1002</t>
        </is>
      </c>
      <c r="C6" s="94" t="inlineStr">
        <is>
          <t>TRUCK 1</t>
        </is>
      </c>
      <c r="D6" s="95" t="inlineStr">
        <is>
          <t>M. Reyes</t>
        </is>
      </c>
      <c r="E6" s="95" t="inlineStr">
        <is>
          <t>A. Bautista</t>
        </is>
      </c>
      <c r="F6" s="95" t="inlineStr">
        <is>
          <t>BATAAN</t>
        </is>
      </c>
      <c r="G6" s="95" t="inlineStr">
        <is>
          <t>BMPP</t>
        </is>
      </c>
      <c r="H6" s="96" t="n">
        <v>20</v>
      </c>
      <c r="I6" s="89">
        <f>IF($G6="","",IF($F6="",IFERROR(INDEX(Setup!$C$21:$C$60,MATCH("|"&amp;UPPER(TRIM($G6)),Setup!$Q$21:$Q$60,0)),"NO RATE"),IFERROR(INDEX(Setup!$C$21:$C$60,MATCH(UPPER(TRIM($F6))&amp;"|"&amp;UPPER(TRIM($G6)),Setup!$P$21:$P$60,0)),IFERROR(INDEX(Setup!$C$21:$C$60,MATCH(UPPER(TRIM($G6))&amp;"|"&amp;UPPER(TRIM($F6)),Setup!$P$21:$P$60,0)),"NO RATE"))))</f>
        <v/>
      </c>
      <c r="J6" s="97" t="n"/>
      <c r="K6" s="89">
        <f>IF(OR($G6="",$H6="",NOT(ISNUMBER($I6))),"",ROUND($H6*$I6*(1+IF($J6="",Setup!$B$16,$J6)),2))</f>
        <v/>
      </c>
      <c r="L6" s="89">
        <f>IF($K6="","",ROUND($K6*Setup!$B$13,2))</f>
        <v/>
      </c>
      <c r="M6" s="89">
        <f>IF($K6="","",$K6-$L6)</f>
        <v/>
      </c>
      <c r="N6" s="89">
        <f>IF(OR($M6="",$D6=""),"",ROUND($M6*IFERROR(IF(VLOOKUP($D6,Setup!$A$76:$C$87,3,FALSE)="",Setup!$B$14,VLOOKUP($D6,Setup!$A$76:$C$87,3,FALSE)),Setup!$B$14),2))</f>
        <v/>
      </c>
      <c r="O6" s="89">
        <f>IF(OR($M6="",$E6=""),"",ROUND($M6*IFERROR(IF(VLOOKUP($E6,Setup!$A$76:$C$87,3,FALSE)="",Setup!$B$15,VLOOKUP($E6,Setup!$A$76:$C$87,3,FALSE)),Setup!$B$15),2))</f>
        <v/>
      </c>
      <c r="P6" s="98" t="n">
        <v>500</v>
      </c>
      <c r="Q6" s="98" t="n">
        <v>0</v>
      </c>
      <c r="R6" s="98" t="n">
        <v>8300</v>
      </c>
      <c r="S6" s="98" t="n">
        <v>560</v>
      </c>
      <c r="T6" s="98" t="n">
        <v>0</v>
      </c>
      <c r="U6" s="89">
        <f>IF($K6="","",SUM($R6:$T6))</f>
        <v/>
      </c>
      <c r="V6" s="89">
        <f>IF($K6="","",$M6-(N($N6)+N($O6)+IF($P6="",Setup!$B$17,$P6)+N($Q6))-N($U6))</f>
        <v/>
      </c>
      <c r="W6" s="94" t="inlineStr">
        <is>
          <t>Paid</t>
        </is>
      </c>
      <c r="X6" s="95" t="inlineStr"/>
      <c r="Z6" s="92">
        <f>IF($A6="","",DATE(YEAR($A6),MONTH($A6),1))</f>
        <v/>
      </c>
    </row>
    <row r="7">
      <c r="A7" s="85" t="n">
        <v>46239</v>
      </c>
      <c r="B7" s="86" t="inlineStr">
        <is>
          <t>DR-1003</t>
        </is>
      </c>
      <c r="C7" s="86" t="inlineStr">
        <is>
          <t>TRUCK 1</t>
        </is>
      </c>
      <c r="D7" s="87" t="inlineStr">
        <is>
          <t>R. Dela Cruz</t>
        </is>
      </c>
      <c r="E7" s="87" t="inlineStr">
        <is>
          <t>J. Santos</t>
        </is>
      </c>
      <c r="F7" s="87" t="inlineStr">
        <is>
          <t>ORION</t>
        </is>
      </c>
      <c r="G7" s="87" t="inlineStr">
        <is>
          <t>BMPP</t>
        </is>
      </c>
      <c r="H7" s="88" t="n">
        <v>23</v>
      </c>
      <c r="I7" s="89">
        <f>IF($G7="","",IF($F7="",IFERROR(INDEX(Setup!$C$21:$C$60,MATCH("|"&amp;UPPER(TRIM($G7)),Setup!$Q$21:$Q$60,0)),"NO RATE"),IFERROR(INDEX(Setup!$C$21:$C$60,MATCH(UPPER(TRIM($F7))&amp;"|"&amp;UPPER(TRIM($G7)),Setup!$P$21:$P$60,0)),IFERROR(INDEX(Setup!$C$21:$C$60,MATCH(UPPER(TRIM($G7))&amp;"|"&amp;UPPER(TRIM($F7)),Setup!$P$21:$P$60,0)),"NO RATE"))))</f>
        <v/>
      </c>
      <c r="J7" s="90" t="n"/>
      <c r="K7" s="89">
        <f>IF(OR($G7="",$H7="",NOT(ISNUMBER($I7))),"",ROUND($H7*$I7*(1+IF($J7="",Setup!$B$16,$J7)),2))</f>
        <v/>
      </c>
      <c r="L7" s="89">
        <f>IF($K7="","",ROUND($K7*Setup!$B$13,2))</f>
        <v/>
      </c>
      <c r="M7" s="89">
        <f>IF($K7="","",$K7-$L7)</f>
        <v/>
      </c>
      <c r="N7" s="89">
        <f>IF(OR($M7="",$D7=""),"",ROUND($M7*IFERROR(IF(VLOOKUP($D7,Setup!$A$76:$C$87,3,FALSE)="",Setup!$B$14,VLOOKUP($D7,Setup!$A$76:$C$87,3,FALSE)),Setup!$B$14),2))</f>
        <v/>
      </c>
      <c r="O7" s="89">
        <f>IF(OR($M7="",$E7=""),"",ROUND($M7*IFERROR(IF(VLOOKUP($E7,Setup!$A$76:$C$87,3,FALSE)="",Setup!$B$15,VLOOKUP($E7,Setup!$A$76:$C$87,3,FALSE)),Setup!$B$15),2))</f>
        <v/>
      </c>
      <c r="P7" s="91" t="n">
        <v>500</v>
      </c>
      <c r="Q7" s="91" t="n">
        <v>0</v>
      </c>
      <c r="R7" s="91" t="n">
        <v>9800</v>
      </c>
      <c r="S7" s="91" t="n">
        <v>540</v>
      </c>
      <c r="T7" s="91" t="n">
        <v>0</v>
      </c>
      <c r="U7" s="89">
        <f>IF($K7="","",SUM($R7:$T7))</f>
        <v/>
      </c>
      <c r="V7" s="89">
        <f>IF($K7="","",$M7-(N($N7)+N($O7)+IF($P7="",Setup!$B$17,$P7)+N($Q7))-N($U7))</f>
        <v/>
      </c>
      <c r="W7" s="86" t="inlineStr">
        <is>
          <t>Paid</t>
        </is>
      </c>
      <c r="X7" s="87" t="inlineStr"/>
      <c r="Z7" s="92">
        <f>IF($A7="","",DATE(YEAR($A7),MONTH($A7),1))</f>
        <v/>
      </c>
    </row>
    <row r="8">
      <c r="A8" s="93" t="n">
        <v>46241</v>
      </c>
      <c r="B8" s="94" t="inlineStr">
        <is>
          <t>DR-1004</t>
        </is>
      </c>
      <c r="C8" s="94" t="inlineStr">
        <is>
          <t>TRUCK 1</t>
        </is>
      </c>
      <c r="D8" s="95" t="inlineStr">
        <is>
          <t>M. Reyes</t>
        </is>
      </c>
      <c r="E8" s="95" t="inlineStr">
        <is>
          <t>A. Bautista</t>
        </is>
      </c>
      <c r="F8" s="95" t="inlineStr">
        <is>
          <t>MABINI, BATANGAS</t>
        </is>
      </c>
      <c r="G8" s="95" t="inlineStr">
        <is>
          <t>BMPP</t>
        </is>
      </c>
      <c r="H8" s="96" t="n">
        <v>19</v>
      </c>
      <c r="I8" s="89">
        <f>IF($G8="","",IF($F8="",IFERROR(INDEX(Setup!$C$21:$C$60,MATCH("|"&amp;UPPER(TRIM($G8)),Setup!$Q$21:$Q$60,0)),"NO RATE"),IFERROR(INDEX(Setup!$C$21:$C$60,MATCH(UPPER(TRIM($F8))&amp;"|"&amp;UPPER(TRIM($G8)),Setup!$P$21:$P$60,0)),IFERROR(INDEX(Setup!$C$21:$C$60,MATCH(UPPER(TRIM($G8))&amp;"|"&amp;UPPER(TRIM($F8)),Setup!$P$21:$P$60,0)),"NO RATE"))))</f>
        <v/>
      </c>
      <c r="J8" s="97" t="n"/>
      <c r="K8" s="89">
        <f>IF(OR($G8="",$H8="",NOT(ISNUMBER($I8))),"",ROUND($H8*$I8*(1+IF($J8="",Setup!$B$16,$J8)),2))</f>
        <v/>
      </c>
      <c r="L8" s="89">
        <f>IF($K8="","",ROUND($K8*Setup!$B$13,2))</f>
        <v/>
      </c>
      <c r="M8" s="89">
        <f>IF($K8="","",$K8-$L8)</f>
        <v/>
      </c>
      <c r="N8" s="89">
        <f>IF(OR($M8="",$D8=""),"",ROUND($M8*IFERROR(IF(VLOOKUP($D8,Setup!$A$76:$C$87,3,FALSE)="",Setup!$B$14,VLOOKUP($D8,Setup!$A$76:$C$87,3,FALSE)),Setup!$B$14),2))</f>
        <v/>
      </c>
      <c r="O8" s="89">
        <f>IF(OR($M8="",$E8=""),"",ROUND($M8*IFERROR(IF(VLOOKUP($E8,Setup!$A$76:$C$87,3,FALSE)="",Setup!$B$15,VLOOKUP($E8,Setup!$A$76:$C$87,3,FALSE)),Setup!$B$15),2))</f>
        <v/>
      </c>
      <c r="P8" s="98" t="n">
        <v>500</v>
      </c>
      <c r="Q8" s="98" t="n">
        <v>0</v>
      </c>
      <c r="R8" s="98" t="n">
        <v>11100</v>
      </c>
      <c r="S8" s="98" t="n">
        <v>980</v>
      </c>
      <c r="T8" s="98" t="n">
        <v>0</v>
      </c>
      <c r="U8" s="89">
        <f>IF($K8="","",SUM($R8:$T8))</f>
        <v/>
      </c>
      <c r="V8" s="89">
        <f>IF($K8="","",$M8-(N($N8)+N($O8)+IF($P8="",Setup!$B$17,$P8)+N($Q8))-N($U8))</f>
        <v/>
      </c>
      <c r="W8" s="94" t="inlineStr">
        <is>
          <t>Paid</t>
        </is>
      </c>
      <c r="X8" s="95" t="inlineStr"/>
      <c r="Z8" s="92">
        <f>IF($A8="","",DATE(YEAR($A8),MONTH($A8),1))</f>
        <v/>
      </c>
    </row>
    <row r="9">
      <c r="A9" s="85" t="n">
        <v>46243</v>
      </c>
      <c r="B9" s="86" t="inlineStr">
        <is>
          <t>DR-1005</t>
        </is>
      </c>
      <c r="C9" s="86" t="inlineStr">
        <is>
          <t>TRUCK 1</t>
        </is>
      </c>
      <c r="D9" s="87" t="inlineStr">
        <is>
          <t>R. Dela Cruz</t>
        </is>
      </c>
      <c r="E9" s="87" t="inlineStr">
        <is>
          <t>J. Santos</t>
        </is>
      </c>
      <c r="F9" s="87" t="inlineStr">
        <is>
          <t>BATAAN</t>
        </is>
      </c>
      <c r="G9" s="87" t="inlineStr">
        <is>
          <t>ISABELA</t>
        </is>
      </c>
      <c r="H9" s="88" t="n">
        <v>18</v>
      </c>
      <c r="I9" s="89">
        <f>IF($G9="","",IF($F9="",IFERROR(INDEX(Setup!$C$21:$C$60,MATCH("|"&amp;UPPER(TRIM($G9)),Setup!$Q$21:$Q$60,0)),"NO RATE"),IFERROR(INDEX(Setup!$C$21:$C$60,MATCH(UPPER(TRIM($F9))&amp;"|"&amp;UPPER(TRIM($G9)),Setup!$P$21:$P$60,0)),IFERROR(INDEX(Setup!$C$21:$C$60,MATCH(UPPER(TRIM($G9))&amp;"|"&amp;UPPER(TRIM($F9)),Setup!$P$21:$P$60,0)),"NO RATE"))))</f>
        <v/>
      </c>
      <c r="J9" s="90" t="n"/>
      <c r="K9" s="89">
        <f>IF(OR($G9="",$H9="",NOT(ISNUMBER($I9))),"",ROUND($H9*$I9*(1+IF($J9="",Setup!$B$16,$J9)),2))</f>
        <v/>
      </c>
      <c r="L9" s="89">
        <f>IF($K9="","",ROUND($K9*Setup!$B$13,2))</f>
        <v/>
      </c>
      <c r="M9" s="89">
        <f>IF($K9="","",$K9-$L9)</f>
        <v/>
      </c>
      <c r="N9" s="89">
        <f>IF(OR($M9="",$D9=""),"",ROUND($M9*IFERROR(IF(VLOOKUP($D9,Setup!$A$76:$C$87,3,FALSE)="",Setup!$B$14,VLOOKUP($D9,Setup!$A$76:$C$87,3,FALSE)),Setup!$B$14),2))</f>
        <v/>
      </c>
      <c r="O9" s="89">
        <f>IF(OR($M9="",$E9=""),"",ROUND($M9*IFERROR(IF(VLOOKUP($E9,Setup!$A$76:$C$87,3,FALSE)="",Setup!$B$15,VLOOKUP($E9,Setup!$A$76:$C$87,3,FALSE)),Setup!$B$15),2))</f>
        <v/>
      </c>
      <c r="P9" s="91" t="n">
        <v>500</v>
      </c>
      <c r="Q9" s="91" t="n">
        <v>0</v>
      </c>
      <c r="R9" s="91" t="n">
        <v>16500</v>
      </c>
      <c r="S9" s="91" t="n">
        <v>1250</v>
      </c>
      <c r="T9" s="91" t="n">
        <v>0</v>
      </c>
      <c r="U9" s="89">
        <f>IF($K9="","",SUM($R9:$T9))</f>
        <v/>
      </c>
      <c r="V9" s="89">
        <f>IF($K9="","",$M9-(N($N9)+N($O9)+IF($P9="",Setup!$B$17,$P9)+N($Q9))-N($U9))</f>
        <v/>
      </c>
      <c r="W9" s="86" t="inlineStr">
        <is>
          <t>Paid</t>
        </is>
      </c>
      <c r="X9" s="87" t="inlineStr">
        <is>
          <t>long haul — diesel receipt attached</t>
        </is>
      </c>
      <c r="Z9" s="92">
        <f>IF($A9="","",DATE(YEAR($A9),MONTH($A9),1))</f>
        <v/>
      </c>
    </row>
    <row r="10">
      <c r="A10" s="93" t="n">
        <v>46245</v>
      </c>
      <c r="B10" s="94" t="inlineStr">
        <is>
          <t>DR-1006</t>
        </is>
      </c>
      <c r="C10" s="94" t="inlineStr">
        <is>
          <t>TRUCK 1</t>
        </is>
      </c>
      <c r="D10" s="95" t="inlineStr">
        <is>
          <t>M. Reyes</t>
        </is>
      </c>
      <c r="E10" s="95" t="inlineStr">
        <is>
          <t>A. Bautista</t>
        </is>
      </c>
      <c r="F10" s="95" t="inlineStr">
        <is>
          <t>ORION</t>
        </is>
      </c>
      <c r="G10" s="95" t="inlineStr">
        <is>
          <t>TARLAC</t>
        </is>
      </c>
      <c r="H10" s="96" t="n">
        <v>21</v>
      </c>
      <c r="I10" s="89">
        <f>IF($G10="","",IF($F10="",IFERROR(INDEX(Setup!$C$21:$C$60,MATCH("|"&amp;UPPER(TRIM($G10)),Setup!$Q$21:$Q$60,0)),"NO RATE"),IFERROR(INDEX(Setup!$C$21:$C$60,MATCH(UPPER(TRIM($F10))&amp;"|"&amp;UPPER(TRIM($G10)),Setup!$P$21:$P$60,0)),IFERROR(INDEX(Setup!$C$21:$C$60,MATCH(UPPER(TRIM($G10))&amp;"|"&amp;UPPER(TRIM($F10)),Setup!$P$21:$P$60,0)),"NO RATE"))))</f>
        <v/>
      </c>
      <c r="J10" s="97" t="n"/>
      <c r="K10" s="89">
        <f>IF(OR($G10="",$H10="",NOT(ISNUMBER($I10))),"",ROUND($H10*$I10*(1+IF($J10="",Setup!$B$16,$J10)),2))</f>
        <v/>
      </c>
      <c r="L10" s="89">
        <f>IF($K10="","",ROUND($K10*Setup!$B$13,2))</f>
        <v/>
      </c>
      <c r="M10" s="89">
        <f>IF($K10="","",$K10-$L10)</f>
        <v/>
      </c>
      <c r="N10" s="89">
        <f>IF(OR($M10="",$D10=""),"",ROUND($M10*IFERROR(IF(VLOOKUP($D10,Setup!$A$76:$C$87,3,FALSE)="",Setup!$B$14,VLOOKUP($D10,Setup!$A$76:$C$87,3,FALSE)),Setup!$B$14),2))</f>
        <v/>
      </c>
      <c r="O10" s="89">
        <f>IF(OR($M10="",$E10=""),"",ROUND($M10*IFERROR(IF(VLOOKUP($E10,Setup!$A$76:$C$87,3,FALSE)="",Setup!$B$15,VLOOKUP($E10,Setup!$A$76:$C$87,3,FALSE)),Setup!$B$15),2))</f>
        <v/>
      </c>
      <c r="P10" s="98" t="n">
        <v>500</v>
      </c>
      <c r="Q10" s="98" t="n">
        <v>450</v>
      </c>
      <c r="R10" s="98" t="n">
        <v>7200</v>
      </c>
      <c r="S10" s="98" t="n">
        <v>610</v>
      </c>
      <c r="T10" s="98" t="n">
        <v>0</v>
      </c>
      <c r="U10" s="89">
        <f>IF($K10="","",SUM($R10:$T10))</f>
        <v/>
      </c>
      <c r="V10" s="89">
        <f>IF($K10="","",$M10-(N($N10)+N($O10)+IF($P10="",Setup!$B$17,$P10)+N($Q10))-N($U10))</f>
        <v/>
      </c>
      <c r="W10" s="94" t="inlineStr">
        <is>
          <t>Paid</t>
        </is>
      </c>
      <c r="X10" s="95" t="inlineStr"/>
      <c r="Z10" s="92">
        <f>IF($A10="","",DATE(YEAR($A10),MONTH($A10),1))</f>
        <v/>
      </c>
    </row>
    <row r="11">
      <c r="A11" s="85" t="n">
        <v>46247</v>
      </c>
      <c r="B11" s="86" t="inlineStr">
        <is>
          <t>DR-1007</t>
        </is>
      </c>
      <c r="C11" s="86" t="inlineStr">
        <is>
          <t>TRUCK 1</t>
        </is>
      </c>
      <c r="D11" s="87" t="inlineStr">
        <is>
          <t>R. Dela Cruz</t>
        </is>
      </c>
      <c r="E11" s="87" t="inlineStr">
        <is>
          <t>J. Santos</t>
        </is>
      </c>
      <c r="F11" s="87" t="inlineStr">
        <is>
          <t>MABINI, BATANGAS</t>
        </is>
      </c>
      <c r="G11" s="87" t="inlineStr">
        <is>
          <t>TARLAC</t>
        </is>
      </c>
      <c r="H11" s="88" t="n">
        <v>17</v>
      </c>
      <c r="I11" s="89">
        <f>IF($G11="","",IF($F11="",IFERROR(INDEX(Setup!$C$21:$C$60,MATCH("|"&amp;UPPER(TRIM($G11)),Setup!$Q$21:$Q$60,0)),"NO RATE"),IFERROR(INDEX(Setup!$C$21:$C$60,MATCH(UPPER(TRIM($F11))&amp;"|"&amp;UPPER(TRIM($G11)),Setup!$P$21:$P$60,0)),IFERROR(INDEX(Setup!$C$21:$C$60,MATCH(UPPER(TRIM($G11))&amp;"|"&amp;UPPER(TRIM($F11)),Setup!$P$21:$P$60,0)),"NO RATE"))))</f>
        <v/>
      </c>
      <c r="J11" s="90" t="n"/>
      <c r="K11" s="89">
        <f>IF(OR($G11="",$H11="",NOT(ISNUMBER($I11))),"",ROUND($H11*$I11*(1+IF($J11="",Setup!$B$16,$J11)),2))</f>
        <v/>
      </c>
      <c r="L11" s="89">
        <f>IF($K11="","",ROUND($K11*Setup!$B$13,2))</f>
        <v/>
      </c>
      <c r="M11" s="89">
        <f>IF($K11="","",$K11-$L11)</f>
        <v/>
      </c>
      <c r="N11" s="89">
        <f>IF(OR($M11="",$D11=""),"",ROUND($M11*IFERROR(IF(VLOOKUP($D11,Setup!$A$76:$C$87,3,FALSE)="",Setup!$B$14,VLOOKUP($D11,Setup!$A$76:$C$87,3,FALSE)),Setup!$B$14),2))</f>
        <v/>
      </c>
      <c r="O11" s="89">
        <f>IF(OR($M11="",$E11=""),"",ROUND($M11*IFERROR(IF(VLOOKUP($E11,Setup!$A$76:$C$87,3,FALSE)="",Setup!$B$15,VLOOKUP($E11,Setup!$A$76:$C$87,3,FALSE)),Setup!$B$15),2))</f>
        <v/>
      </c>
      <c r="P11" s="91" t="n">
        <v>500</v>
      </c>
      <c r="Q11" s="91" t="n">
        <v>0</v>
      </c>
      <c r="R11" s="91" t="n">
        <v>8900</v>
      </c>
      <c r="S11" s="91" t="n">
        <v>900</v>
      </c>
      <c r="T11" s="91" t="n">
        <v>0</v>
      </c>
      <c r="U11" s="89">
        <f>IF($K11="","",SUM($R11:$T11))</f>
        <v/>
      </c>
      <c r="V11" s="89">
        <f>IF($K11="","",$M11-(N($N11)+N($O11)+IF($P11="",Setup!$B$17,$P11)+N($Q11))-N($U11))</f>
        <v/>
      </c>
      <c r="W11" s="86" t="inlineStr">
        <is>
          <t>Paid</t>
        </is>
      </c>
      <c r="X11" s="87" t="inlineStr"/>
      <c r="Z11" s="92">
        <f>IF($A11="","",DATE(YEAR($A11),MONTH($A11),1))</f>
        <v/>
      </c>
    </row>
    <row r="12">
      <c r="A12" s="93" t="n">
        <v>46249</v>
      </c>
      <c r="B12" s="94" t="inlineStr">
        <is>
          <t>DR-1008</t>
        </is>
      </c>
      <c r="C12" s="94" t="inlineStr">
        <is>
          <t>TRUCK 1</t>
        </is>
      </c>
      <c r="D12" s="95" t="inlineStr">
        <is>
          <t>M. Reyes</t>
        </is>
      </c>
      <c r="E12" s="95" t="inlineStr">
        <is>
          <t>A. Bautista</t>
        </is>
      </c>
      <c r="F12" s="95" t="inlineStr">
        <is>
          <t>BATAAN</t>
        </is>
      </c>
      <c r="G12" s="95" t="inlineStr">
        <is>
          <t>ARMOR</t>
        </is>
      </c>
      <c r="H12" s="96" t="n">
        <v>20</v>
      </c>
      <c r="I12" s="89">
        <f>IF($G12="","",IF($F12="",IFERROR(INDEX(Setup!$C$21:$C$60,MATCH("|"&amp;UPPER(TRIM($G12)),Setup!$Q$21:$Q$60,0)),"NO RATE"),IFERROR(INDEX(Setup!$C$21:$C$60,MATCH(UPPER(TRIM($F12))&amp;"|"&amp;UPPER(TRIM($G12)),Setup!$P$21:$P$60,0)),IFERROR(INDEX(Setup!$C$21:$C$60,MATCH(UPPER(TRIM($G12))&amp;"|"&amp;UPPER(TRIM($F12)),Setup!$P$21:$P$60,0)),"NO RATE"))))</f>
        <v/>
      </c>
      <c r="J12" s="97" t="n"/>
      <c r="K12" s="89">
        <f>IF(OR($G12="",$H12="",NOT(ISNUMBER($I12))),"",ROUND($H12*$I12*(1+IF($J12="",Setup!$B$16,$J12)),2))</f>
        <v/>
      </c>
      <c r="L12" s="89">
        <f>IF($K12="","",ROUND($K12*Setup!$B$13,2))</f>
        <v/>
      </c>
      <c r="M12" s="89">
        <f>IF($K12="","",$K12-$L12)</f>
        <v/>
      </c>
      <c r="N12" s="89">
        <f>IF(OR($M12="",$D12=""),"",ROUND($M12*IFERROR(IF(VLOOKUP($D12,Setup!$A$76:$C$87,3,FALSE)="",Setup!$B$14,VLOOKUP($D12,Setup!$A$76:$C$87,3,FALSE)),Setup!$B$14),2))</f>
        <v/>
      </c>
      <c r="O12" s="89">
        <f>IF(OR($M12="",$E12=""),"",ROUND($M12*IFERROR(IF(VLOOKUP($E12,Setup!$A$76:$C$87,3,FALSE)="",Setup!$B$15,VLOOKUP($E12,Setup!$A$76:$C$87,3,FALSE)),Setup!$B$15),2))</f>
        <v/>
      </c>
      <c r="P12" s="98" t="n">
        <v>500</v>
      </c>
      <c r="Q12" s="98" t="n">
        <v>0</v>
      </c>
      <c r="R12" s="98" t="n">
        <v>7900</v>
      </c>
      <c r="S12" s="98" t="n">
        <v>520</v>
      </c>
      <c r="T12" s="98" t="n">
        <v>0</v>
      </c>
      <c r="U12" s="89">
        <f>IF($K12="","",SUM($R12:$T12))</f>
        <v/>
      </c>
      <c r="V12" s="89">
        <f>IF($K12="","",$M12-(N($N12)+N($O12)+IF($P12="",Setup!$B$17,$P12)+N($Q12))-N($U12))</f>
        <v/>
      </c>
      <c r="W12" s="94" t="inlineStr">
        <is>
          <t>Paid</t>
        </is>
      </c>
      <c r="X12" s="95" t="inlineStr"/>
      <c r="Z12" s="92">
        <f>IF($A12="","",DATE(YEAR($A12),MONTH($A12),1))</f>
        <v/>
      </c>
    </row>
    <row r="13">
      <c r="A13" s="85" t="n">
        <v>46251</v>
      </c>
      <c r="B13" s="86" t="inlineStr">
        <is>
          <t>DR-1009</t>
        </is>
      </c>
      <c r="C13" s="86" t="inlineStr">
        <is>
          <t>TRUCK 1</t>
        </is>
      </c>
      <c r="D13" s="87" t="inlineStr">
        <is>
          <t>R. Dela Cruz</t>
        </is>
      </c>
      <c r="E13" s="87" t="inlineStr">
        <is>
          <t>J. Santos</t>
        </is>
      </c>
      <c r="F13" s="87" t="inlineStr">
        <is>
          <t>ORION</t>
        </is>
      </c>
      <c r="G13" s="87" t="inlineStr">
        <is>
          <t>BULACAN</t>
        </is>
      </c>
      <c r="H13" s="88" t="n">
        <v>23</v>
      </c>
      <c r="I13" s="89">
        <f>IF($G13="","",IF($F13="",IFERROR(INDEX(Setup!$C$21:$C$60,MATCH("|"&amp;UPPER(TRIM($G13)),Setup!$Q$21:$Q$60,0)),"NO RATE"),IFERROR(INDEX(Setup!$C$21:$C$60,MATCH(UPPER(TRIM($F13))&amp;"|"&amp;UPPER(TRIM($G13)),Setup!$P$21:$P$60,0)),IFERROR(INDEX(Setup!$C$21:$C$60,MATCH(UPPER(TRIM($G13))&amp;"|"&amp;UPPER(TRIM($F13)),Setup!$P$21:$P$60,0)),"NO RATE"))))</f>
        <v/>
      </c>
      <c r="J13" s="90" t="n"/>
      <c r="K13" s="89">
        <f>IF(OR($G13="",$H13="",NOT(ISNUMBER($I13))),"",ROUND($H13*$I13*(1+IF($J13="",Setup!$B$16,$J13)),2))</f>
        <v/>
      </c>
      <c r="L13" s="89">
        <f>IF($K13="","",ROUND($K13*Setup!$B$13,2))</f>
        <v/>
      </c>
      <c r="M13" s="89">
        <f>IF($K13="","",$K13-$L13)</f>
        <v/>
      </c>
      <c r="N13" s="89">
        <f>IF(OR($M13="",$D13=""),"",ROUND($M13*IFERROR(IF(VLOOKUP($D13,Setup!$A$76:$C$87,3,FALSE)="",Setup!$B$14,VLOOKUP($D13,Setup!$A$76:$C$87,3,FALSE)),Setup!$B$14),2))</f>
        <v/>
      </c>
      <c r="O13" s="89">
        <f>IF(OR($M13="",$E13=""),"",ROUND($M13*IFERROR(IF(VLOOKUP($E13,Setup!$A$76:$C$87,3,FALSE)="",Setup!$B$15,VLOOKUP($E13,Setup!$A$76:$C$87,3,FALSE)),Setup!$B$15),2))</f>
        <v/>
      </c>
      <c r="P13" s="91" t="n">
        <v>500</v>
      </c>
      <c r="Q13" s="91" t="n">
        <v>0</v>
      </c>
      <c r="R13" s="91" t="n">
        <v>7700</v>
      </c>
      <c r="S13" s="91" t="n">
        <v>590</v>
      </c>
      <c r="T13" s="91" t="n">
        <v>0</v>
      </c>
      <c r="U13" s="89">
        <f>IF($K13="","",SUM($R13:$T13))</f>
        <v/>
      </c>
      <c r="V13" s="89">
        <f>IF($K13="","",$M13-(N($N13)+N($O13)+IF($P13="",Setup!$B$17,$P13)+N($Q13))-N($U13))</f>
        <v/>
      </c>
      <c r="W13" s="86" t="inlineStr">
        <is>
          <t>Paid</t>
        </is>
      </c>
      <c r="X13" s="87" t="inlineStr"/>
      <c r="Z13" s="92">
        <f>IF($A13="","",DATE(YEAR($A13),MONTH($A13),1))</f>
        <v/>
      </c>
    </row>
    <row r="14">
      <c r="A14" s="93" t="n">
        <v>46253</v>
      </c>
      <c r="B14" s="94" t="inlineStr">
        <is>
          <t>DR-1010</t>
        </is>
      </c>
      <c r="C14" s="94" t="inlineStr">
        <is>
          <t>TRUCK 1</t>
        </is>
      </c>
      <c r="D14" s="95" t="inlineStr">
        <is>
          <t>M. Reyes</t>
        </is>
      </c>
      <c r="E14" s="95" t="inlineStr">
        <is>
          <t>A. Bautista</t>
        </is>
      </c>
      <c r="F14" s="95" t="inlineStr">
        <is>
          <t>MABINI, BATANGAS</t>
        </is>
      </c>
      <c r="G14" s="95" t="inlineStr">
        <is>
          <t>MONCADA</t>
        </is>
      </c>
      <c r="H14" s="96" t="n">
        <v>17</v>
      </c>
      <c r="I14" s="89">
        <f>IF($G14="","",IF($F14="",IFERROR(INDEX(Setup!$C$21:$C$60,MATCH("|"&amp;UPPER(TRIM($G14)),Setup!$Q$21:$Q$60,0)),"NO RATE"),IFERROR(INDEX(Setup!$C$21:$C$60,MATCH(UPPER(TRIM($F14))&amp;"|"&amp;UPPER(TRIM($G14)),Setup!$P$21:$P$60,0)),IFERROR(INDEX(Setup!$C$21:$C$60,MATCH(UPPER(TRIM($G14))&amp;"|"&amp;UPPER(TRIM($F14)),Setup!$P$21:$P$60,0)),"NO RATE"))))</f>
        <v/>
      </c>
      <c r="J14" s="97" t="n"/>
      <c r="K14" s="89">
        <f>IF(OR($G14="",$H14="",NOT(ISNUMBER($I14))),"",ROUND($H14*$I14*(1+IF($J14="",Setup!$B$16,$J14)),2))</f>
        <v/>
      </c>
      <c r="L14" s="89">
        <f>IF($K14="","",ROUND($K14*Setup!$B$13,2))</f>
        <v/>
      </c>
      <c r="M14" s="89">
        <f>IF($K14="","",$K14-$L14)</f>
        <v/>
      </c>
      <c r="N14" s="89">
        <f>IF(OR($M14="",$D14=""),"",ROUND($M14*IFERROR(IF(VLOOKUP($D14,Setup!$A$76:$C$87,3,FALSE)="",Setup!$B$14,VLOOKUP($D14,Setup!$A$76:$C$87,3,FALSE)),Setup!$B$14),2))</f>
        <v/>
      </c>
      <c r="O14" s="89">
        <f>IF(OR($M14="",$E14=""),"",ROUND($M14*IFERROR(IF(VLOOKUP($E14,Setup!$A$76:$C$87,3,FALSE)="",Setup!$B$15,VLOOKUP($E14,Setup!$A$76:$C$87,3,FALSE)),Setup!$B$15),2))</f>
        <v/>
      </c>
      <c r="P14" s="98" t="n">
        <v>500</v>
      </c>
      <c r="Q14" s="98" t="n">
        <v>0</v>
      </c>
      <c r="R14" s="98" t="n">
        <v>6600</v>
      </c>
      <c r="S14" s="98" t="n">
        <v>430</v>
      </c>
      <c r="T14" s="98" t="n">
        <v>0</v>
      </c>
      <c r="U14" s="89">
        <f>IF($K14="","",SUM($R14:$T14))</f>
        <v/>
      </c>
      <c r="V14" s="89">
        <f>IF($K14="","",$M14-(N($N14)+N($O14)+IF($P14="",Setup!$B$17,$P14)+N($Q14))-N($U14))</f>
        <v/>
      </c>
      <c r="W14" s="94" t="inlineStr">
        <is>
          <t>Paid</t>
        </is>
      </c>
      <c r="X14" s="95" t="inlineStr">
        <is>
          <t>helper not available, driver solo</t>
        </is>
      </c>
      <c r="Z14" s="92">
        <f>IF($A14="","",DATE(YEAR($A14),MONTH($A14),1))</f>
        <v/>
      </c>
    </row>
    <row r="15">
      <c r="A15" s="85" t="n">
        <v>46255</v>
      </c>
      <c r="B15" s="86" t="inlineStr">
        <is>
          <t>DR-1011</t>
        </is>
      </c>
      <c r="C15" s="86" t="inlineStr">
        <is>
          <t>TRUCK 1</t>
        </is>
      </c>
      <c r="D15" s="87" t="inlineStr">
        <is>
          <t>R. Dela Cruz</t>
        </is>
      </c>
      <c r="E15" s="87" t="inlineStr">
        <is>
          <t>J. Santos</t>
        </is>
      </c>
      <c r="F15" s="87" t="inlineStr">
        <is>
          <t>BATAAN</t>
        </is>
      </c>
      <c r="G15" s="87" t="inlineStr">
        <is>
          <t>BULACAN</t>
        </is>
      </c>
      <c r="H15" s="88" t="n">
        <v>20</v>
      </c>
      <c r="I15" s="89">
        <f>IF($G15="","",IF($F15="",IFERROR(INDEX(Setup!$C$21:$C$60,MATCH("|"&amp;UPPER(TRIM($G15)),Setup!$Q$21:$Q$60,0)),"NO RATE"),IFERROR(INDEX(Setup!$C$21:$C$60,MATCH(UPPER(TRIM($F15))&amp;"|"&amp;UPPER(TRIM($G15)),Setup!$P$21:$P$60,0)),IFERROR(INDEX(Setup!$C$21:$C$60,MATCH(UPPER(TRIM($G15))&amp;"|"&amp;UPPER(TRIM($F15)),Setup!$P$21:$P$60,0)),"NO RATE"))))</f>
        <v/>
      </c>
      <c r="J15" s="90" t="n"/>
      <c r="K15" s="89">
        <f>IF(OR($G15="",$H15="",NOT(ISNUMBER($I15))),"",ROUND($H15*$I15*(1+IF($J15="",Setup!$B$16,$J15)),2))</f>
        <v/>
      </c>
      <c r="L15" s="89">
        <f>IF($K15="","",ROUND($K15*Setup!$B$13,2))</f>
        <v/>
      </c>
      <c r="M15" s="89">
        <f>IF($K15="","",$K15-$L15)</f>
        <v/>
      </c>
      <c r="N15" s="89">
        <f>IF(OR($M15="",$D15=""),"",ROUND($M15*IFERROR(IF(VLOOKUP($D15,Setup!$A$76:$C$87,3,FALSE)="",Setup!$B$14,VLOOKUP($D15,Setup!$A$76:$C$87,3,FALSE)),Setup!$B$14),2))</f>
        <v/>
      </c>
      <c r="O15" s="89">
        <f>IF(OR($M15="",$E15=""),"",ROUND($M15*IFERROR(IF(VLOOKUP($E15,Setup!$A$76:$C$87,3,FALSE)="",Setup!$B$15,VLOOKUP($E15,Setup!$A$76:$C$87,3,FALSE)),Setup!$B$15),2))</f>
        <v/>
      </c>
      <c r="P15" s="91" t="n">
        <v>500</v>
      </c>
      <c r="Q15" s="91" t="n">
        <v>450</v>
      </c>
      <c r="R15" s="91" t="n">
        <v>7600</v>
      </c>
      <c r="S15" s="91" t="n">
        <v>480</v>
      </c>
      <c r="T15" s="91" t="n">
        <v>0</v>
      </c>
      <c r="U15" s="89">
        <f>IF($K15="","",SUM($R15:$T15))</f>
        <v/>
      </c>
      <c r="V15" s="89">
        <f>IF($K15="","",$M15-(N($N15)+N($O15)+IF($P15="",Setup!$B$17,$P15)+N($Q15))-N($U15))</f>
        <v/>
      </c>
      <c r="W15" s="86" t="inlineStr">
        <is>
          <t>Paid</t>
        </is>
      </c>
      <c r="X15" s="87" t="inlineStr"/>
      <c r="Z15" s="92">
        <f>IF($A15="","",DATE(YEAR($A15),MONTH($A15),1))</f>
        <v/>
      </c>
    </row>
    <row r="16">
      <c r="A16" s="93" t="n">
        <v>46257</v>
      </c>
      <c r="B16" s="94" t="inlineStr">
        <is>
          <t>DR-1012</t>
        </is>
      </c>
      <c r="C16" s="94" t="inlineStr">
        <is>
          <t>TRUCK 1</t>
        </is>
      </c>
      <c r="D16" s="95" t="inlineStr">
        <is>
          <t>M. Reyes</t>
        </is>
      </c>
      <c r="E16" s="95" t="inlineStr">
        <is>
          <t>A. Bautista</t>
        </is>
      </c>
      <c r="F16" s="95" t="inlineStr">
        <is>
          <t>ORION</t>
        </is>
      </c>
      <c r="G16" s="95" t="inlineStr">
        <is>
          <t>ROSALES</t>
        </is>
      </c>
      <c r="H16" s="96" t="n">
        <v>21</v>
      </c>
      <c r="I16" s="89">
        <f>IF($G16="","",IF($F16="",IFERROR(INDEX(Setup!$C$21:$C$60,MATCH("|"&amp;UPPER(TRIM($G16)),Setup!$Q$21:$Q$60,0)),"NO RATE"),IFERROR(INDEX(Setup!$C$21:$C$60,MATCH(UPPER(TRIM($F16))&amp;"|"&amp;UPPER(TRIM($G16)),Setup!$P$21:$P$60,0)),IFERROR(INDEX(Setup!$C$21:$C$60,MATCH(UPPER(TRIM($G16))&amp;"|"&amp;UPPER(TRIM($F16)),Setup!$P$21:$P$60,0)),"NO RATE"))))</f>
        <v/>
      </c>
      <c r="J16" s="97" t="n"/>
      <c r="K16" s="89">
        <f>IF(OR($G16="",$H16="",NOT(ISNUMBER($I16))),"",ROUND($H16*$I16*(1+IF($J16="",Setup!$B$16,$J16)),2))</f>
        <v/>
      </c>
      <c r="L16" s="89">
        <f>IF($K16="","",ROUND($K16*Setup!$B$13,2))</f>
        <v/>
      </c>
      <c r="M16" s="89">
        <f>IF($K16="","",$K16-$L16)</f>
        <v/>
      </c>
      <c r="N16" s="89">
        <f>IF(OR($M16="",$D16=""),"",ROUND($M16*IFERROR(IF(VLOOKUP($D16,Setup!$A$76:$C$87,3,FALSE)="",Setup!$B$14,VLOOKUP($D16,Setup!$A$76:$C$87,3,FALSE)),Setup!$B$14),2))</f>
        <v/>
      </c>
      <c r="O16" s="89">
        <f>IF(OR($M16="",$E16=""),"",ROUND($M16*IFERROR(IF(VLOOKUP($E16,Setup!$A$76:$C$87,3,FALSE)="",Setup!$B$15,VLOOKUP($E16,Setup!$A$76:$C$87,3,FALSE)),Setup!$B$15),2))</f>
        <v/>
      </c>
      <c r="P16" s="98" t="n">
        <v>500</v>
      </c>
      <c r="Q16" s="98" t="n">
        <v>0</v>
      </c>
      <c r="R16" s="98" t="n">
        <v>7800</v>
      </c>
      <c r="S16" s="98" t="n">
        <v>700</v>
      </c>
      <c r="T16" s="98" t="n">
        <v>0</v>
      </c>
      <c r="U16" s="89">
        <f>IF($K16="","",SUM($R16:$T16))</f>
        <v/>
      </c>
      <c r="V16" s="89">
        <f>IF($K16="","",$M16-(N($N16)+N($O16)+IF($P16="",Setup!$B$17,$P16)+N($Q16))-N($U16))</f>
        <v/>
      </c>
      <c r="W16" s="94" t="inlineStr">
        <is>
          <t>Paid</t>
        </is>
      </c>
      <c r="X16" s="95" t="inlineStr"/>
      <c r="Z16" s="92">
        <f>IF($A16="","",DATE(YEAR($A16),MONTH($A16),1))</f>
        <v/>
      </c>
    </row>
    <row r="17">
      <c r="A17" s="85" t="n">
        <v>46259</v>
      </c>
      <c r="B17" s="86" t="inlineStr">
        <is>
          <t>DR-1013</t>
        </is>
      </c>
      <c r="C17" s="86" t="inlineStr">
        <is>
          <t>TRUCK 1</t>
        </is>
      </c>
      <c r="D17" s="87" t="inlineStr">
        <is>
          <t>R. Dela Cruz</t>
        </is>
      </c>
      <c r="E17" s="87" t="inlineStr">
        <is>
          <t>J. Santos</t>
        </is>
      </c>
      <c r="F17" s="87" t="inlineStr">
        <is>
          <t>MABINI, BATANGAS</t>
        </is>
      </c>
      <c r="G17" s="87" t="inlineStr">
        <is>
          <t>BATAAN</t>
        </is>
      </c>
      <c r="H17" s="88" t="n">
        <v>17</v>
      </c>
      <c r="I17" s="89">
        <f>IF($G17="","",IF($F17="",IFERROR(INDEX(Setup!$C$21:$C$60,MATCH("|"&amp;UPPER(TRIM($G17)),Setup!$Q$21:$Q$60,0)),"NO RATE"),IFERROR(INDEX(Setup!$C$21:$C$60,MATCH(UPPER(TRIM($F17))&amp;"|"&amp;UPPER(TRIM($G17)),Setup!$P$21:$P$60,0)),IFERROR(INDEX(Setup!$C$21:$C$60,MATCH(UPPER(TRIM($G17))&amp;"|"&amp;UPPER(TRIM($F17)),Setup!$P$21:$P$60,0)),"NO RATE"))))</f>
        <v/>
      </c>
      <c r="J17" s="90" t="n"/>
      <c r="K17" s="89">
        <f>IF(OR($G17="",$H17="",NOT(ISNUMBER($I17))),"",ROUND($H17*$I17*(1+IF($J17="",Setup!$B$16,$J17)),2))</f>
        <v/>
      </c>
      <c r="L17" s="89">
        <f>IF($K17="","",ROUND($K17*Setup!$B$13,2))</f>
        <v/>
      </c>
      <c r="M17" s="89">
        <f>IF($K17="","",$K17-$L17)</f>
        <v/>
      </c>
      <c r="N17" s="89">
        <f>IF(OR($M17="",$D17=""),"",ROUND($M17*IFERROR(IF(VLOOKUP($D17,Setup!$A$76:$C$87,3,FALSE)="",Setup!$B$14,VLOOKUP($D17,Setup!$A$76:$C$87,3,FALSE)),Setup!$B$14),2))</f>
        <v/>
      </c>
      <c r="O17" s="89">
        <f>IF(OR($M17="",$E17=""),"",ROUND($M17*IFERROR(IF(VLOOKUP($E17,Setup!$A$76:$C$87,3,FALSE)="",Setup!$B$15,VLOOKUP($E17,Setup!$A$76:$C$87,3,FALSE)),Setup!$B$15),2))</f>
        <v/>
      </c>
      <c r="P17" s="91" t="n">
        <v>500</v>
      </c>
      <c r="Q17" s="91" t="n">
        <v>0</v>
      </c>
      <c r="R17" s="91" t="n">
        <v>10000</v>
      </c>
      <c r="S17" s="91" t="n">
        <v>880</v>
      </c>
      <c r="T17" s="91" t="n">
        <v>0</v>
      </c>
      <c r="U17" s="89">
        <f>IF($K17="","",SUM($R17:$T17))</f>
        <v/>
      </c>
      <c r="V17" s="89">
        <f>IF($K17="","",$M17-(N($N17)+N($O17)+IF($P17="",Setup!$B$17,$P17)+N($Q17))-N($U17))</f>
        <v/>
      </c>
      <c r="W17" s="86" t="inlineStr">
        <is>
          <t>Paid</t>
        </is>
      </c>
      <c r="X17" s="87" t="inlineStr"/>
      <c r="Z17" s="92">
        <f>IF($A17="","",DATE(YEAR($A17),MONTH($A17),1))</f>
        <v/>
      </c>
    </row>
    <row r="18">
      <c r="A18" s="93" t="n">
        <v>46261</v>
      </c>
      <c r="B18" s="94" t="inlineStr">
        <is>
          <t>DR-1014</t>
        </is>
      </c>
      <c r="C18" s="94" t="inlineStr">
        <is>
          <t>TRUCK 1</t>
        </is>
      </c>
      <c r="D18" s="95" t="inlineStr">
        <is>
          <t>M. Reyes</t>
        </is>
      </c>
      <c r="E18" s="95" t="inlineStr">
        <is>
          <t>A. Bautista</t>
        </is>
      </c>
      <c r="F18" s="95" t="inlineStr">
        <is>
          <t>BATAAN</t>
        </is>
      </c>
      <c r="G18" s="95" t="inlineStr">
        <is>
          <t>BMEG BATAAN</t>
        </is>
      </c>
      <c r="H18" s="96" t="n">
        <v>20</v>
      </c>
      <c r="I18" s="89">
        <f>IF($G18="","",IF($F18="",IFERROR(INDEX(Setup!$C$21:$C$60,MATCH("|"&amp;UPPER(TRIM($G18)),Setup!$Q$21:$Q$60,0)),"NO RATE"),IFERROR(INDEX(Setup!$C$21:$C$60,MATCH(UPPER(TRIM($F18))&amp;"|"&amp;UPPER(TRIM($G18)),Setup!$P$21:$P$60,0)),IFERROR(INDEX(Setup!$C$21:$C$60,MATCH(UPPER(TRIM($G18))&amp;"|"&amp;UPPER(TRIM($F18)),Setup!$P$21:$P$60,0)),"NO RATE"))))</f>
        <v/>
      </c>
      <c r="J18" s="97" t="n"/>
      <c r="K18" s="89">
        <f>IF(OR($G18="",$H18="",NOT(ISNUMBER($I18))),"",ROUND($H18*$I18*(1+IF($J18="",Setup!$B$16,$J18)),2))</f>
        <v/>
      </c>
      <c r="L18" s="89">
        <f>IF($K18="","",ROUND($K18*Setup!$B$13,2))</f>
        <v/>
      </c>
      <c r="M18" s="89">
        <f>IF($K18="","",$K18-$L18)</f>
        <v/>
      </c>
      <c r="N18" s="89">
        <f>IF(OR($M18="",$D18=""),"",ROUND($M18*IFERROR(IF(VLOOKUP($D18,Setup!$A$76:$C$87,3,FALSE)="",Setup!$B$14,VLOOKUP($D18,Setup!$A$76:$C$87,3,FALSE)),Setup!$B$14),2))</f>
        <v/>
      </c>
      <c r="O18" s="89">
        <f>IF(OR($M18="",$E18=""),"",ROUND($M18*IFERROR(IF(VLOOKUP($E18,Setup!$A$76:$C$87,3,FALSE)="",Setup!$B$15,VLOOKUP($E18,Setup!$A$76:$C$87,3,FALSE)),Setup!$B$15),2))</f>
        <v/>
      </c>
      <c r="P18" s="98" t="n">
        <v>400</v>
      </c>
      <c r="Q18" s="98" t="n">
        <v>0</v>
      </c>
      <c r="R18" s="98" t="n">
        <v>900</v>
      </c>
      <c r="S18" s="98" t="n">
        <v>120</v>
      </c>
      <c r="T18" s="98" t="n">
        <v>0</v>
      </c>
      <c r="U18" s="89">
        <f>IF($K18="","",SUM($R18:$T18))</f>
        <v/>
      </c>
      <c r="V18" s="89">
        <f>IF($K18="","",$M18-(N($N18)+N($O18)+IF($P18="",Setup!$B$17,$P18)+N($Q18))-N($U18))</f>
        <v/>
      </c>
      <c r="W18" s="94" t="inlineStr">
        <is>
          <t>Paid</t>
        </is>
      </c>
      <c r="X18" s="95" t="inlineStr"/>
      <c r="Z18" s="92">
        <f>IF($A18="","",DATE(YEAR($A18),MONTH($A18),1))</f>
        <v/>
      </c>
    </row>
    <row r="19">
      <c r="A19" s="85" t="n">
        <v>46266</v>
      </c>
      <c r="B19" s="86" t="inlineStr">
        <is>
          <t>DR-1015</t>
        </is>
      </c>
      <c r="C19" s="86" t="inlineStr">
        <is>
          <t>TRUCK 1</t>
        </is>
      </c>
      <c r="D19" s="87" t="inlineStr">
        <is>
          <t>M. Reyes</t>
        </is>
      </c>
      <c r="E19" s="87" t="inlineStr">
        <is>
          <t>A. Bautista</t>
        </is>
      </c>
      <c r="F19" s="87" t="inlineStr">
        <is>
          <t>BATAAN</t>
        </is>
      </c>
      <c r="G19" s="87" t="inlineStr">
        <is>
          <t>TARLAC</t>
        </is>
      </c>
      <c r="H19" s="88" t="n">
        <v>18</v>
      </c>
      <c r="I19" s="89">
        <f>IF($G19="","",IF($F19="",IFERROR(INDEX(Setup!$C$21:$C$60,MATCH("|"&amp;UPPER(TRIM($G19)),Setup!$Q$21:$Q$60,0)),"NO RATE"),IFERROR(INDEX(Setup!$C$21:$C$60,MATCH(UPPER(TRIM($F19))&amp;"|"&amp;UPPER(TRIM($G19)),Setup!$P$21:$P$60,0)),IFERROR(INDEX(Setup!$C$21:$C$60,MATCH(UPPER(TRIM($G19))&amp;"|"&amp;UPPER(TRIM($F19)),Setup!$P$21:$P$60,0)),"NO RATE"))))</f>
        <v/>
      </c>
      <c r="J19" s="90" t="n"/>
      <c r="K19" s="89">
        <f>IF(OR($G19="",$H19="",NOT(ISNUMBER($I19))),"",ROUND($H19*$I19*(1+IF($J19="",Setup!$B$16,$J19)),2))</f>
        <v/>
      </c>
      <c r="L19" s="89">
        <f>IF($K19="","",ROUND($K19*Setup!$B$13,2))</f>
        <v/>
      </c>
      <c r="M19" s="89">
        <f>IF($K19="","",$K19-$L19)</f>
        <v/>
      </c>
      <c r="N19" s="89">
        <f>IF(OR($M19="",$D19=""),"",ROUND($M19*IFERROR(IF(VLOOKUP($D19,Setup!$A$76:$C$87,3,FALSE)="",Setup!$B$14,VLOOKUP($D19,Setup!$A$76:$C$87,3,FALSE)),Setup!$B$14),2))</f>
        <v/>
      </c>
      <c r="O19" s="89">
        <f>IF(OR($M19="",$E19=""),"",ROUND($M19*IFERROR(IF(VLOOKUP($E19,Setup!$A$76:$C$87,3,FALSE)="",Setup!$B$15,VLOOKUP($E19,Setup!$A$76:$C$87,3,FALSE)),Setup!$B$15),2))</f>
        <v/>
      </c>
      <c r="P19" s="91" t="n">
        <v>500</v>
      </c>
      <c r="Q19" s="91" t="n">
        <v>0</v>
      </c>
      <c r="R19" s="91" t="n">
        <v>6400</v>
      </c>
      <c r="S19" s="91" t="n">
        <v>620</v>
      </c>
      <c r="T19" s="91" t="n">
        <v>0</v>
      </c>
      <c r="U19" s="89">
        <f>IF($K19="","",SUM($R19:$T19))</f>
        <v/>
      </c>
      <c r="V19" s="89">
        <f>IF($K19="","",$M19-(N($N19)+N($O19)+IF($P19="",Setup!$B$17,$P19)+N($Q19))-N($U19))</f>
        <v/>
      </c>
      <c r="W19" s="86" t="inlineStr">
        <is>
          <t>Paid</t>
        </is>
      </c>
      <c r="X19" s="87" t="inlineStr"/>
      <c r="Z19" s="92">
        <f>IF($A19="","",DATE(YEAR($A19),MONTH($A19),1))</f>
        <v/>
      </c>
    </row>
    <row r="20">
      <c r="A20" s="93" t="n">
        <v>46267</v>
      </c>
      <c r="B20" s="94" t="inlineStr">
        <is>
          <t>DR-1016</t>
        </is>
      </c>
      <c r="C20" s="94" t="inlineStr">
        <is>
          <t>TRUCK 1</t>
        </is>
      </c>
      <c r="D20" s="95" t="inlineStr">
        <is>
          <t>R. Dela Cruz</t>
        </is>
      </c>
      <c r="E20" s="95" t="inlineStr">
        <is>
          <t>J. Santos</t>
        </is>
      </c>
      <c r="F20" s="95" t="inlineStr">
        <is>
          <t>BATAAN</t>
        </is>
      </c>
      <c r="G20" s="95" t="inlineStr">
        <is>
          <t>BMPP</t>
        </is>
      </c>
      <c r="H20" s="96" t="n">
        <v>21</v>
      </c>
      <c r="I20" s="89">
        <f>IF($G20="","",IF($F20="",IFERROR(INDEX(Setup!$C$21:$C$60,MATCH("|"&amp;UPPER(TRIM($G20)),Setup!$Q$21:$Q$60,0)),"NO RATE"),IFERROR(INDEX(Setup!$C$21:$C$60,MATCH(UPPER(TRIM($F20))&amp;"|"&amp;UPPER(TRIM($G20)),Setup!$P$21:$P$60,0)),IFERROR(INDEX(Setup!$C$21:$C$60,MATCH(UPPER(TRIM($G20))&amp;"|"&amp;UPPER(TRIM($F20)),Setup!$P$21:$P$60,0)),"NO RATE"))))</f>
        <v/>
      </c>
      <c r="J20" s="97" t="n"/>
      <c r="K20" s="89">
        <f>IF(OR($G20="",$H20="",NOT(ISNUMBER($I20))),"",ROUND($H20*$I20*(1+IF($J20="",Setup!$B$16,$J20)),2))</f>
        <v/>
      </c>
      <c r="L20" s="89">
        <f>IF($K20="","",ROUND($K20*Setup!$B$13,2))</f>
        <v/>
      </c>
      <c r="M20" s="89">
        <f>IF($K20="","",$K20-$L20)</f>
        <v/>
      </c>
      <c r="N20" s="89">
        <f>IF(OR($M20="",$D20=""),"",ROUND($M20*IFERROR(IF(VLOOKUP($D20,Setup!$A$76:$C$87,3,FALSE)="",Setup!$B$14,VLOOKUP($D20,Setup!$A$76:$C$87,3,FALSE)),Setup!$B$14),2))</f>
        <v/>
      </c>
      <c r="O20" s="89">
        <f>IF(OR($M20="",$E20=""),"",ROUND($M20*IFERROR(IF(VLOOKUP($E20,Setup!$A$76:$C$87,3,FALSE)="",Setup!$B$15,VLOOKUP($E20,Setup!$A$76:$C$87,3,FALSE)),Setup!$B$15),2))</f>
        <v/>
      </c>
      <c r="P20" s="98" t="n">
        <v>500</v>
      </c>
      <c r="Q20" s="98" t="n">
        <v>0</v>
      </c>
      <c r="R20" s="98" t="n">
        <v>9400</v>
      </c>
      <c r="S20" s="98" t="n">
        <v>560</v>
      </c>
      <c r="T20" s="98" t="n">
        <v>0</v>
      </c>
      <c r="U20" s="89">
        <f>IF($K20="","",SUM($R20:$T20))</f>
        <v/>
      </c>
      <c r="V20" s="89">
        <f>IF($K20="","",$M20-(N($N20)+N($O20)+IF($P20="",Setup!$B$17,$P20)+N($Q20))-N($U20))</f>
        <v/>
      </c>
      <c r="W20" s="94" t="inlineStr">
        <is>
          <t>Paid</t>
        </is>
      </c>
      <c r="X20" s="95" t="inlineStr"/>
      <c r="Z20" s="92">
        <f>IF($A20="","",DATE(YEAR($A20),MONTH($A20),1))</f>
        <v/>
      </c>
    </row>
    <row r="21">
      <c r="A21" s="85" t="n">
        <v>46269</v>
      </c>
      <c r="B21" s="86" t="inlineStr">
        <is>
          <t>DR-1017</t>
        </is>
      </c>
      <c r="C21" s="86" t="inlineStr">
        <is>
          <t>TRUCK 1</t>
        </is>
      </c>
      <c r="D21" s="87" t="inlineStr">
        <is>
          <t>M. Reyes</t>
        </is>
      </c>
      <c r="E21" s="87" t="inlineStr">
        <is>
          <t>A. Bautista</t>
        </is>
      </c>
      <c r="F21" s="87" t="inlineStr">
        <is>
          <t>ORION</t>
        </is>
      </c>
      <c r="G21" s="87" t="inlineStr">
        <is>
          <t>BMPP</t>
        </is>
      </c>
      <c r="H21" s="88" t="n">
        <v>21</v>
      </c>
      <c r="I21" s="89">
        <f>IF($G21="","",IF($F21="",IFERROR(INDEX(Setup!$C$21:$C$60,MATCH("|"&amp;UPPER(TRIM($G21)),Setup!$Q$21:$Q$60,0)),"NO RATE"),IFERROR(INDEX(Setup!$C$21:$C$60,MATCH(UPPER(TRIM($F21))&amp;"|"&amp;UPPER(TRIM($G21)),Setup!$P$21:$P$60,0)),IFERROR(INDEX(Setup!$C$21:$C$60,MATCH(UPPER(TRIM($G21))&amp;"|"&amp;UPPER(TRIM($F21)),Setup!$P$21:$P$60,0)),"NO RATE"))))</f>
        <v/>
      </c>
      <c r="J21" s="90" t="n"/>
      <c r="K21" s="89">
        <f>IF(OR($G21="",$H21="",NOT(ISNUMBER($I21))),"",ROUND($H21*$I21*(1+IF($J21="",Setup!$B$16,$J21)),2))</f>
        <v/>
      </c>
      <c r="L21" s="89">
        <f>IF($K21="","",ROUND($K21*Setup!$B$13,2))</f>
        <v/>
      </c>
      <c r="M21" s="89">
        <f>IF($K21="","",$K21-$L21)</f>
        <v/>
      </c>
      <c r="N21" s="89">
        <f>IF(OR($M21="",$D21=""),"",ROUND($M21*IFERROR(IF(VLOOKUP($D21,Setup!$A$76:$C$87,3,FALSE)="",Setup!$B$14,VLOOKUP($D21,Setup!$A$76:$C$87,3,FALSE)),Setup!$B$14),2))</f>
        <v/>
      </c>
      <c r="O21" s="89">
        <f>IF(OR($M21="",$E21=""),"",ROUND($M21*IFERROR(IF(VLOOKUP($E21,Setup!$A$76:$C$87,3,FALSE)="",Setup!$B$15,VLOOKUP($E21,Setup!$A$76:$C$87,3,FALSE)),Setup!$B$15),2))</f>
        <v/>
      </c>
      <c r="P21" s="91" t="n">
        <v>500</v>
      </c>
      <c r="Q21" s="91" t="n">
        <v>0</v>
      </c>
      <c r="R21" s="91" t="n">
        <v>7600</v>
      </c>
      <c r="S21" s="91" t="n">
        <v>540</v>
      </c>
      <c r="T21" s="91" t="n">
        <v>0</v>
      </c>
      <c r="U21" s="89">
        <f>IF($K21="","",SUM($R21:$T21))</f>
        <v/>
      </c>
      <c r="V21" s="89">
        <f>IF($K21="","",$M21-(N($N21)+N($O21)+IF($P21="",Setup!$B$17,$P21)+N($Q21))-N($U21))</f>
        <v/>
      </c>
      <c r="W21" s="86" t="inlineStr">
        <is>
          <t>Paid</t>
        </is>
      </c>
      <c r="X21" s="87" t="inlineStr"/>
      <c r="Z21" s="92">
        <f>IF($A21="","",DATE(YEAR($A21),MONTH($A21),1))</f>
        <v/>
      </c>
    </row>
    <row r="22">
      <c r="A22" s="93" t="n">
        <v>46271</v>
      </c>
      <c r="B22" s="94" t="inlineStr">
        <is>
          <t>DR-1018</t>
        </is>
      </c>
      <c r="C22" s="94" t="inlineStr">
        <is>
          <t>TRUCK 1</t>
        </is>
      </c>
      <c r="D22" s="95" t="inlineStr">
        <is>
          <t>R. Dela Cruz</t>
        </is>
      </c>
      <c r="E22" s="95" t="inlineStr">
        <is>
          <t>J. Santos</t>
        </is>
      </c>
      <c r="F22" s="95" t="inlineStr">
        <is>
          <t>MABINI, BATANGAS</t>
        </is>
      </c>
      <c r="G22" s="95" t="inlineStr">
        <is>
          <t>BMPP</t>
        </is>
      </c>
      <c r="H22" s="96" t="n">
        <v>20</v>
      </c>
      <c r="I22" s="89">
        <f>IF($G22="","",IF($F22="",IFERROR(INDEX(Setup!$C$21:$C$60,MATCH("|"&amp;UPPER(TRIM($G22)),Setup!$Q$21:$Q$60,0)),"NO RATE"),IFERROR(INDEX(Setup!$C$21:$C$60,MATCH(UPPER(TRIM($F22))&amp;"|"&amp;UPPER(TRIM($G22)),Setup!$P$21:$P$60,0)),IFERROR(INDEX(Setup!$C$21:$C$60,MATCH(UPPER(TRIM($G22))&amp;"|"&amp;UPPER(TRIM($F22)),Setup!$P$21:$P$60,0)),"NO RATE"))))</f>
        <v/>
      </c>
      <c r="J22" s="97" t="n"/>
      <c r="K22" s="89">
        <f>IF(OR($G22="",$H22="",NOT(ISNUMBER($I22))),"",ROUND($H22*$I22*(1+IF($J22="",Setup!$B$16,$J22)),2))</f>
        <v/>
      </c>
      <c r="L22" s="89">
        <f>IF($K22="","",ROUND($K22*Setup!$B$13,2))</f>
        <v/>
      </c>
      <c r="M22" s="89">
        <f>IF($K22="","",$K22-$L22)</f>
        <v/>
      </c>
      <c r="N22" s="89">
        <f>IF(OR($M22="",$D22=""),"",ROUND($M22*IFERROR(IF(VLOOKUP($D22,Setup!$A$76:$C$87,3,FALSE)="",Setup!$B$14,VLOOKUP($D22,Setup!$A$76:$C$87,3,FALSE)),Setup!$B$14),2))</f>
        <v/>
      </c>
      <c r="O22" s="89">
        <f>IF(OR($M22="",$E22=""),"",ROUND($M22*IFERROR(IF(VLOOKUP($E22,Setup!$A$76:$C$87,3,FALSE)="",Setup!$B$15,VLOOKUP($E22,Setup!$A$76:$C$87,3,FALSE)),Setup!$B$15),2))</f>
        <v/>
      </c>
      <c r="P22" s="98" t="n">
        <v>500</v>
      </c>
      <c r="Q22" s="98" t="n">
        <v>0</v>
      </c>
      <c r="R22" s="98" t="n">
        <v>12700</v>
      </c>
      <c r="S22" s="98" t="n">
        <v>980</v>
      </c>
      <c r="T22" s="98" t="n">
        <v>0</v>
      </c>
      <c r="U22" s="89">
        <f>IF($K22="","",SUM($R22:$T22))</f>
        <v/>
      </c>
      <c r="V22" s="89">
        <f>IF($K22="","",$M22-(N($N22)+N($O22)+IF($P22="",Setup!$B$17,$P22)+N($Q22))-N($U22))</f>
        <v/>
      </c>
      <c r="W22" s="94" t="inlineStr">
        <is>
          <t>Paid</t>
        </is>
      </c>
      <c r="X22" s="95" t="inlineStr"/>
      <c r="Z22" s="92">
        <f>IF($A22="","",DATE(YEAR($A22),MONTH($A22),1))</f>
        <v/>
      </c>
    </row>
    <row r="23">
      <c r="A23" s="85" t="n">
        <v>46273</v>
      </c>
      <c r="B23" s="86" t="inlineStr">
        <is>
          <t>DR-1019</t>
        </is>
      </c>
      <c r="C23" s="86" t="inlineStr">
        <is>
          <t>TRUCK 1</t>
        </is>
      </c>
      <c r="D23" s="87" t="inlineStr">
        <is>
          <t>M. Reyes</t>
        </is>
      </c>
      <c r="E23" s="87" t="inlineStr">
        <is>
          <t>A. Bautista</t>
        </is>
      </c>
      <c r="F23" s="87" t="inlineStr">
        <is>
          <t>BATAAN</t>
        </is>
      </c>
      <c r="G23" s="87" t="inlineStr">
        <is>
          <t>ISABELA</t>
        </is>
      </c>
      <c r="H23" s="88" t="n">
        <v>19</v>
      </c>
      <c r="I23" s="89">
        <f>IF($G23="","",IF($F23="",IFERROR(INDEX(Setup!$C$21:$C$60,MATCH("|"&amp;UPPER(TRIM($G23)),Setup!$Q$21:$Q$60,0)),"NO RATE"),IFERROR(INDEX(Setup!$C$21:$C$60,MATCH(UPPER(TRIM($F23))&amp;"|"&amp;UPPER(TRIM($G23)),Setup!$P$21:$P$60,0)),IFERROR(INDEX(Setup!$C$21:$C$60,MATCH(UPPER(TRIM($G23))&amp;"|"&amp;UPPER(TRIM($F23)),Setup!$P$21:$P$60,0)),"NO RATE"))))</f>
        <v/>
      </c>
      <c r="J23" s="90" t="n"/>
      <c r="K23" s="89">
        <f>IF(OR($G23="",$H23="",NOT(ISNUMBER($I23))),"",ROUND($H23*$I23*(1+IF($J23="",Setup!$B$16,$J23)),2))</f>
        <v/>
      </c>
      <c r="L23" s="89">
        <f>IF($K23="","",ROUND($K23*Setup!$B$13,2))</f>
        <v/>
      </c>
      <c r="M23" s="89">
        <f>IF($K23="","",$K23-$L23)</f>
        <v/>
      </c>
      <c r="N23" s="89">
        <f>IF(OR($M23="",$D23=""),"",ROUND($M23*IFERROR(IF(VLOOKUP($D23,Setup!$A$76:$C$87,3,FALSE)="",Setup!$B$14,VLOOKUP($D23,Setup!$A$76:$C$87,3,FALSE)),Setup!$B$14),2))</f>
        <v/>
      </c>
      <c r="O23" s="89">
        <f>IF(OR($M23="",$E23=""),"",ROUND($M23*IFERROR(IF(VLOOKUP($E23,Setup!$A$76:$C$87,3,FALSE)="",Setup!$B$15,VLOOKUP($E23,Setup!$A$76:$C$87,3,FALSE)),Setup!$B$15),2))</f>
        <v/>
      </c>
      <c r="P23" s="91" t="n">
        <v>500</v>
      </c>
      <c r="Q23" s="91" t="n">
        <v>450</v>
      </c>
      <c r="R23" s="91" t="n">
        <v>18800</v>
      </c>
      <c r="S23" s="91" t="n">
        <v>1250</v>
      </c>
      <c r="T23" s="91" t="n">
        <v>0</v>
      </c>
      <c r="U23" s="89">
        <f>IF($K23="","",SUM($R23:$T23))</f>
        <v/>
      </c>
      <c r="V23" s="89">
        <f>IF($K23="","",$M23-(N($N23)+N($O23)+IF($P23="",Setup!$B$17,$P23)+N($Q23))-N($U23))</f>
        <v/>
      </c>
      <c r="W23" s="86" t="inlineStr">
        <is>
          <t>Paid</t>
        </is>
      </c>
      <c r="X23" s="87" t="inlineStr">
        <is>
          <t>long haul — diesel receipt attached</t>
        </is>
      </c>
      <c r="Z23" s="92">
        <f>IF($A23="","",DATE(YEAR($A23),MONTH($A23),1))</f>
        <v/>
      </c>
    </row>
    <row r="24">
      <c r="A24" s="93" t="n">
        <v>46274</v>
      </c>
      <c r="B24" s="94" t="inlineStr">
        <is>
          <t>DR-1020</t>
        </is>
      </c>
      <c r="C24" s="94" t="inlineStr">
        <is>
          <t>TRUCK 1</t>
        </is>
      </c>
      <c r="D24" s="95" t="inlineStr">
        <is>
          <t>R. Dela Cruz</t>
        </is>
      </c>
      <c r="E24" s="95" t="inlineStr">
        <is>
          <t>J. Santos</t>
        </is>
      </c>
      <c r="F24" s="95" t="inlineStr">
        <is>
          <t>ORION</t>
        </is>
      </c>
      <c r="G24" s="95" t="inlineStr">
        <is>
          <t>TARLAC</t>
        </is>
      </c>
      <c r="H24" s="96" t="n">
        <v>19</v>
      </c>
      <c r="I24" s="89">
        <f>IF($G24="","",IF($F24="",IFERROR(INDEX(Setup!$C$21:$C$60,MATCH("|"&amp;UPPER(TRIM($G24)),Setup!$Q$21:$Q$60,0)),"NO RATE"),IFERROR(INDEX(Setup!$C$21:$C$60,MATCH(UPPER(TRIM($F24))&amp;"|"&amp;UPPER(TRIM($G24)),Setup!$P$21:$P$60,0)),IFERROR(INDEX(Setup!$C$21:$C$60,MATCH(UPPER(TRIM($G24))&amp;"|"&amp;UPPER(TRIM($F24)),Setup!$P$21:$P$60,0)),"NO RATE"))))</f>
        <v/>
      </c>
      <c r="J24" s="97" t="n"/>
      <c r="K24" s="89">
        <f>IF(OR($G24="",$H24="",NOT(ISNUMBER($I24))),"",ROUND($H24*$I24*(1+IF($J24="",Setup!$B$16,$J24)),2))</f>
        <v/>
      </c>
      <c r="L24" s="89">
        <f>IF($K24="","",ROUND($K24*Setup!$B$13,2))</f>
        <v/>
      </c>
      <c r="M24" s="89">
        <f>IF($K24="","",$K24-$L24)</f>
        <v/>
      </c>
      <c r="N24" s="89">
        <f>IF(OR($M24="",$D24=""),"",ROUND($M24*IFERROR(IF(VLOOKUP($D24,Setup!$A$76:$C$87,3,FALSE)="",Setup!$B$14,VLOOKUP($D24,Setup!$A$76:$C$87,3,FALSE)),Setup!$B$14),2))</f>
        <v/>
      </c>
      <c r="O24" s="89">
        <f>IF(OR($M24="",$E24=""),"",ROUND($M24*IFERROR(IF(VLOOKUP($E24,Setup!$A$76:$C$87,3,FALSE)="",Setup!$B$15,VLOOKUP($E24,Setup!$A$76:$C$87,3,FALSE)),Setup!$B$15),2))</f>
        <v/>
      </c>
      <c r="P24" s="98" t="n">
        <v>500</v>
      </c>
      <c r="Q24" s="98" t="n">
        <v>0</v>
      </c>
      <c r="R24" s="98" t="n">
        <v>5600</v>
      </c>
      <c r="S24" s="98" t="n">
        <v>610</v>
      </c>
      <c r="T24" s="98" t="n">
        <v>0</v>
      </c>
      <c r="U24" s="89">
        <f>IF($K24="","",SUM($R24:$T24))</f>
        <v/>
      </c>
      <c r="V24" s="89">
        <f>IF($K24="","",$M24-(N($N24)+N($O24)+IF($P24="",Setup!$B$17,$P24)+N($Q24))-N($U24))</f>
        <v/>
      </c>
      <c r="W24" s="94" t="inlineStr">
        <is>
          <t>Paid</t>
        </is>
      </c>
      <c r="X24" s="95" t="inlineStr"/>
      <c r="Z24" s="92">
        <f>IF($A24="","",DATE(YEAR($A24),MONTH($A24),1))</f>
        <v/>
      </c>
    </row>
    <row r="25">
      <c r="A25" s="85" t="n">
        <v>46276</v>
      </c>
      <c r="B25" s="86" t="inlineStr">
        <is>
          <t>DR-1021</t>
        </is>
      </c>
      <c r="C25" s="86" t="inlineStr">
        <is>
          <t>TRUCK 1</t>
        </is>
      </c>
      <c r="D25" s="87" t="inlineStr">
        <is>
          <t>M. Reyes</t>
        </is>
      </c>
      <c r="E25" s="87" t="inlineStr">
        <is>
          <t>A. Bautista</t>
        </is>
      </c>
      <c r="F25" s="87" t="inlineStr">
        <is>
          <t>MABINI, BATANGAS</t>
        </is>
      </c>
      <c r="G25" s="87" t="inlineStr">
        <is>
          <t>TARLAC</t>
        </is>
      </c>
      <c r="H25" s="88" t="n">
        <v>18</v>
      </c>
      <c r="I25" s="89">
        <f>IF($G25="","",IF($F25="",IFERROR(INDEX(Setup!$C$21:$C$60,MATCH("|"&amp;UPPER(TRIM($G25)),Setup!$Q$21:$Q$60,0)),"NO RATE"),IFERROR(INDEX(Setup!$C$21:$C$60,MATCH(UPPER(TRIM($F25))&amp;"|"&amp;UPPER(TRIM($G25)),Setup!$P$21:$P$60,0)),IFERROR(INDEX(Setup!$C$21:$C$60,MATCH(UPPER(TRIM($G25))&amp;"|"&amp;UPPER(TRIM($F25)),Setup!$P$21:$P$60,0)),"NO RATE"))))</f>
        <v/>
      </c>
      <c r="J25" s="90" t="n"/>
      <c r="K25" s="89">
        <f>IF(OR($G25="",$H25="",NOT(ISNUMBER($I25))),"",ROUND($H25*$I25*(1+IF($J25="",Setup!$B$16,$J25)),2))</f>
        <v/>
      </c>
      <c r="L25" s="89">
        <f>IF($K25="","",ROUND($K25*Setup!$B$13,2))</f>
        <v/>
      </c>
      <c r="M25" s="89">
        <f>IF($K25="","",$K25-$L25)</f>
        <v/>
      </c>
      <c r="N25" s="89">
        <f>IF(OR($M25="",$D25=""),"",ROUND($M25*IFERROR(IF(VLOOKUP($D25,Setup!$A$76:$C$87,3,FALSE)="",Setup!$B$14,VLOOKUP($D25,Setup!$A$76:$C$87,3,FALSE)),Setup!$B$14),2))</f>
        <v/>
      </c>
      <c r="O25" s="89">
        <f>IF(OR($M25="",$E25=""),"",ROUND($M25*IFERROR(IF(VLOOKUP($E25,Setup!$A$76:$C$87,3,FALSE)="",Setup!$B$15,VLOOKUP($E25,Setup!$A$76:$C$87,3,FALSE)),Setup!$B$15),2))</f>
        <v/>
      </c>
      <c r="P25" s="91" t="n">
        <v>500</v>
      </c>
      <c r="Q25" s="91" t="n">
        <v>0</v>
      </c>
      <c r="R25" s="91" t="n">
        <v>10200</v>
      </c>
      <c r="S25" s="91" t="n">
        <v>900</v>
      </c>
      <c r="T25" s="91" t="n">
        <v>0</v>
      </c>
      <c r="U25" s="89">
        <f>IF($K25="","",SUM($R25:$T25))</f>
        <v/>
      </c>
      <c r="V25" s="89">
        <f>IF($K25="","",$M25-(N($N25)+N($O25)+IF($P25="",Setup!$B$17,$P25)+N($Q25))-N($U25))</f>
        <v/>
      </c>
      <c r="W25" s="86" t="inlineStr">
        <is>
          <t>Paid</t>
        </is>
      </c>
      <c r="X25" s="87" t="inlineStr"/>
      <c r="Z25" s="92">
        <f>IF($A25="","",DATE(YEAR($A25),MONTH($A25),1))</f>
        <v/>
      </c>
    </row>
    <row r="26">
      <c r="A26" s="93" t="n">
        <v>46278</v>
      </c>
      <c r="B26" s="94" t="inlineStr">
        <is>
          <t>DR-1022</t>
        </is>
      </c>
      <c r="C26" s="94" t="inlineStr">
        <is>
          <t>TRUCK 1</t>
        </is>
      </c>
      <c r="D26" s="95" t="inlineStr">
        <is>
          <t>R. Dela Cruz</t>
        </is>
      </c>
      <c r="E26" s="95" t="inlineStr">
        <is>
          <t>J. Santos</t>
        </is>
      </c>
      <c r="F26" s="95" t="inlineStr">
        <is>
          <t>BATAAN</t>
        </is>
      </c>
      <c r="G26" s="95" t="inlineStr">
        <is>
          <t>ARMOR</t>
        </is>
      </c>
      <c r="H26" s="96" t="n">
        <v>21</v>
      </c>
      <c r="I26" s="89">
        <f>IF($G26="","",IF($F26="",IFERROR(INDEX(Setup!$C$21:$C$60,MATCH("|"&amp;UPPER(TRIM($G26)),Setup!$Q$21:$Q$60,0)),"NO RATE"),IFERROR(INDEX(Setup!$C$21:$C$60,MATCH(UPPER(TRIM($F26))&amp;"|"&amp;UPPER(TRIM($G26)),Setup!$P$21:$P$60,0)),IFERROR(INDEX(Setup!$C$21:$C$60,MATCH(UPPER(TRIM($G26))&amp;"|"&amp;UPPER(TRIM($F26)),Setup!$P$21:$P$60,0)),"NO RATE"))))</f>
        <v/>
      </c>
      <c r="J26" s="97" t="n"/>
      <c r="K26" s="89">
        <f>IF(OR($G26="",$H26="",NOT(ISNUMBER($I26))),"",ROUND($H26*$I26*(1+IF($J26="",Setup!$B$16,$J26)),2))</f>
        <v/>
      </c>
      <c r="L26" s="89">
        <f>IF($K26="","",ROUND($K26*Setup!$B$13,2))</f>
        <v/>
      </c>
      <c r="M26" s="89">
        <f>IF($K26="","",$K26-$L26)</f>
        <v/>
      </c>
      <c r="N26" s="89">
        <f>IF(OR($M26="",$D26=""),"",ROUND($M26*IFERROR(IF(VLOOKUP($D26,Setup!$A$76:$C$87,3,FALSE)="",Setup!$B$14,VLOOKUP($D26,Setup!$A$76:$C$87,3,FALSE)),Setup!$B$14),2))</f>
        <v/>
      </c>
      <c r="O26" s="89">
        <f>IF(OR($M26="",$E26=""),"",ROUND($M26*IFERROR(IF(VLOOKUP($E26,Setup!$A$76:$C$87,3,FALSE)="",Setup!$B$15,VLOOKUP($E26,Setup!$A$76:$C$87,3,FALSE)),Setup!$B$15),2))</f>
        <v/>
      </c>
      <c r="P26" s="98" t="n">
        <v>500</v>
      </c>
      <c r="Q26" s="98" t="n">
        <v>0</v>
      </c>
      <c r="R26" s="98" t="n">
        <v>8900</v>
      </c>
      <c r="S26" s="98" t="n">
        <v>520</v>
      </c>
      <c r="T26" s="98" t="n">
        <v>0</v>
      </c>
      <c r="U26" s="89">
        <f>IF($K26="","",SUM($R26:$T26))</f>
        <v/>
      </c>
      <c r="V26" s="89">
        <f>IF($K26="","",$M26-(N($N26)+N($O26)+IF($P26="",Setup!$B$17,$P26)+N($Q26))-N($U26))</f>
        <v/>
      </c>
      <c r="W26" s="94" t="inlineStr">
        <is>
          <t>Paid</t>
        </is>
      </c>
      <c r="X26" s="95" t="inlineStr"/>
      <c r="Z26" s="92">
        <f>IF($A26="","",DATE(YEAR($A26),MONTH($A26),1))</f>
        <v/>
      </c>
    </row>
    <row r="27">
      <c r="A27" s="85" t="n">
        <v>46280</v>
      </c>
      <c r="B27" s="86" t="inlineStr">
        <is>
          <t>DR-1023</t>
        </is>
      </c>
      <c r="C27" s="86" t="inlineStr">
        <is>
          <t>TRUCK 1</t>
        </is>
      </c>
      <c r="D27" s="87" t="inlineStr">
        <is>
          <t>M. Reyes</t>
        </is>
      </c>
      <c r="E27" s="87" t="inlineStr">
        <is>
          <t>A. Bautista</t>
        </is>
      </c>
      <c r="F27" s="87" t="inlineStr">
        <is>
          <t>ORION</t>
        </is>
      </c>
      <c r="G27" s="87" t="inlineStr">
        <is>
          <t>BULACAN</t>
        </is>
      </c>
      <c r="H27" s="88" t="n">
        <v>21</v>
      </c>
      <c r="I27" s="89">
        <f>IF($G27="","",IF($F27="",IFERROR(INDEX(Setup!$C$21:$C$60,MATCH("|"&amp;UPPER(TRIM($G27)),Setup!$Q$21:$Q$60,0)),"NO RATE"),IFERROR(INDEX(Setup!$C$21:$C$60,MATCH(UPPER(TRIM($F27))&amp;"|"&amp;UPPER(TRIM($G27)),Setup!$P$21:$P$60,0)),IFERROR(INDEX(Setup!$C$21:$C$60,MATCH(UPPER(TRIM($G27))&amp;"|"&amp;UPPER(TRIM($F27)),Setup!$P$21:$P$60,0)),"NO RATE"))))</f>
        <v/>
      </c>
      <c r="J27" s="90" t="n"/>
      <c r="K27" s="89">
        <f>IF(OR($G27="",$H27="",NOT(ISNUMBER($I27))),"",ROUND($H27*$I27*(1+IF($J27="",Setup!$B$16,$J27)),2))</f>
        <v/>
      </c>
      <c r="L27" s="89">
        <f>IF($K27="","",ROUND($K27*Setup!$B$13,2))</f>
        <v/>
      </c>
      <c r="M27" s="89">
        <f>IF($K27="","",$K27-$L27)</f>
        <v/>
      </c>
      <c r="N27" s="89">
        <f>IF(OR($M27="",$D27=""),"",ROUND($M27*IFERROR(IF(VLOOKUP($D27,Setup!$A$76:$C$87,3,FALSE)="",Setup!$B$14,VLOOKUP($D27,Setup!$A$76:$C$87,3,FALSE)),Setup!$B$14),2))</f>
        <v/>
      </c>
      <c r="O27" s="89">
        <f>IF(OR($M27="",$E27=""),"",ROUND($M27*IFERROR(IF(VLOOKUP($E27,Setup!$A$76:$C$87,3,FALSE)="",Setup!$B$15,VLOOKUP($E27,Setup!$A$76:$C$87,3,FALSE)),Setup!$B$15),2))</f>
        <v/>
      </c>
      <c r="P27" s="91" t="n">
        <v>500</v>
      </c>
      <c r="Q27" s="91" t="n">
        <v>0</v>
      </c>
      <c r="R27" s="91" t="n">
        <v>6000</v>
      </c>
      <c r="S27" s="91" t="n">
        <v>590</v>
      </c>
      <c r="T27" s="91" t="n">
        <v>0</v>
      </c>
      <c r="U27" s="89">
        <f>IF($K27="","",SUM($R27:$T27))</f>
        <v/>
      </c>
      <c r="V27" s="89">
        <f>IF($K27="","",$M27-(N($N27)+N($O27)+IF($P27="",Setup!$B$17,$P27)+N($Q27))-N($U27))</f>
        <v/>
      </c>
      <c r="W27" s="86" t="inlineStr">
        <is>
          <t>Paid</t>
        </is>
      </c>
      <c r="X27" s="87" t="inlineStr"/>
      <c r="Z27" s="92">
        <f>IF($A27="","",DATE(YEAR($A27),MONTH($A27),1))</f>
        <v/>
      </c>
    </row>
    <row r="28">
      <c r="A28" s="93" t="n">
        <v>46281</v>
      </c>
      <c r="B28" s="94" t="inlineStr">
        <is>
          <t>DR-1024</t>
        </is>
      </c>
      <c r="C28" s="94" t="inlineStr">
        <is>
          <t>TRUCK 1</t>
        </is>
      </c>
      <c r="D28" s="95" t="inlineStr">
        <is>
          <t>R. Dela Cruz</t>
        </is>
      </c>
      <c r="E28" s="95" t="inlineStr">
        <is>
          <t>J. Santos</t>
        </is>
      </c>
      <c r="F28" s="95" t="inlineStr">
        <is>
          <t>MABINI, BATANGAS</t>
        </is>
      </c>
      <c r="G28" s="95" t="inlineStr">
        <is>
          <t>MONCADA</t>
        </is>
      </c>
      <c r="H28" s="96" t="n">
        <v>18</v>
      </c>
      <c r="I28" s="89">
        <f>IF($G28="","",IF($F28="",IFERROR(INDEX(Setup!$C$21:$C$60,MATCH("|"&amp;UPPER(TRIM($G28)),Setup!$Q$21:$Q$60,0)),"NO RATE"),IFERROR(INDEX(Setup!$C$21:$C$60,MATCH(UPPER(TRIM($F28))&amp;"|"&amp;UPPER(TRIM($G28)),Setup!$P$21:$P$60,0)),IFERROR(INDEX(Setup!$C$21:$C$60,MATCH(UPPER(TRIM($G28))&amp;"|"&amp;UPPER(TRIM($F28)),Setup!$P$21:$P$60,0)),"NO RATE"))))</f>
        <v/>
      </c>
      <c r="J28" s="97" t="n"/>
      <c r="K28" s="89">
        <f>IF(OR($G28="",$H28="",NOT(ISNUMBER($I28))),"",ROUND($H28*$I28*(1+IF($J28="",Setup!$B$16,$J28)),2))</f>
        <v/>
      </c>
      <c r="L28" s="89">
        <f>IF($K28="","",ROUND($K28*Setup!$B$13,2))</f>
        <v/>
      </c>
      <c r="M28" s="89">
        <f>IF($K28="","",$K28-$L28)</f>
        <v/>
      </c>
      <c r="N28" s="89">
        <f>IF(OR($M28="",$D28=""),"",ROUND($M28*IFERROR(IF(VLOOKUP($D28,Setup!$A$76:$C$87,3,FALSE)="",Setup!$B$14,VLOOKUP($D28,Setup!$A$76:$C$87,3,FALSE)),Setup!$B$14),2))</f>
        <v/>
      </c>
      <c r="O28" s="89">
        <f>IF(OR($M28="",$E28=""),"",ROUND($M28*IFERROR(IF(VLOOKUP($E28,Setup!$A$76:$C$87,3,FALSE)="",Setup!$B$15,VLOOKUP($E28,Setup!$A$76:$C$87,3,FALSE)),Setup!$B$15),2))</f>
        <v/>
      </c>
      <c r="P28" s="98" t="n">
        <v>500</v>
      </c>
      <c r="Q28" s="98" t="n">
        <v>450</v>
      </c>
      <c r="R28" s="98" t="n">
        <v>7700</v>
      </c>
      <c r="S28" s="98" t="n">
        <v>430</v>
      </c>
      <c r="T28" s="98" t="n">
        <v>0</v>
      </c>
      <c r="U28" s="89">
        <f>IF($K28="","",SUM($R28:$T28))</f>
        <v/>
      </c>
      <c r="V28" s="89">
        <f>IF($K28="","",$M28-(N($N28)+N($O28)+IF($P28="",Setup!$B$17,$P28)+N($Q28))-N($U28))</f>
        <v/>
      </c>
      <c r="W28" s="94" t="inlineStr">
        <is>
          <t>Paid</t>
        </is>
      </c>
      <c r="X28" s="95" t="inlineStr">
        <is>
          <t>helper not available, driver solo</t>
        </is>
      </c>
      <c r="Z28" s="92">
        <f>IF($A28="","",DATE(YEAR($A28),MONTH($A28),1))</f>
        <v/>
      </c>
    </row>
    <row r="29">
      <c r="A29" s="85" t="n">
        <v>46283</v>
      </c>
      <c r="B29" s="86" t="inlineStr">
        <is>
          <t>DR-1025</t>
        </is>
      </c>
      <c r="C29" s="86" t="inlineStr">
        <is>
          <t>TRUCK 1</t>
        </is>
      </c>
      <c r="D29" s="87" t="inlineStr">
        <is>
          <t>M. Reyes</t>
        </is>
      </c>
      <c r="E29" s="87" t="inlineStr">
        <is>
          <t>A. Bautista</t>
        </is>
      </c>
      <c r="F29" s="87" t="inlineStr">
        <is>
          <t>BATAAN</t>
        </is>
      </c>
      <c r="G29" s="87" t="inlineStr">
        <is>
          <t>BULACAN</t>
        </is>
      </c>
      <c r="H29" s="88" t="n">
        <v>21</v>
      </c>
      <c r="I29" s="89">
        <f>IF($G29="","",IF($F29="",IFERROR(INDEX(Setup!$C$21:$C$60,MATCH("|"&amp;UPPER(TRIM($G29)),Setup!$Q$21:$Q$60,0)),"NO RATE"),IFERROR(INDEX(Setup!$C$21:$C$60,MATCH(UPPER(TRIM($F29))&amp;"|"&amp;UPPER(TRIM($G29)),Setup!$P$21:$P$60,0)),IFERROR(INDEX(Setup!$C$21:$C$60,MATCH(UPPER(TRIM($G29))&amp;"|"&amp;UPPER(TRIM($F29)),Setup!$P$21:$P$60,0)),"NO RATE"))))</f>
        <v/>
      </c>
      <c r="J29" s="90" t="n"/>
      <c r="K29" s="89">
        <f>IF(OR($G29="",$H29="",NOT(ISNUMBER($I29))),"",ROUND($H29*$I29*(1+IF($J29="",Setup!$B$16,$J29)),2))</f>
        <v/>
      </c>
      <c r="L29" s="89">
        <f>IF($K29="","",ROUND($K29*Setup!$B$13,2))</f>
        <v/>
      </c>
      <c r="M29" s="89">
        <f>IF($K29="","",$K29-$L29)</f>
        <v/>
      </c>
      <c r="N29" s="89">
        <f>IF(OR($M29="",$D29=""),"",ROUND($M29*IFERROR(IF(VLOOKUP($D29,Setup!$A$76:$C$87,3,FALSE)="",Setup!$B$14,VLOOKUP($D29,Setup!$A$76:$C$87,3,FALSE)),Setup!$B$14),2))</f>
        <v/>
      </c>
      <c r="O29" s="89">
        <f>IF(OR($M29="",$E29=""),"",ROUND($M29*IFERROR(IF(VLOOKUP($E29,Setup!$A$76:$C$87,3,FALSE)="",Setup!$B$15,VLOOKUP($E29,Setup!$A$76:$C$87,3,FALSE)),Setup!$B$15),2))</f>
        <v/>
      </c>
      <c r="P29" s="91" t="n">
        <v>500</v>
      </c>
      <c r="Q29" s="91" t="n">
        <v>0</v>
      </c>
      <c r="R29" s="91" t="n">
        <v>8600</v>
      </c>
      <c r="S29" s="91" t="n">
        <v>480</v>
      </c>
      <c r="T29" s="91" t="n">
        <v>0</v>
      </c>
      <c r="U29" s="89">
        <f>IF($K29="","",SUM($R29:$T29))</f>
        <v/>
      </c>
      <c r="V29" s="89">
        <f>IF($K29="","",$M29-(N($N29)+N($O29)+IF($P29="",Setup!$B$17,$P29)+N($Q29))-N($U29))</f>
        <v/>
      </c>
      <c r="W29" s="86" t="inlineStr">
        <is>
          <t>Paid</t>
        </is>
      </c>
      <c r="X29" s="87" t="inlineStr"/>
      <c r="Z29" s="92">
        <f>IF($A29="","",DATE(YEAR($A29),MONTH($A29),1))</f>
        <v/>
      </c>
    </row>
    <row r="30">
      <c r="A30" s="93" t="n">
        <v>46285</v>
      </c>
      <c r="B30" s="94" t="inlineStr">
        <is>
          <t>DR-1026</t>
        </is>
      </c>
      <c r="C30" s="94" t="inlineStr">
        <is>
          <t>TRUCK 1</t>
        </is>
      </c>
      <c r="D30" s="95" t="inlineStr">
        <is>
          <t>R. Dela Cruz</t>
        </is>
      </c>
      <c r="E30" s="95" t="inlineStr">
        <is>
          <t>J. Santos</t>
        </is>
      </c>
      <c r="F30" s="95" t="inlineStr">
        <is>
          <t>ORION</t>
        </is>
      </c>
      <c r="G30" s="95" t="inlineStr">
        <is>
          <t>ROSALES</t>
        </is>
      </c>
      <c r="H30" s="96" t="n">
        <v>19</v>
      </c>
      <c r="I30" s="89">
        <f>IF($G30="","",IF($F30="",IFERROR(INDEX(Setup!$C$21:$C$60,MATCH("|"&amp;UPPER(TRIM($G30)),Setup!$Q$21:$Q$60,0)),"NO RATE"),IFERROR(INDEX(Setup!$C$21:$C$60,MATCH(UPPER(TRIM($F30))&amp;"|"&amp;UPPER(TRIM($G30)),Setup!$P$21:$P$60,0)),IFERROR(INDEX(Setup!$C$21:$C$60,MATCH(UPPER(TRIM($G30))&amp;"|"&amp;UPPER(TRIM($F30)),Setup!$P$21:$P$60,0)),"NO RATE"))))</f>
        <v/>
      </c>
      <c r="J30" s="97" t="n"/>
      <c r="K30" s="89">
        <f>IF(OR($G30="",$H30="",NOT(ISNUMBER($I30))),"",ROUND($H30*$I30*(1+IF($J30="",Setup!$B$16,$J30)),2))</f>
        <v/>
      </c>
      <c r="L30" s="89">
        <f>IF($K30="","",ROUND($K30*Setup!$B$13,2))</f>
        <v/>
      </c>
      <c r="M30" s="89">
        <f>IF($K30="","",$K30-$L30)</f>
        <v/>
      </c>
      <c r="N30" s="89">
        <f>IF(OR($M30="",$D30=""),"",ROUND($M30*IFERROR(IF(VLOOKUP($D30,Setup!$A$76:$C$87,3,FALSE)="",Setup!$B$14,VLOOKUP($D30,Setup!$A$76:$C$87,3,FALSE)),Setup!$B$14),2))</f>
        <v/>
      </c>
      <c r="O30" s="89">
        <f>IF(OR($M30="",$E30=""),"",ROUND($M30*IFERROR(IF(VLOOKUP($E30,Setup!$A$76:$C$87,3,FALSE)="",Setup!$B$15,VLOOKUP($E30,Setup!$A$76:$C$87,3,FALSE)),Setup!$B$15),2))</f>
        <v/>
      </c>
      <c r="P30" s="98" t="n">
        <v>500</v>
      </c>
      <c r="Q30" s="98" t="n">
        <v>0</v>
      </c>
      <c r="R30" s="98" t="n">
        <v>6000</v>
      </c>
      <c r="S30" s="98" t="n">
        <v>700</v>
      </c>
      <c r="T30" s="98" t="n">
        <v>0</v>
      </c>
      <c r="U30" s="89">
        <f>IF($K30="","",SUM($R30:$T30))</f>
        <v/>
      </c>
      <c r="V30" s="89">
        <f>IF($K30="","",$M30-(N($N30)+N($O30)+IF($P30="",Setup!$B$17,$P30)+N($Q30))-N($U30))</f>
        <v/>
      </c>
      <c r="W30" s="94" t="inlineStr">
        <is>
          <t>Paid</t>
        </is>
      </c>
      <c r="X30" s="95" t="inlineStr"/>
      <c r="Z30" s="92">
        <f>IF($A30="","",DATE(YEAR($A30),MONTH($A30),1))</f>
        <v/>
      </c>
    </row>
    <row r="31">
      <c r="A31" s="85" t="n">
        <v>46287</v>
      </c>
      <c r="B31" s="86" t="inlineStr">
        <is>
          <t>DR-1027</t>
        </is>
      </c>
      <c r="C31" s="86" t="inlineStr">
        <is>
          <t>TRUCK 1</t>
        </is>
      </c>
      <c r="D31" s="87" t="inlineStr">
        <is>
          <t>M. Reyes</t>
        </is>
      </c>
      <c r="E31" s="87" t="inlineStr">
        <is>
          <t>A. Bautista</t>
        </is>
      </c>
      <c r="F31" s="87" t="inlineStr">
        <is>
          <t>MABINI, BATANGAS</t>
        </is>
      </c>
      <c r="G31" s="87" t="inlineStr">
        <is>
          <t>BATAAN</t>
        </is>
      </c>
      <c r="H31" s="88" t="n">
        <v>18</v>
      </c>
      <c r="I31" s="89">
        <f>IF($G31="","",IF($F31="",IFERROR(INDEX(Setup!$C$21:$C$60,MATCH("|"&amp;UPPER(TRIM($G31)),Setup!$Q$21:$Q$60,0)),"NO RATE"),IFERROR(INDEX(Setup!$C$21:$C$60,MATCH(UPPER(TRIM($F31))&amp;"|"&amp;UPPER(TRIM($G31)),Setup!$P$21:$P$60,0)),IFERROR(INDEX(Setup!$C$21:$C$60,MATCH(UPPER(TRIM($G31))&amp;"|"&amp;UPPER(TRIM($F31)),Setup!$P$21:$P$60,0)),"NO RATE"))))</f>
        <v/>
      </c>
      <c r="J31" s="90" t="n"/>
      <c r="K31" s="89">
        <f>IF(OR($G31="",$H31="",NOT(ISNUMBER($I31))),"",ROUND($H31*$I31*(1+IF($J31="",Setup!$B$16,$J31)),2))</f>
        <v/>
      </c>
      <c r="L31" s="89">
        <f>IF($K31="","",ROUND($K31*Setup!$B$13,2))</f>
        <v/>
      </c>
      <c r="M31" s="89">
        <f>IF($K31="","",$K31-$L31)</f>
        <v/>
      </c>
      <c r="N31" s="89">
        <f>IF(OR($M31="",$D31=""),"",ROUND($M31*IFERROR(IF(VLOOKUP($D31,Setup!$A$76:$C$87,3,FALSE)="",Setup!$B$14,VLOOKUP($D31,Setup!$A$76:$C$87,3,FALSE)),Setup!$B$14),2))</f>
        <v/>
      </c>
      <c r="O31" s="89">
        <f>IF(OR($M31="",$E31=""),"",ROUND($M31*IFERROR(IF(VLOOKUP($E31,Setup!$A$76:$C$87,3,FALSE)="",Setup!$B$15,VLOOKUP($E31,Setup!$A$76:$C$87,3,FALSE)),Setup!$B$15),2))</f>
        <v/>
      </c>
      <c r="P31" s="91" t="n">
        <v>500</v>
      </c>
      <c r="Q31" s="91" t="n">
        <v>0</v>
      </c>
      <c r="R31" s="91" t="n">
        <v>11500</v>
      </c>
      <c r="S31" s="91" t="n">
        <v>880</v>
      </c>
      <c r="T31" s="91" t="n">
        <v>0</v>
      </c>
      <c r="U31" s="89">
        <f>IF($K31="","",SUM($R31:$T31))</f>
        <v/>
      </c>
      <c r="V31" s="89">
        <f>IF($K31="","",$M31-(N($N31)+N($O31)+IF($P31="",Setup!$B$17,$P31)+N($Q31))-N($U31))</f>
        <v/>
      </c>
      <c r="W31" s="86" t="inlineStr">
        <is>
          <t>Paid</t>
        </is>
      </c>
      <c r="X31" s="87" t="inlineStr"/>
      <c r="Z31" s="92">
        <f>IF($A31="","",DATE(YEAR($A31),MONTH($A31),1))</f>
        <v/>
      </c>
    </row>
    <row r="32">
      <c r="A32" s="93" t="n">
        <v>46288</v>
      </c>
      <c r="B32" s="94" t="inlineStr">
        <is>
          <t>DR-1028</t>
        </is>
      </c>
      <c r="C32" s="94" t="inlineStr">
        <is>
          <t>TRUCK 1</t>
        </is>
      </c>
      <c r="D32" s="95" t="inlineStr">
        <is>
          <t>R. Dela Cruz</t>
        </is>
      </c>
      <c r="E32" s="95" t="inlineStr">
        <is>
          <t>J. Santos</t>
        </is>
      </c>
      <c r="F32" s="95" t="inlineStr">
        <is>
          <t>BATAAN</t>
        </is>
      </c>
      <c r="G32" s="95" t="inlineStr">
        <is>
          <t>BMEG BATAAN</t>
        </is>
      </c>
      <c r="H32" s="96" t="n">
        <v>21</v>
      </c>
      <c r="I32" s="89">
        <f>IF($G32="","",IF($F32="",IFERROR(INDEX(Setup!$C$21:$C$60,MATCH("|"&amp;UPPER(TRIM($G32)),Setup!$Q$21:$Q$60,0)),"NO RATE"),IFERROR(INDEX(Setup!$C$21:$C$60,MATCH(UPPER(TRIM($F32))&amp;"|"&amp;UPPER(TRIM($G32)),Setup!$P$21:$P$60,0)),IFERROR(INDEX(Setup!$C$21:$C$60,MATCH(UPPER(TRIM($G32))&amp;"|"&amp;UPPER(TRIM($F32)),Setup!$P$21:$P$60,0)),"NO RATE"))))</f>
        <v/>
      </c>
      <c r="J32" s="97" t="n"/>
      <c r="K32" s="89">
        <f>IF(OR($G32="",$H32="",NOT(ISNUMBER($I32))),"",ROUND($H32*$I32*(1+IF($J32="",Setup!$B$16,$J32)),2))</f>
        <v/>
      </c>
      <c r="L32" s="89">
        <f>IF($K32="","",ROUND($K32*Setup!$B$13,2))</f>
        <v/>
      </c>
      <c r="M32" s="89">
        <f>IF($K32="","",$K32-$L32)</f>
        <v/>
      </c>
      <c r="N32" s="89">
        <f>IF(OR($M32="",$D32=""),"",ROUND($M32*IFERROR(IF(VLOOKUP($D32,Setup!$A$76:$C$87,3,FALSE)="",Setup!$B$14,VLOOKUP($D32,Setup!$A$76:$C$87,3,FALSE)),Setup!$B$14),2))</f>
        <v/>
      </c>
      <c r="O32" s="89">
        <f>IF(OR($M32="",$E32=""),"",ROUND($M32*IFERROR(IF(VLOOKUP($E32,Setup!$A$76:$C$87,3,FALSE)="",Setup!$B$15,VLOOKUP($E32,Setup!$A$76:$C$87,3,FALSE)),Setup!$B$15),2))</f>
        <v/>
      </c>
      <c r="P32" s="98" t="n">
        <v>400</v>
      </c>
      <c r="Q32" s="98" t="n">
        <v>0</v>
      </c>
      <c r="R32" s="98" t="n">
        <v>1000</v>
      </c>
      <c r="S32" s="98" t="n">
        <v>120</v>
      </c>
      <c r="T32" s="98" t="n">
        <v>0</v>
      </c>
      <c r="U32" s="89">
        <f>IF($K32="","",SUM($R32:$T32))</f>
        <v/>
      </c>
      <c r="V32" s="89">
        <f>IF($K32="","",$M32-(N($N32)+N($O32)+IF($P32="",Setup!$B$17,$P32)+N($Q32))-N($U32))</f>
        <v/>
      </c>
      <c r="W32" s="94" t="inlineStr">
        <is>
          <t>Paid</t>
        </is>
      </c>
      <c r="X32" s="95" t="inlineStr"/>
      <c r="Z32" s="92">
        <f>IF($A32="","",DATE(YEAR($A32),MONTH($A32),1))</f>
        <v/>
      </c>
    </row>
    <row r="33">
      <c r="A33" s="85" t="n">
        <v>46290</v>
      </c>
      <c r="B33" s="86" t="inlineStr">
        <is>
          <t>DR-1029</t>
        </is>
      </c>
      <c r="C33" s="86" t="inlineStr">
        <is>
          <t>TRUCK 1</t>
        </is>
      </c>
      <c r="D33" s="87" t="inlineStr">
        <is>
          <t>M. Reyes</t>
        </is>
      </c>
      <c r="E33" s="87" t="inlineStr">
        <is>
          <t>A. Bautista</t>
        </is>
      </c>
      <c r="F33" s="87" t="inlineStr">
        <is>
          <t>BATAAN</t>
        </is>
      </c>
      <c r="G33" s="87" t="inlineStr">
        <is>
          <t>TARLAC</t>
        </is>
      </c>
      <c r="H33" s="88" t="n">
        <v>17</v>
      </c>
      <c r="I33" s="89">
        <f>IF($G33="","",IF($F33="",IFERROR(INDEX(Setup!$C$21:$C$60,MATCH("|"&amp;UPPER(TRIM($G33)),Setup!$Q$21:$Q$60,0)),"NO RATE"),IFERROR(INDEX(Setup!$C$21:$C$60,MATCH(UPPER(TRIM($F33))&amp;"|"&amp;UPPER(TRIM($G33)),Setup!$P$21:$P$60,0)),IFERROR(INDEX(Setup!$C$21:$C$60,MATCH(UPPER(TRIM($G33))&amp;"|"&amp;UPPER(TRIM($F33)),Setup!$P$21:$P$60,0)),"NO RATE"))))</f>
        <v/>
      </c>
      <c r="J33" s="90" t="n"/>
      <c r="K33" s="89">
        <f>IF(OR($G33="",$H33="",NOT(ISNUMBER($I33))),"",ROUND($H33*$I33*(1+IF($J33="",Setup!$B$16,$J33)),2))</f>
        <v/>
      </c>
      <c r="L33" s="89">
        <f>IF($K33="","",ROUND($K33*Setup!$B$13,2))</f>
        <v/>
      </c>
      <c r="M33" s="89">
        <f>IF($K33="","",$K33-$L33)</f>
        <v/>
      </c>
      <c r="N33" s="89">
        <f>IF(OR($M33="",$D33=""),"",ROUND($M33*IFERROR(IF(VLOOKUP($D33,Setup!$A$76:$C$87,3,FALSE)="",Setup!$B$14,VLOOKUP($D33,Setup!$A$76:$C$87,3,FALSE)),Setup!$B$14),2))</f>
        <v/>
      </c>
      <c r="O33" s="89">
        <f>IF(OR($M33="",$E33=""),"",ROUND($M33*IFERROR(IF(VLOOKUP($E33,Setup!$A$76:$C$87,3,FALSE)="",Setup!$B$15,VLOOKUP($E33,Setup!$A$76:$C$87,3,FALSE)),Setup!$B$15),2))</f>
        <v/>
      </c>
      <c r="P33" s="91" t="n">
        <v>500</v>
      </c>
      <c r="Q33" s="91" t="n">
        <v>450</v>
      </c>
      <c r="R33" s="91" t="n">
        <v>5600</v>
      </c>
      <c r="S33" s="91" t="n">
        <v>620</v>
      </c>
      <c r="T33" s="91" t="n">
        <v>0</v>
      </c>
      <c r="U33" s="89">
        <f>IF($K33="","",SUM($R33:$T33))</f>
        <v/>
      </c>
      <c r="V33" s="89">
        <f>IF($K33="","",$M33-(N($N33)+N($O33)+IF($P33="",Setup!$B$17,$P33)+N($Q33))-N($U33))</f>
        <v/>
      </c>
      <c r="W33" s="86" t="inlineStr">
        <is>
          <t>Partial</t>
        </is>
      </c>
      <c r="X33" s="87" t="inlineStr"/>
      <c r="Z33" s="92">
        <f>IF($A33="","",DATE(YEAR($A33),MONTH($A33),1))</f>
        <v/>
      </c>
    </row>
    <row r="34">
      <c r="A34" s="93" t="n">
        <v>46292</v>
      </c>
      <c r="B34" s="94" t="inlineStr">
        <is>
          <t>DR-1030</t>
        </is>
      </c>
      <c r="C34" s="94" t="inlineStr">
        <is>
          <t>TRUCK 1</t>
        </is>
      </c>
      <c r="D34" s="95" t="inlineStr">
        <is>
          <t>R. Dela Cruz</t>
        </is>
      </c>
      <c r="E34" s="95" t="inlineStr">
        <is>
          <t>J. Santos</t>
        </is>
      </c>
      <c r="F34" s="95" t="inlineStr">
        <is>
          <t>BATAAN</t>
        </is>
      </c>
      <c r="G34" s="95" t="inlineStr">
        <is>
          <t>BMPP</t>
        </is>
      </c>
      <c r="H34" s="96" t="n">
        <v>20</v>
      </c>
      <c r="I34" s="89">
        <f>IF($G34="","",IF($F34="",IFERROR(INDEX(Setup!$C$21:$C$60,MATCH("|"&amp;UPPER(TRIM($G34)),Setup!$Q$21:$Q$60,0)),"NO RATE"),IFERROR(INDEX(Setup!$C$21:$C$60,MATCH(UPPER(TRIM($F34))&amp;"|"&amp;UPPER(TRIM($G34)),Setup!$P$21:$P$60,0)),IFERROR(INDEX(Setup!$C$21:$C$60,MATCH(UPPER(TRIM($G34))&amp;"|"&amp;UPPER(TRIM($F34)),Setup!$P$21:$P$60,0)),"NO RATE"))))</f>
        <v/>
      </c>
      <c r="J34" s="97" t="n"/>
      <c r="K34" s="89">
        <f>IF(OR($G34="",$H34="",NOT(ISNUMBER($I34))),"",ROUND($H34*$I34*(1+IF($J34="",Setup!$B$16,$J34)),2))</f>
        <v/>
      </c>
      <c r="L34" s="89">
        <f>IF($K34="","",ROUND($K34*Setup!$B$13,2))</f>
        <v/>
      </c>
      <c r="M34" s="89">
        <f>IF($K34="","",$K34-$L34)</f>
        <v/>
      </c>
      <c r="N34" s="89">
        <f>IF(OR($M34="",$D34=""),"",ROUND($M34*IFERROR(IF(VLOOKUP($D34,Setup!$A$76:$C$87,3,FALSE)="",Setup!$B$14,VLOOKUP($D34,Setup!$A$76:$C$87,3,FALSE)),Setup!$B$14),2))</f>
        <v/>
      </c>
      <c r="O34" s="89">
        <f>IF(OR($M34="",$E34=""),"",ROUND($M34*IFERROR(IF(VLOOKUP($E34,Setup!$A$76:$C$87,3,FALSE)="",Setup!$B$15,VLOOKUP($E34,Setup!$A$76:$C$87,3,FALSE)),Setup!$B$15),2))</f>
        <v/>
      </c>
      <c r="P34" s="98" t="n">
        <v>500</v>
      </c>
      <c r="Q34" s="98" t="n">
        <v>0</v>
      </c>
      <c r="R34" s="98" t="n">
        <v>8300</v>
      </c>
      <c r="S34" s="98" t="n">
        <v>560</v>
      </c>
      <c r="T34" s="98" t="n">
        <v>0</v>
      </c>
      <c r="U34" s="89">
        <f>IF($K34="","",SUM($R34:$T34))</f>
        <v/>
      </c>
      <c r="V34" s="89">
        <f>IF($K34="","",$M34-(N($N34)+N($O34)+IF($P34="",Setup!$B$17,$P34)+N($Q34))-N($U34))</f>
        <v/>
      </c>
      <c r="W34" s="94" t="inlineStr">
        <is>
          <t>Partial</t>
        </is>
      </c>
      <c r="X34" s="95" t="inlineStr"/>
      <c r="Z34" s="92">
        <f>IF($A34="","",DATE(YEAR($A34),MONTH($A34),1))</f>
        <v/>
      </c>
    </row>
    <row r="35">
      <c r="A35" s="85" t="n">
        <v>46296</v>
      </c>
      <c r="B35" s="86" t="inlineStr">
        <is>
          <t>DR-1031</t>
        </is>
      </c>
      <c r="C35" s="86" t="inlineStr">
        <is>
          <t>TRUCK 1</t>
        </is>
      </c>
      <c r="D35" s="87" t="inlineStr">
        <is>
          <t>R. Dela Cruz</t>
        </is>
      </c>
      <c r="E35" s="87" t="inlineStr">
        <is>
          <t>J. Santos</t>
        </is>
      </c>
      <c r="F35" s="87" t="inlineStr">
        <is>
          <t>BATAAN</t>
        </is>
      </c>
      <c r="G35" s="87" t="inlineStr">
        <is>
          <t>TARLAC</t>
        </is>
      </c>
      <c r="H35" s="88" t="n">
        <v>19</v>
      </c>
      <c r="I35" s="89">
        <f>IF($G35="","",IF($F35="",IFERROR(INDEX(Setup!$C$21:$C$60,MATCH("|"&amp;UPPER(TRIM($G35)),Setup!$Q$21:$Q$60,0)),"NO RATE"),IFERROR(INDEX(Setup!$C$21:$C$60,MATCH(UPPER(TRIM($F35))&amp;"|"&amp;UPPER(TRIM($G35)),Setup!$P$21:$P$60,0)),IFERROR(INDEX(Setup!$C$21:$C$60,MATCH(UPPER(TRIM($G35))&amp;"|"&amp;UPPER(TRIM($F35)),Setup!$P$21:$P$60,0)),"NO RATE"))))</f>
        <v/>
      </c>
      <c r="J35" s="90" t="n"/>
      <c r="K35" s="89">
        <f>IF(OR($G35="",$H35="",NOT(ISNUMBER($I35))),"",ROUND($H35*$I35*(1+IF($J35="",Setup!$B$16,$J35)),2))</f>
        <v/>
      </c>
      <c r="L35" s="89">
        <f>IF($K35="","",ROUND($K35*Setup!$B$13,2))</f>
        <v/>
      </c>
      <c r="M35" s="89">
        <f>IF($K35="","",$K35-$L35)</f>
        <v/>
      </c>
      <c r="N35" s="89">
        <f>IF(OR($M35="",$D35=""),"",ROUND($M35*IFERROR(IF(VLOOKUP($D35,Setup!$A$76:$C$87,3,FALSE)="",Setup!$B$14,VLOOKUP($D35,Setup!$A$76:$C$87,3,FALSE)),Setup!$B$14),2))</f>
        <v/>
      </c>
      <c r="O35" s="89">
        <f>IF(OR($M35="",$E35=""),"",ROUND($M35*IFERROR(IF(VLOOKUP($E35,Setup!$A$76:$C$87,3,FALSE)="",Setup!$B$15,VLOOKUP($E35,Setup!$A$76:$C$87,3,FALSE)),Setup!$B$15),2))</f>
        <v/>
      </c>
      <c r="P35" s="91" t="n">
        <v>500</v>
      </c>
      <c r="Q35" s="91" t="n">
        <v>0</v>
      </c>
      <c r="R35" s="91" t="n">
        <v>7400</v>
      </c>
      <c r="S35" s="91" t="n">
        <v>620</v>
      </c>
      <c r="T35" s="91" t="n">
        <v>0</v>
      </c>
      <c r="U35" s="89">
        <f>IF($K35="","",SUM($R35:$T35))</f>
        <v/>
      </c>
      <c r="V35" s="89">
        <f>IF($K35="","",$M35-(N($N35)+N($O35)+IF($P35="",Setup!$B$17,$P35)+N($Q35))-N($U35))</f>
        <v/>
      </c>
      <c r="W35" s="86" t="inlineStr">
        <is>
          <t>Paid</t>
        </is>
      </c>
      <c r="X35" s="87" t="inlineStr"/>
      <c r="Z35" s="92">
        <f>IF($A35="","",DATE(YEAR($A35),MONTH($A35),1))</f>
        <v/>
      </c>
    </row>
    <row r="36">
      <c r="A36" s="93" t="n">
        <v>46297</v>
      </c>
      <c r="B36" s="94" t="inlineStr">
        <is>
          <t>DR-1032</t>
        </is>
      </c>
      <c r="C36" s="94" t="inlineStr">
        <is>
          <t>TRUCK 1</t>
        </is>
      </c>
      <c r="D36" s="95" t="inlineStr">
        <is>
          <t>M. Reyes</t>
        </is>
      </c>
      <c r="E36" s="95" t="inlineStr">
        <is>
          <t>A. Bautista</t>
        </is>
      </c>
      <c r="F36" s="95" t="inlineStr">
        <is>
          <t>BATAAN</t>
        </is>
      </c>
      <c r="G36" s="95" t="inlineStr">
        <is>
          <t>BMPP</t>
        </is>
      </c>
      <c r="H36" s="96" t="n">
        <v>19</v>
      </c>
      <c r="I36" s="89">
        <f>IF($G36="","",IF($F36="",IFERROR(INDEX(Setup!$C$21:$C$60,MATCH("|"&amp;UPPER(TRIM($G36)),Setup!$Q$21:$Q$60,0)),"NO RATE"),IFERROR(INDEX(Setup!$C$21:$C$60,MATCH(UPPER(TRIM($F36))&amp;"|"&amp;UPPER(TRIM($G36)),Setup!$P$21:$P$60,0)),IFERROR(INDEX(Setup!$C$21:$C$60,MATCH(UPPER(TRIM($G36))&amp;"|"&amp;UPPER(TRIM($F36)),Setup!$P$21:$P$60,0)),"NO RATE"))))</f>
        <v/>
      </c>
      <c r="J36" s="97" t="n"/>
      <c r="K36" s="89">
        <f>IF(OR($G36="",$H36="",NOT(ISNUMBER($I36))),"",ROUND($H36*$I36*(1+IF($J36="",Setup!$B$16,$J36)),2))</f>
        <v/>
      </c>
      <c r="L36" s="89">
        <f>IF($K36="","",ROUND($K36*Setup!$B$13,2))</f>
        <v/>
      </c>
      <c r="M36" s="89">
        <f>IF($K36="","",$K36-$L36)</f>
        <v/>
      </c>
      <c r="N36" s="89">
        <f>IF(OR($M36="",$D36=""),"",ROUND($M36*IFERROR(IF(VLOOKUP($D36,Setup!$A$76:$C$87,3,FALSE)="",Setup!$B$14,VLOOKUP($D36,Setup!$A$76:$C$87,3,FALSE)),Setup!$B$14),2))</f>
        <v/>
      </c>
      <c r="O36" s="89">
        <f>IF(OR($M36="",$E36=""),"",ROUND($M36*IFERROR(IF(VLOOKUP($E36,Setup!$A$76:$C$87,3,FALSE)="",Setup!$B$15,VLOOKUP($E36,Setup!$A$76:$C$87,3,FALSE)),Setup!$B$15),2))</f>
        <v/>
      </c>
      <c r="P36" s="98" t="n">
        <v>500</v>
      </c>
      <c r="Q36" s="98" t="n">
        <v>0</v>
      </c>
      <c r="R36" s="98" t="n">
        <v>7200</v>
      </c>
      <c r="S36" s="98" t="n">
        <v>560</v>
      </c>
      <c r="T36" s="98" t="n">
        <v>0</v>
      </c>
      <c r="U36" s="89">
        <f>IF($K36="","",SUM($R36:$T36))</f>
        <v/>
      </c>
      <c r="V36" s="89">
        <f>IF($K36="","",$M36-(N($N36)+N($O36)+IF($P36="",Setup!$B$17,$P36)+N($Q36))-N($U36))</f>
        <v/>
      </c>
      <c r="W36" s="94" t="inlineStr">
        <is>
          <t>Paid</t>
        </is>
      </c>
      <c r="X36" s="95" t="inlineStr"/>
      <c r="Z36" s="92">
        <f>IF($A36="","",DATE(YEAR($A36),MONTH($A36),1))</f>
        <v/>
      </c>
    </row>
    <row r="37">
      <c r="A37" s="85" t="n">
        <v>46299</v>
      </c>
      <c r="B37" s="86" t="inlineStr">
        <is>
          <t>DR-1033</t>
        </is>
      </c>
      <c r="C37" s="86" t="inlineStr">
        <is>
          <t>TRUCK 1</t>
        </is>
      </c>
      <c r="D37" s="87" t="inlineStr">
        <is>
          <t>R. Dela Cruz</t>
        </is>
      </c>
      <c r="E37" s="87" t="inlineStr">
        <is>
          <t>J. Santos</t>
        </is>
      </c>
      <c r="F37" s="87" t="inlineStr">
        <is>
          <t>ORION</t>
        </is>
      </c>
      <c r="G37" s="87" t="inlineStr">
        <is>
          <t>BMPP</t>
        </is>
      </c>
      <c r="H37" s="88" t="n">
        <v>22</v>
      </c>
      <c r="I37" s="89">
        <f>IF($G37="","",IF($F37="",IFERROR(INDEX(Setup!$C$21:$C$60,MATCH("|"&amp;UPPER(TRIM($G37)),Setup!$Q$21:$Q$60,0)),"NO RATE"),IFERROR(INDEX(Setup!$C$21:$C$60,MATCH(UPPER(TRIM($F37))&amp;"|"&amp;UPPER(TRIM($G37)),Setup!$P$21:$P$60,0)),IFERROR(INDEX(Setup!$C$21:$C$60,MATCH(UPPER(TRIM($G37))&amp;"|"&amp;UPPER(TRIM($F37)),Setup!$P$21:$P$60,0)),"NO RATE"))))</f>
        <v/>
      </c>
      <c r="J37" s="90" t="n"/>
      <c r="K37" s="89">
        <f>IF(OR($G37="",$H37="",NOT(ISNUMBER($I37))),"",ROUND($H37*$I37*(1+IF($J37="",Setup!$B$16,$J37)),2))</f>
        <v/>
      </c>
      <c r="L37" s="89">
        <f>IF($K37="","",ROUND($K37*Setup!$B$13,2))</f>
        <v/>
      </c>
      <c r="M37" s="89">
        <f>IF($K37="","",$K37-$L37)</f>
        <v/>
      </c>
      <c r="N37" s="89">
        <f>IF(OR($M37="",$D37=""),"",ROUND($M37*IFERROR(IF(VLOOKUP($D37,Setup!$A$76:$C$87,3,FALSE)="",Setup!$B$14,VLOOKUP($D37,Setup!$A$76:$C$87,3,FALSE)),Setup!$B$14),2))</f>
        <v/>
      </c>
      <c r="O37" s="89">
        <f>IF(OR($M37="",$E37=""),"",ROUND($M37*IFERROR(IF(VLOOKUP($E37,Setup!$A$76:$C$87,3,FALSE)="",Setup!$B$15,VLOOKUP($E37,Setup!$A$76:$C$87,3,FALSE)),Setup!$B$15),2))</f>
        <v/>
      </c>
      <c r="P37" s="91" t="n">
        <v>500</v>
      </c>
      <c r="Q37" s="91" t="n">
        <v>0</v>
      </c>
      <c r="R37" s="91" t="n">
        <v>8600</v>
      </c>
      <c r="S37" s="91" t="n">
        <v>540</v>
      </c>
      <c r="T37" s="91" t="n">
        <v>0</v>
      </c>
      <c r="U37" s="89">
        <f>IF($K37="","",SUM($R37:$T37))</f>
        <v/>
      </c>
      <c r="V37" s="89">
        <f>IF($K37="","",$M37-(N($N37)+N($O37)+IF($P37="",Setup!$B$17,$P37)+N($Q37))-N($U37))</f>
        <v/>
      </c>
      <c r="W37" s="86" t="inlineStr">
        <is>
          <t>Paid</t>
        </is>
      </c>
      <c r="X37" s="87" t="inlineStr"/>
      <c r="Z37" s="92">
        <f>IF($A37="","",DATE(YEAR($A37),MONTH($A37),1))</f>
        <v/>
      </c>
    </row>
    <row r="38">
      <c r="A38" s="93" t="n">
        <v>46301</v>
      </c>
      <c r="B38" s="94" t="inlineStr">
        <is>
          <t>DR-1034</t>
        </is>
      </c>
      <c r="C38" s="94" t="inlineStr">
        <is>
          <t>TRUCK 1</t>
        </is>
      </c>
      <c r="D38" s="95" t="inlineStr">
        <is>
          <t>M. Reyes</t>
        </is>
      </c>
      <c r="E38" s="95" t="inlineStr">
        <is>
          <t>A. Bautista</t>
        </is>
      </c>
      <c r="F38" s="95" t="inlineStr">
        <is>
          <t>MABINI, BATANGAS</t>
        </is>
      </c>
      <c r="G38" s="95" t="inlineStr">
        <is>
          <t>BMPP</t>
        </is>
      </c>
      <c r="H38" s="96" t="n">
        <v>21</v>
      </c>
      <c r="I38" s="89">
        <f>IF($G38="","",IF($F38="",IFERROR(INDEX(Setup!$C$21:$C$60,MATCH("|"&amp;UPPER(TRIM($G38)),Setup!$Q$21:$Q$60,0)),"NO RATE"),IFERROR(INDEX(Setup!$C$21:$C$60,MATCH(UPPER(TRIM($F38))&amp;"|"&amp;UPPER(TRIM($G38)),Setup!$P$21:$P$60,0)),IFERROR(INDEX(Setup!$C$21:$C$60,MATCH(UPPER(TRIM($G38))&amp;"|"&amp;UPPER(TRIM($F38)),Setup!$P$21:$P$60,0)),"NO RATE"))))</f>
        <v/>
      </c>
      <c r="J38" s="97" t="n"/>
      <c r="K38" s="89">
        <f>IF(OR($G38="",$H38="",NOT(ISNUMBER($I38))),"",ROUND($H38*$I38*(1+IF($J38="",Setup!$B$16,$J38)),2))</f>
        <v/>
      </c>
      <c r="L38" s="89">
        <f>IF($K38="","",ROUND($K38*Setup!$B$13,2))</f>
        <v/>
      </c>
      <c r="M38" s="89">
        <f>IF($K38="","",$K38-$L38)</f>
        <v/>
      </c>
      <c r="N38" s="89">
        <f>IF(OR($M38="",$D38=""),"",ROUND($M38*IFERROR(IF(VLOOKUP($D38,Setup!$A$76:$C$87,3,FALSE)="",Setup!$B$14,VLOOKUP($D38,Setup!$A$76:$C$87,3,FALSE)),Setup!$B$14),2))</f>
        <v/>
      </c>
      <c r="O38" s="89">
        <f>IF(OR($M38="",$E38=""),"",ROUND($M38*IFERROR(IF(VLOOKUP($E38,Setup!$A$76:$C$87,3,FALSE)="",Setup!$B$15,VLOOKUP($E38,Setup!$A$76:$C$87,3,FALSE)),Setup!$B$15),2))</f>
        <v/>
      </c>
      <c r="P38" s="98" t="n">
        <v>500</v>
      </c>
      <c r="Q38" s="98" t="n">
        <v>450</v>
      </c>
      <c r="R38" s="98" t="n">
        <v>14400</v>
      </c>
      <c r="S38" s="98" t="n">
        <v>980</v>
      </c>
      <c r="T38" s="98" t="n">
        <v>0</v>
      </c>
      <c r="U38" s="89">
        <f>IF($K38="","",SUM($R38:$T38))</f>
        <v/>
      </c>
      <c r="V38" s="89">
        <f>IF($K38="","",$M38-(N($N38)+N($O38)+IF($P38="",Setup!$B$17,$P38)+N($Q38))-N($U38))</f>
        <v/>
      </c>
      <c r="W38" s="94" t="inlineStr">
        <is>
          <t>Paid</t>
        </is>
      </c>
      <c r="X38" s="95" t="inlineStr"/>
      <c r="Z38" s="92">
        <f>IF($A38="","",DATE(YEAR($A38),MONTH($A38),1))</f>
        <v/>
      </c>
    </row>
    <row r="39">
      <c r="A39" s="85" t="n">
        <v>46303</v>
      </c>
      <c r="B39" s="86" t="inlineStr">
        <is>
          <t>DR-1035</t>
        </is>
      </c>
      <c r="C39" s="86" t="inlineStr">
        <is>
          <t>TRUCK 1</t>
        </is>
      </c>
      <c r="D39" s="87" t="inlineStr">
        <is>
          <t>R. Dela Cruz</t>
        </is>
      </c>
      <c r="E39" s="87" t="inlineStr">
        <is>
          <t>J. Santos</t>
        </is>
      </c>
      <c r="F39" s="87" t="inlineStr">
        <is>
          <t>BATAAN</t>
        </is>
      </c>
      <c r="G39" s="87" t="inlineStr">
        <is>
          <t>ISABELA</t>
        </is>
      </c>
      <c r="H39" s="88" t="n">
        <v>17</v>
      </c>
      <c r="I39" s="89">
        <f>IF($G39="","",IF($F39="",IFERROR(INDEX(Setup!$C$21:$C$60,MATCH("|"&amp;UPPER(TRIM($G39)),Setup!$Q$21:$Q$60,0)),"NO RATE"),IFERROR(INDEX(Setup!$C$21:$C$60,MATCH(UPPER(TRIM($F39))&amp;"|"&amp;UPPER(TRIM($G39)),Setup!$P$21:$P$60,0)),IFERROR(INDEX(Setup!$C$21:$C$60,MATCH(UPPER(TRIM($G39))&amp;"|"&amp;UPPER(TRIM($F39)),Setup!$P$21:$P$60,0)),"NO RATE"))))</f>
        <v/>
      </c>
      <c r="J39" s="90" t="n"/>
      <c r="K39" s="89">
        <f>IF(OR($G39="",$H39="",NOT(ISNUMBER($I39))),"",ROUND($H39*$I39*(1+IF($J39="",Setup!$B$16,$J39)),2))</f>
        <v/>
      </c>
      <c r="L39" s="89">
        <f>IF($K39="","",ROUND($K39*Setup!$B$13,2))</f>
        <v/>
      </c>
      <c r="M39" s="89">
        <f>IF($K39="","",$K39-$L39)</f>
        <v/>
      </c>
      <c r="N39" s="89">
        <f>IF(OR($M39="",$D39=""),"",ROUND($M39*IFERROR(IF(VLOOKUP($D39,Setup!$A$76:$C$87,3,FALSE)="",Setup!$B$14,VLOOKUP($D39,Setup!$A$76:$C$87,3,FALSE)),Setup!$B$14),2))</f>
        <v/>
      </c>
      <c r="O39" s="89">
        <f>IF(OR($M39="",$E39=""),"",ROUND($M39*IFERROR(IF(VLOOKUP($E39,Setup!$A$76:$C$87,3,FALSE)="",Setup!$B$15,VLOOKUP($E39,Setup!$A$76:$C$87,3,FALSE)),Setup!$B$15),2))</f>
        <v/>
      </c>
      <c r="P39" s="91" t="n">
        <v>500</v>
      </c>
      <c r="Q39" s="91" t="n">
        <v>0</v>
      </c>
      <c r="R39" s="91" t="n">
        <v>14300</v>
      </c>
      <c r="S39" s="91" t="n">
        <v>1250</v>
      </c>
      <c r="T39" s="91" t="n">
        <v>0</v>
      </c>
      <c r="U39" s="89">
        <f>IF($K39="","",SUM($R39:$T39))</f>
        <v/>
      </c>
      <c r="V39" s="89">
        <f>IF($K39="","",$M39-(N($N39)+N($O39)+IF($P39="",Setup!$B$17,$P39)+N($Q39))-N($U39))</f>
        <v/>
      </c>
      <c r="W39" s="86" t="inlineStr">
        <is>
          <t>Paid</t>
        </is>
      </c>
      <c r="X39" s="87" t="inlineStr">
        <is>
          <t>long haul — diesel receipt attached</t>
        </is>
      </c>
      <c r="Z39" s="92">
        <f>IF($A39="","",DATE(YEAR($A39),MONTH($A39),1))</f>
        <v/>
      </c>
    </row>
    <row r="40">
      <c r="A40" s="93" t="n">
        <v>46305</v>
      </c>
      <c r="B40" s="94" t="inlineStr">
        <is>
          <t>DR-1036</t>
        </is>
      </c>
      <c r="C40" s="94" t="inlineStr">
        <is>
          <t>TRUCK 1</t>
        </is>
      </c>
      <c r="D40" s="95" t="inlineStr">
        <is>
          <t>M. Reyes</t>
        </is>
      </c>
      <c r="E40" s="95" t="inlineStr">
        <is>
          <t>A. Bautista</t>
        </is>
      </c>
      <c r="F40" s="95" t="inlineStr">
        <is>
          <t>ORION</t>
        </is>
      </c>
      <c r="G40" s="95" t="inlineStr">
        <is>
          <t>TARLAC</t>
        </is>
      </c>
      <c r="H40" s="96" t="n">
        <v>20</v>
      </c>
      <c r="I40" s="89">
        <f>IF($G40="","",IF($F40="",IFERROR(INDEX(Setup!$C$21:$C$60,MATCH("|"&amp;UPPER(TRIM($G40)),Setup!$Q$21:$Q$60,0)),"NO RATE"),IFERROR(INDEX(Setup!$C$21:$C$60,MATCH(UPPER(TRIM($F40))&amp;"|"&amp;UPPER(TRIM($G40)),Setup!$P$21:$P$60,0)),IFERROR(INDEX(Setup!$C$21:$C$60,MATCH(UPPER(TRIM($G40))&amp;"|"&amp;UPPER(TRIM($F40)),Setup!$P$21:$P$60,0)),"NO RATE"))))</f>
        <v/>
      </c>
      <c r="J40" s="97" t="n"/>
      <c r="K40" s="89">
        <f>IF(OR($G40="",$H40="",NOT(ISNUMBER($I40))),"",ROUND($H40*$I40*(1+IF($J40="",Setup!$B$16,$J40)),2))</f>
        <v/>
      </c>
      <c r="L40" s="89">
        <f>IF($K40="","",ROUND($K40*Setup!$B$13,2))</f>
        <v/>
      </c>
      <c r="M40" s="89">
        <f>IF($K40="","",$K40-$L40)</f>
        <v/>
      </c>
      <c r="N40" s="89">
        <f>IF(OR($M40="",$D40=""),"",ROUND($M40*IFERROR(IF(VLOOKUP($D40,Setup!$A$76:$C$87,3,FALSE)="",Setup!$B$14,VLOOKUP($D40,Setup!$A$76:$C$87,3,FALSE)),Setup!$B$14),2))</f>
        <v/>
      </c>
      <c r="O40" s="89">
        <f>IF(OR($M40="",$E40=""),"",ROUND($M40*IFERROR(IF(VLOOKUP($E40,Setup!$A$76:$C$87,3,FALSE)="",Setup!$B$15,VLOOKUP($E40,Setup!$A$76:$C$87,3,FALSE)),Setup!$B$15),2))</f>
        <v/>
      </c>
      <c r="P40" s="98" t="n">
        <v>500</v>
      </c>
      <c r="Q40" s="98" t="n">
        <v>0</v>
      </c>
      <c r="R40" s="98" t="n">
        <v>6400</v>
      </c>
      <c r="S40" s="98" t="n">
        <v>610</v>
      </c>
      <c r="T40" s="98" t="n">
        <v>0</v>
      </c>
      <c r="U40" s="89">
        <f>IF($K40="","",SUM($R40:$T40))</f>
        <v/>
      </c>
      <c r="V40" s="89">
        <f>IF($K40="","",$M40-(N($N40)+N($O40)+IF($P40="",Setup!$B$17,$P40)+N($Q40))-N($U40))</f>
        <v/>
      </c>
      <c r="W40" s="94" t="inlineStr">
        <is>
          <t>Paid</t>
        </is>
      </c>
      <c r="X40" s="95" t="inlineStr"/>
      <c r="Z40" s="92">
        <f>IF($A40="","",DATE(YEAR($A40),MONTH($A40),1))</f>
        <v/>
      </c>
    </row>
    <row r="41">
      <c r="A41" s="85" t="n">
        <v>46307</v>
      </c>
      <c r="B41" s="86" t="inlineStr">
        <is>
          <t>DR-1037</t>
        </is>
      </c>
      <c r="C41" s="86" t="inlineStr">
        <is>
          <t>TRUCK 1</t>
        </is>
      </c>
      <c r="D41" s="87" t="inlineStr">
        <is>
          <t>R. Dela Cruz</t>
        </is>
      </c>
      <c r="E41" s="87" t="inlineStr">
        <is>
          <t>J. Santos</t>
        </is>
      </c>
      <c r="F41" s="87" t="inlineStr">
        <is>
          <t>MABINI, BATANGAS</t>
        </is>
      </c>
      <c r="G41" s="87" t="inlineStr">
        <is>
          <t>TARLAC</t>
        </is>
      </c>
      <c r="H41" s="88" t="n">
        <v>19</v>
      </c>
      <c r="I41" s="89">
        <f>IF($G41="","",IF($F41="",IFERROR(INDEX(Setup!$C$21:$C$60,MATCH("|"&amp;UPPER(TRIM($G41)),Setup!$Q$21:$Q$60,0)),"NO RATE"),IFERROR(INDEX(Setup!$C$21:$C$60,MATCH(UPPER(TRIM($F41))&amp;"|"&amp;UPPER(TRIM($G41)),Setup!$P$21:$P$60,0)),IFERROR(INDEX(Setup!$C$21:$C$60,MATCH(UPPER(TRIM($G41))&amp;"|"&amp;UPPER(TRIM($F41)),Setup!$P$21:$P$60,0)),"NO RATE"))))</f>
        <v/>
      </c>
      <c r="J41" s="90" t="n"/>
      <c r="K41" s="89">
        <f>IF(OR($G41="",$H41="",NOT(ISNUMBER($I41))),"",ROUND($H41*$I41*(1+IF($J41="",Setup!$B$16,$J41)),2))</f>
        <v/>
      </c>
      <c r="L41" s="89">
        <f>IF($K41="","",ROUND($K41*Setup!$B$13,2))</f>
        <v/>
      </c>
      <c r="M41" s="89">
        <f>IF($K41="","",$K41-$L41)</f>
        <v/>
      </c>
      <c r="N41" s="89">
        <f>IF(OR($M41="",$D41=""),"",ROUND($M41*IFERROR(IF(VLOOKUP($D41,Setup!$A$76:$C$87,3,FALSE)="",Setup!$B$14,VLOOKUP($D41,Setup!$A$76:$C$87,3,FALSE)),Setup!$B$14),2))</f>
        <v/>
      </c>
      <c r="O41" s="89">
        <f>IF(OR($M41="",$E41=""),"",ROUND($M41*IFERROR(IF(VLOOKUP($E41,Setup!$A$76:$C$87,3,FALSE)="",Setup!$B$15,VLOOKUP($E41,Setup!$A$76:$C$87,3,FALSE)),Setup!$B$15),2))</f>
        <v/>
      </c>
      <c r="P41" s="91" t="n">
        <v>500</v>
      </c>
      <c r="Q41" s="91" t="n">
        <v>0</v>
      </c>
      <c r="R41" s="91" t="n">
        <v>11700</v>
      </c>
      <c r="S41" s="91" t="n">
        <v>900</v>
      </c>
      <c r="T41" s="91" t="n">
        <v>0</v>
      </c>
      <c r="U41" s="89">
        <f>IF($K41="","",SUM($R41:$T41))</f>
        <v/>
      </c>
      <c r="V41" s="89">
        <f>IF($K41="","",$M41-(N($N41)+N($O41)+IF($P41="",Setup!$B$17,$P41)+N($Q41))-N($U41))</f>
        <v/>
      </c>
      <c r="W41" s="86" t="inlineStr">
        <is>
          <t>Paid</t>
        </is>
      </c>
      <c r="X41" s="87" t="inlineStr"/>
      <c r="Z41" s="92">
        <f>IF($A41="","",DATE(YEAR($A41),MONTH($A41),1))</f>
        <v/>
      </c>
    </row>
    <row r="42">
      <c r="A42" s="93" t="n">
        <v>46309</v>
      </c>
      <c r="B42" s="94" t="inlineStr">
        <is>
          <t>DR-1038</t>
        </is>
      </c>
      <c r="C42" s="94" t="inlineStr">
        <is>
          <t>TRUCK 1</t>
        </is>
      </c>
      <c r="D42" s="95" t="inlineStr">
        <is>
          <t>M. Reyes</t>
        </is>
      </c>
      <c r="E42" s="95" t="inlineStr">
        <is>
          <t>A. Bautista</t>
        </is>
      </c>
      <c r="F42" s="95" t="inlineStr">
        <is>
          <t>BATAAN</t>
        </is>
      </c>
      <c r="G42" s="95" t="inlineStr">
        <is>
          <t>ARMOR</t>
        </is>
      </c>
      <c r="H42" s="96" t="n">
        <v>19</v>
      </c>
      <c r="I42" s="89">
        <f>IF($G42="","",IF($F42="",IFERROR(INDEX(Setup!$C$21:$C$60,MATCH("|"&amp;UPPER(TRIM($G42)),Setup!$Q$21:$Q$60,0)),"NO RATE"),IFERROR(INDEX(Setup!$C$21:$C$60,MATCH(UPPER(TRIM($F42))&amp;"|"&amp;UPPER(TRIM($G42)),Setup!$P$21:$P$60,0)),IFERROR(INDEX(Setup!$C$21:$C$60,MATCH(UPPER(TRIM($G42))&amp;"|"&amp;UPPER(TRIM($F42)),Setup!$P$21:$P$60,0)),"NO RATE"))))</f>
        <v/>
      </c>
      <c r="J42" s="97" t="n"/>
      <c r="K42" s="89">
        <f>IF(OR($G42="",$H42="",NOT(ISNUMBER($I42))),"",ROUND($H42*$I42*(1+IF($J42="",Setup!$B$16,$J42)),2))</f>
        <v/>
      </c>
      <c r="L42" s="89">
        <f>IF($K42="","",ROUND($K42*Setup!$B$13,2))</f>
        <v/>
      </c>
      <c r="M42" s="89">
        <f>IF($K42="","",$K42-$L42)</f>
        <v/>
      </c>
      <c r="N42" s="89">
        <f>IF(OR($M42="",$D42=""),"",ROUND($M42*IFERROR(IF(VLOOKUP($D42,Setup!$A$76:$C$87,3,FALSE)="",Setup!$B$14,VLOOKUP($D42,Setup!$A$76:$C$87,3,FALSE)),Setup!$B$14),2))</f>
        <v/>
      </c>
      <c r="O42" s="89">
        <f>IF(OR($M42="",$E42=""),"",ROUND($M42*IFERROR(IF(VLOOKUP($E42,Setup!$A$76:$C$87,3,FALSE)="",Setup!$B$15,VLOOKUP($E42,Setup!$A$76:$C$87,3,FALSE)),Setup!$B$15),2))</f>
        <v/>
      </c>
      <c r="P42" s="98" t="n">
        <v>500</v>
      </c>
      <c r="Q42" s="98" t="n">
        <v>0</v>
      </c>
      <c r="R42" s="98" t="n">
        <v>6900</v>
      </c>
      <c r="S42" s="98" t="n">
        <v>520</v>
      </c>
      <c r="T42" s="98" t="n">
        <v>0</v>
      </c>
      <c r="U42" s="89">
        <f>IF($K42="","",SUM($R42:$T42))</f>
        <v/>
      </c>
      <c r="V42" s="89">
        <f>IF($K42="","",$M42-(N($N42)+N($O42)+IF($P42="",Setup!$B$17,$P42)+N($Q42))-N($U42))</f>
        <v/>
      </c>
      <c r="W42" s="94" t="inlineStr">
        <is>
          <t>Paid</t>
        </is>
      </c>
      <c r="X42" s="95" t="inlineStr"/>
      <c r="Z42" s="92">
        <f>IF($A42="","",DATE(YEAR($A42),MONTH($A42),1))</f>
        <v/>
      </c>
    </row>
    <row r="43">
      <c r="A43" s="85" t="n">
        <v>46310</v>
      </c>
      <c r="B43" s="86" t="inlineStr">
        <is>
          <t>DR-1039</t>
        </is>
      </c>
      <c r="C43" s="86" t="inlineStr">
        <is>
          <t>TRUCK 1</t>
        </is>
      </c>
      <c r="D43" s="87" t="inlineStr">
        <is>
          <t>R. Dela Cruz</t>
        </is>
      </c>
      <c r="E43" s="87" t="inlineStr">
        <is>
          <t>J. Santos</t>
        </is>
      </c>
      <c r="F43" s="87" t="inlineStr">
        <is>
          <t>ORION</t>
        </is>
      </c>
      <c r="G43" s="87" t="inlineStr">
        <is>
          <t>BULACAN</t>
        </is>
      </c>
      <c r="H43" s="88" t="n">
        <v>22</v>
      </c>
      <c r="I43" s="89">
        <f>IF($G43="","",IF($F43="",IFERROR(INDEX(Setup!$C$21:$C$60,MATCH("|"&amp;UPPER(TRIM($G43)),Setup!$Q$21:$Q$60,0)),"NO RATE"),IFERROR(INDEX(Setup!$C$21:$C$60,MATCH(UPPER(TRIM($F43))&amp;"|"&amp;UPPER(TRIM($G43)),Setup!$P$21:$P$60,0)),IFERROR(INDEX(Setup!$C$21:$C$60,MATCH(UPPER(TRIM($G43))&amp;"|"&amp;UPPER(TRIM($F43)),Setup!$P$21:$P$60,0)),"NO RATE"))))</f>
        <v/>
      </c>
      <c r="J43" s="90" t="n"/>
      <c r="K43" s="89">
        <f>IF(OR($G43="",$H43="",NOT(ISNUMBER($I43))),"",ROUND($H43*$I43*(1+IF($J43="",Setup!$B$16,$J43)),2))</f>
        <v/>
      </c>
      <c r="L43" s="89">
        <f>IF($K43="","",ROUND($K43*Setup!$B$13,2))</f>
        <v/>
      </c>
      <c r="M43" s="89">
        <f>IF($K43="","",$K43-$L43)</f>
        <v/>
      </c>
      <c r="N43" s="89">
        <f>IF(OR($M43="",$D43=""),"",ROUND($M43*IFERROR(IF(VLOOKUP($D43,Setup!$A$76:$C$87,3,FALSE)="",Setup!$B$14,VLOOKUP($D43,Setup!$A$76:$C$87,3,FALSE)),Setup!$B$14),2))</f>
        <v/>
      </c>
      <c r="O43" s="89">
        <f>IF(OR($M43="",$E43=""),"",ROUND($M43*IFERROR(IF(VLOOKUP($E43,Setup!$A$76:$C$87,3,FALSE)="",Setup!$B$15,VLOOKUP($E43,Setup!$A$76:$C$87,3,FALSE)),Setup!$B$15),2))</f>
        <v/>
      </c>
      <c r="P43" s="91" t="n">
        <v>500</v>
      </c>
      <c r="Q43" s="91" t="n">
        <v>450</v>
      </c>
      <c r="R43" s="91" t="n">
        <v>6800</v>
      </c>
      <c r="S43" s="91" t="n">
        <v>590</v>
      </c>
      <c r="T43" s="91" t="n">
        <v>0</v>
      </c>
      <c r="U43" s="89">
        <f>IF($K43="","",SUM($R43:$T43))</f>
        <v/>
      </c>
      <c r="V43" s="89">
        <f>IF($K43="","",$M43-(N($N43)+N($O43)+IF($P43="",Setup!$B$17,$P43)+N($Q43))-N($U43))</f>
        <v/>
      </c>
      <c r="W43" s="86" t="inlineStr">
        <is>
          <t>Paid</t>
        </is>
      </c>
      <c r="X43" s="87" t="inlineStr"/>
      <c r="Z43" s="92">
        <f>IF($A43="","",DATE(YEAR($A43),MONTH($A43),1))</f>
        <v/>
      </c>
    </row>
    <row r="44">
      <c r="A44" s="93" t="n">
        <v>46312</v>
      </c>
      <c r="B44" s="94" t="inlineStr">
        <is>
          <t>DR-1040</t>
        </is>
      </c>
      <c r="C44" s="94" t="inlineStr">
        <is>
          <t>TRUCK 1</t>
        </is>
      </c>
      <c r="D44" s="95" t="inlineStr">
        <is>
          <t>M. Reyes</t>
        </is>
      </c>
      <c r="E44" s="95" t="inlineStr">
        <is>
          <t>A. Bautista</t>
        </is>
      </c>
      <c r="F44" s="95" t="inlineStr">
        <is>
          <t>MABINI, BATANGAS</t>
        </is>
      </c>
      <c r="G44" s="95" t="inlineStr">
        <is>
          <t>MONCADA</t>
        </is>
      </c>
      <c r="H44" s="96" t="n">
        <v>19</v>
      </c>
      <c r="I44" s="89">
        <f>IF($G44="","",IF($F44="",IFERROR(INDEX(Setup!$C$21:$C$60,MATCH("|"&amp;UPPER(TRIM($G44)),Setup!$Q$21:$Q$60,0)),"NO RATE"),IFERROR(INDEX(Setup!$C$21:$C$60,MATCH(UPPER(TRIM($F44))&amp;"|"&amp;UPPER(TRIM($G44)),Setup!$P$21:$P$60,0)),IFERROR(INDEX(Setup!$C$21:$C$60,MATCH(UPPER(TRIM($G44))&amp;"|"&amp;UPPER(TRIM($F44)),Setup!$P$21:$P$60,0)),"NO RATE"))))</f>
        <v/>
      </c>
      <c r="J44" s="97" t="n"/>
      <c r="K44" s="89">
        <f>IF(OR($G44="",$H44="",NOT(ISNUMBER($I44))),"",ROUND($H44*$I44*(1+IF($J44="",Setup!$B$16,$J44)),2))</f>
        <v/>
      </c>
      <c r="L44" s="89">
        <f>IF($K44="","",ROUND($K44*Setup!$B$13,2))</f>
        <v/>
      </c>
      <c r="M44" s="89">
        <f>IF($K44="","",$K44-$L44)</f>
        <v/>
      </c>
      <c r="N44" s="89">
        <f>IF(OR($M44="",$D44=""),"",ROUND($M44*IFERROR(IF(VLOOKUP($D44,Setup!$A$76:$C$87,3,FALSE)="",Setup!$B$14,VLOOKUP($D44,Setup!$A$76:$C$87,3,FALSE)),Setup!$B$14),2))</f>
        <v/>
      </c>
      <c r="O44" s="89">
        <f>IF(OR($M44="",$E44=""),"",ROUND($M44*IFERROR(IF(VLOOKUP($E44,Setup!$A$76:$C$87,3,FALSE)="",Setup!$B$15,VLOOKUP($E44,Setup!$A$76:$C$87,3,FALSE)),Setup!$B$15),2))</f>
        <v/>
      </c>
      <c r="P44" s="98" t="n">
        <v>500</v>
      </c>
      <c r="Q44" s="98" t="n">
        <v>0</v>
      </c>
      <c r="R44" s="98" t="n">
        <v>8700</v>
      </c>
      <c r="S44" s="98" t="n">
        <v>430</v>
      </c>
      <c r="T44" s="98" t="n">
        <v>0</v>
      </c>
      <c r="U44" s="89">
        <f>IF($K44="","",SUM($R44:$T44))</f>
        <v/>
      </c>
      <c r="V44" s="89">
        <f>IF($K44="","",$M44-(N($N44)+N($O44)+IF($P44="",Setup!$B$17,$P44)+N($Q44))-N($U44))</f>
        <v/>
      </c>
      <c r="W44" s="94" t="inlineStr">
        <is>
          <t>Unpaid</t>
        </is>
      </c>
      <c r="X44" s="95" t="inlineStr">
        <is>
          <t>helper not available, driver solo</t>
        </is>
      </c>
      <c r="Z44" s="92">
        <f>IF($A44="","",DATE(YEAR($A44),MONTH($A44),1))</f>
        <v/>
      </c>
    </row>
    <row r="45">
      <c r="A45" s="85" t="n">
        <v>46314</v>
      </c>
      <c r="B45" s="86" t="inlineStr">
        <is>
          <t>DR-1041</t>
        </is>
      </c>
      <c r="C45" s="86" t="inlineStr">
        <is>
          <t>TRUCK 1</t>
        </is>
      </c>
      <c r="D45" s="87" t="inlineStr">
        <is>
          <t>R. Dela Cruz</t>
        </is>
      </c>
      <c r="E45" s="87" t="inlineStr">
        <is>
          <t>J. Santos</t>
        </is>
      </c>
      <c r="F45" s="87" t="inlineStr">
        <is>
          <t>BATAAN</t>
        </is>
      </c>
      <c r="G45" s="87" t="inlineStr">
        <is>
          <t>BULACAN</t>
        </is>
      </c>
      <c r="H45" s="88" t="n">
        <v>19</v>
      </c>
      <c r="I45" s="89">
        <f>IF($G45="","",IF($F45="",IFERROR(INDEX(Setup!$C$21:$C$60,MATCH("|"&amp;UPPER(TRIM($G45)),Setup!$Q$21:$Q$60,0)),"NO RATE"),IFERROR(INDEX(Setup!$C$21:$C$60,MATCH(UPPER(TRIM($F45))&amp;"|"&amp;UPPER(TRIM($G45)),Setup!$P$21:$P$60,0)),IFERROR(INDEX(Setup!$C$21:$C$60,MATCH(UPPER(TRIM($G45))&amp;"|"&amp;UPPER(TRIM($F45)),Setup!$P$21:$P$60,0)),"NO RATE"))))</f>
        <v/>
      </c>
      <c r="J45" s="90" t="n"/>
      <c r="K45" s="89">
        <f>IF(OR($G45="",$H45="",NOT(ISNUMBER($I45))),"",ROUND($H45*$I45*(1+IF($J45="",Setup!$B$16,$J45)),2))</f>
        <v/>
      </c>
      <c r="L45" s="89">
        <f>IF($K45="","",ROUND($K45*Setup!$B$13,2))</f>
        <v/>
      </c>
      <c r="M45" s="89">
        <f>IF($K45="","",$K45-$L45)</f>
        <v/>
      </c>
      <c r="N45" s="89">
        <f>IF(OR($M45="",$D45=""),"",ROUND($M45*IFERROR(IF(VLOOKUP($D45,Setup!$A$76:$C$87,3,FALSE)="",Setup!$B$14,VLOOKUP($D45,Setup!$A$76:$C$87,3,FALSE)),Setup!$B$14),2))</f>
        <v/>
      </c>
      <c r="O45" s="89">
        <f>IF(OR($M45="",$E45=""),"",ROUND($M45*IFERROR(IF(VLOOKUP($E45,Setup!$A$76:$C$87,3,FALSE)="",Setup!$B$15,VLOOKUP($E45,Setup!$A$76:$C$87,3,FALSE)),Setup!$B$15),2))</f>
        <v/>
      </c>
      <c r="P45" s="91" t="n">
        <v>500</v>
      </c>
      <c r="Q45" s="91" t="n">
        <v>0</v>
      </c>
      <c r="R45" s="91" t="n">
        <v>6600</v>
      </c>
      <c r="S45" s="91" t="n">
        <v>480</v>
      </c>
      <c r="T45" s="91" t="n">
        <v>0</v>
      </c>
      <c r="U45" s="89">
        <f>IF($K45="","",SUM($R45:$T45))</f>
        <v/>
      </c>
      <c r="V45" s="89">
        <f>IF($K45="","",$M45-(N($N45)+N($O45)+IF($P45="",Setup!$B$17,$P45)+N($Q45))-N($U45))</f>
        <v/>
      </c>
      <c r="W45" s="86" t="inlineStr">
        <is>
          <t>Unpaid</t>
        </is>
      </c>
      <c r="X45" s="87" t="inlineStr"/>
      <c r="Z45" s="92">
        <f>IF($A45="","",DATE(YEAR($A45),MONTH($A45),1))</f>
        <v/>
      </c>
    </row>
    <row r="46">
      <c r="A46" s="93" t="n">
        <v>46316</v>
      </c>
      <c r="B46" s="94" t="inlineStr">
        <is>
          <t>DR-1042</t>
        </is>
      </c>
      <c r="C46" s="94" t="inlineStr">
        <is>
          <t>TRUCK 1</t>
        </is>
      </c>
      <c r="D46" s="95" t="inlineStr">
        <is>
          <t>M. Reyes</t>
        </is>
      </c>
      <c r="E46" s="95" t="inlineStr">
        <is>
          <t>A. Bautista</t>
        </is>
      </c>
      <c r="F46" s="95" t="inlineStr">
        <is>
          <t>ORION</t>
        </is>
      </c>
      <c r="G46" s="95" t="inlineStr">
        <is>
          <t>ROSALES</t>
        </is>
      </c>
      <c r="H46" s="96" t="n">
        <v>20</v>
      </c>
      <c r="I46" s="89">
        <f>IF($G46="","",IF($F46="",IFERROR(INDEX(Setup!$C$21:$C$60,MATCH("|"&amp;UPPER(TRIM($G46)),Setup!$Q$21:$Q$60,0)),"NO RATE"),IFERROR(INDEX(Setup!$C$21:$C$60,MATCH(UPPER(TRIM($F46))&amp;"|"&amp;UPPER(TRIM($G46)),Setup!$P$21:$P$60,0)),IFERROR(INDEX(Setup!$C$21:$C$60,MATCH(UPPER(TRIM($G46))&amp;"|"&amp;UPPER(TRIM($F46)),Setup!$P$21:$P$60,0)),"NO RATE"))))</f>
        <v/>
      </c>
      <c r="J46" s="97" t="n"/>
      <c r="K46" s="89">
        <f>IF(OR($G46="",$H46="",NOT(ISNUMBER($I46))),"",ROUND($H46*$I46*(1+IF($J46="",Setup!$B$16,$J46)),2))</f>
        <v/>
      </c>
      <c r="L46" s="89">
        <f>IF($K46="","",ROUND($K46*Setup!$B$13,2))</f>
        <v/>
      </c>
      <c r="M46" s="89">
        <f>IF($K46="","",$K46-$L46)</f>
        <v/>
      </c>
      <c r="N46" s="89">
        <f>IF(OR($M46="",$D46=""),"",ROUND($M46*IFERROR(IF(VLOOKUP($D46,Setup!$A$76:$C$87,3,FALSE)="",Setup!$B$14,VLOOKUP($D46,Setup!$A$76:$C$87,3,FALSE)),Setup!$B$14),2))</f>
        <v/>
      </c>
      <c r="O46" s="89">
        <f>IF(OR($M46="",$E46=""),"",ROUND($M46*IFERROR(IF(VLOOKUP($E46,Setup!$A$76:$C$87,3,FALSE)="",Setup!$B$15,VLOOKUP($E46,Setup!$A$76:$C$87,3,FALSE)),Setup!$B$15),2))</f>
        <v/>
      </c>
      <c r="P46" s="98" t="n">
        <v>500</v>
      </c>
      <c r="Q46" s="98" t="n">
        <v>0</v>
      </c>
      <c r="R46" s="98" t="n">
        <v>6900</v>
      </c>
      <c r="S46" s="98" t="n">
        <v>700</v>
      </c>
      <c r="T46" s="98" t="n">
        <v>0</v>
      </c>
      <c r="U46" s="89">
        <f>IF($K46="","",SUM($R46:$T46))</f>
        <v/>
      </c>
      <c r="V46" s="89">
        <f>IF($K46="","",$M46-(N($N46)+N($O46)+IF($P46="",Setup!$B$17,$P46)+N($Q46))-N($U46))</f>
        <v/>
      </c>
      <c r="W46" s="94" t="inlineStr">
        <is>
          <t>Unpaid</t>
        </is>
      </c>
      <c r="X46" s="95" t="inlineStr"/>
      <c r="Z46" s="92">
        <f>IF($A46="","",DATE(YEAR($A46),MONTH($A46),1))</f>
        <v/>
      </c>
    </row>
    <row r="47">
      <c r="A47" s="85" t="n">
        <v>46318</v>
      </c>
      <c r="B47" s="86" t="inlineStr">
        <is>
          <t>DR-1043</t>
        </is>
      </c>
      <c r="C47" s="86" t="inlineStr">
        <is>
          <t>TRUCK 1</t>
        </is>
      </c>
      <c r="D47" s="87" t="inlineStr">
        <is>
          <t>R. Dela Cruz</t>
        </is>
      </c>
      <c r="E47" s="87" t="inlineStr">
        <is>
          <t>J. Santos</t>
        </is>
      </c>
      <c r="F47" s="87" t="inlineStr">
        <is>
          <t>MABINI, BATANGAS</t>
        </is>
      </c>
      <c r="G47" s="87" t="inlineStr">
        <is>
          <t>BATAAN</t>
        </is>
      </c>
      <c r="H47" s="88" t="n">
        <v>19</v>
      </c>
      <c r="I47" s="89">
        <f>IF($G47="","",IF($F47="",IFERROR(INDEX(Setup!$C$21:$C$60,MATCH("|"&amp;UPPER(TRIM($G47)),Setup!$Q$21:$Q$60,0)),"NO RATE"),IFERROR(INDEX(Setup!$C$21:$C$60,MATCH(UPPER(TRIM($F47))&amp;"|"&amp;UPPER(TRIM($G47)),Setup!$P$21:$P$60,0)),IFERROR(INDEX(Setup!$C$21:$C$60,MATCH(UPPER(TRIM($G47))&amp;"|"&amp;UPPER(TRIM($F47)),Setup!$P$21:$P$60,0)),"NO RATE"))))</f>
        <v/>
      </c>
      <c r="J47" s="90" t="n">
        <v>0.2</v>
      </c>
      <c r="K47" s="89">
        <f>IF(OR($G47="",$H47="",NOT(ISNUMBER($I47))),"",ROUND($H47*$I47*(1+IF($J47="",Setup!$B$16,$J47)),2))</f>
        <v/>
      </c>
      <c r="L47" s="89">
        <f>IF($K47="","",ROUND($K47*Setup!$B$13,2))</f>
        <v/>
      </c>
      <c r="M47" s="89">
        <f>IF($K47="","",$K47-$L47)</f>
        <v/>
      </c>
      <c r="N47" s="89">
        <f>IF(OR($M47="",$D47=""),"",ROUND($M47*IFERROR(IF(VLOOKUP($D47,Setup!$A$76:$C$87,3,FALSE)="",Setup!$B$14,VLOOKUP($D47,Setup!$A$76:$C$87,3,FALSE)),Setup!$B$14),2))</f>
        <v/>
      </c>
      <c r="O47" s="89">
        <f>IF(OR($M47="",$E47=""),"",ROUND($M47*IFERROR(IF(VLOOKUP($E47,Setup!$A$76:$C$87,3,FALSE)="",Setup!$B$15,VLOOKUP($E47,Setup!$A$76:$C$87,3,FALSE)),Setup!$B$15),2))</f>
        <v/>
      </c>
      <c r="P47" s="91" t="n">
        <v>500</v>
      </c>
      <c r="Q47" s="91" t="n">
        <v>0</v>
      </c>
      <c r="R47" s="91" t="n">
        <v>13100</v>
      </c>
      <c r="S47" s="91" t="n">
        <v>880</v>
      </c>
      <c r="T47" s="91" t="n">
        <v>0</v>
      </c>
      <c r="U47" s="89">
        <f>IF($K47="","",SUM($R47:$T47))</f>
        <v/>
      </c>
      <c r="V47" s="89">
        <f>IF($K47="","",$M47-(N($N47)+N($O47)+IF($P47="",Setup!$B$17,$P47)+N($Q47))-N($U47))</f>
        <v/>
      </c>
      <c r="W47" s="86" t="inlineStr">
        <is>
          <t>Unpaid</t>
        </is>
      </c>
      <c r="X47" s="87" t="inlineStr">
        <is>
          <t>surcharge raised to 20%</t>
        </is>
      </c>
      <c r="Z47" s="92">
        <f>IF($A47="","",DATE(YEAR($A47),MONTH($A47),1))</f>
        <v/>
      </c>
    </row>
    <row r="48">
      <c r="A48" s="93" t="n">
        <v>46320</v>
      </c>
      <c r="B48" s="94" t="inlineStr">
        <is>
          <t>DR-1044</t>
        </is>
      </c>
      <c r="C48" s="94" t="inlineStr">
        <is>
          <t>TRUCK 1</t>
        </is>
      </c>
      <c r="D48" s="95" t="inlineStr">
        <is>
          <t>M. Reyes</t>
        </is>
      </c>
      <c r="E48" s="95" t="inlineStr">
        <is>
          <t>A. Bautista</t>
        </is>
      </c>
      <c r="F48" s="95" t="inlineStr">
        <is>
          <t>BATAAN</t>
        </is>
      </c>
      <c r="G48" s="95" t="inlineStr">
        <is>
          <t>BMEG BATAAN</t>
        </is>
      </c>
      <c r="H48" s="96" t="n">
        <v>19</v>
      </c>
      <c r="I48" s="89">
        <f>IF($G48="","",IF($F48="",IFERROR(INDEX(Setup!$C$21:$C$60,MATCH("|"&amp;UPPER(TRIM($G48)),Setup!$Q$21:$Q$60,0)),"NO RATE"),IFERROR(INDEX(Setup!$C$21:$C$60,MATCH(UPPER(TRIM($F48))&amp;"|"&amp;UPPER(TRIM($G48)),Setup!$P$21:$P$60,0)),IFERROR(INDEX(Setup!$C$21:$C$60,MATCH(UPPER(TRIM($G48))&amp;"|"&amp;UPPER(TRIM($F48)),Setup!$P$21:$P$60,0)),"NO RATE"))))</f>
        <v/>
      </c>
      <c r="J48" s="97" t="n"/>
      <c r="K48" s="89">
        <f>IF(OR($G48="",$H48="",NOT(ISNUMBER($I48))),"",ROUND($H48*$I48*(1+IF($J48="",Setup!$B$16,$J48)),2))</f>
        <v/>
      </c>
      <c r="L48" s="89">
        <f>IF($K48="","",ROUND($K48*Setup!$B$13,2))</f>
        <v/>
      </c>
      <c r="M48" s="89">
        <f>IF($K48="","",$K48-$L48)</f>
        <v/>
      </c>
      <c r="N48" s="89">
        <f>IF(OR($M48="",$D48=""),"",ROUND($M48*IFERROR(IF(VLOOKUP($D48,Setup!$A$76:$C$87,3,FALSE)="",Setup!$B$14,VLOOKUP($D48,Setup!$A$76:$C$87,3,FALSE)),Setup!$B$14),2))</f>
        <v/>
      </c>
      <c r="O48" s="89">
        <f>IF(OR($M48="",$E48=""),"",ROUND($M48*IFERROR(IF(VLOOKUP($E48,Setup!$A$76:$C$87,3,FALSE)="",Setup!$B$15,VLOOKUP($E48,Setup!$A$76:$C$87,3,FALSE)),Setup!$B$15),2))</f>
        <v/>
      </c>
      <c r="P48" s="98" t="n">
        <v>400</v>
      </c>
      <c r="Q48" s="98" t="n">
        <v>450</v>
      </c>
      <c r="R48" s="98" t="n">
        <v>800</v>
      </c>
      <c r="S48" s="98" t="n">
        <v>120</v>
      </c>
      <c r="T48" s="98" t="n">
        <v>0</v>
      </c>
      <c r="U48" s="89">
        <f>IF($K48="","",SUM($R48:$T48))</f>
        <v/>
      </c>
      <c r="V48" s="89">
        <f>IF($K48="","",$M48-(N($N48)+N($O48)+IF($P48="",Setup!$B$17,$P48)+N($Q48))-N($U48))</f>
        <v/>
      </c>
      <c r="W48" s="94" t="inlineStr">
        <is>
          <t>Unpaid</t>
        </is>
      </c>
      <c r="X48" s="95" t="inlineStr"/>
      <c r="Z48" s="92">
        <f>IF($A48="","",DATE(YEAR($A48),MONTH($A48),1))</f>
        <v/>
      </c>
    </row>
    <row r="49">
      <c r="A49" s="85" t="n">
        <v>46322</v>
      </c>
      <c r="B49" s="86" t="inlineStr">
        <is>
          <t>DR-1045</t>
        </is>
      </c>
      <c r="C49" s="86" t="inlineStr">
        <is>
          <t>TRUCK 1</t>
        </is>
      </c>
      <c r="D49" s="87" t="inlineStr">
        <is>
          <t>R. Dela Cruz</t>
        </is>
      </c>
      <c r="E49" s="87" t="inlineStr">
        <is>
          <t>J. Santos</t>
        </is>
      </c>
      <c r="F49" s="87" t="inlineStr">
        <is>
          <t>BATAAN</t>
        </is>
      </c>
      <c r="G49" s="87" t="inlineStr">
        <is>
          <t>TARLAC</t>
        </is>
      </c>
      <c r="H49" s="88" t="n">
        <v>18</v>
      </c>
      <c r="I49" s="89">
        <f>IF($G49="","",IF($F49="",IFERROR(INDEX(Setup!$C$21:$C$60,MATCH("|"&amp;UPPER(TRIM($G49)),Setup!$Q$21:$Q$60,0)),"NO RATE"),IFERROR(INDEX(Setup!$C$21:$C$60,MATCH(UPPER(TRIM($F49))&amp;"|"&amp;UPPER(TRIM($G49)),Setup!$P$21:$P$60,0)),IFERROR(INDEX(Setup!$C$21:$C$60,MATCH(UPPER(TRIM($G49))&amp;"|"&amp;UPPER(TRIM($F49)),Setup!$P$21:$P$60,0)),"NO RATE"))))</f>
        <v/>
      </c>
      <c r="J49" s="90" t="n"/>
      <c r="K49" s="89">
        <f>IF(OR($G49="",$H49="",NOT(ISNUMBER($I49))),"",ROUND($H49*$I49*(1+IF($J49="",Setup!$B$16,$J49)),2))</f>
        <v/>
      </c>
      <c r="L49" s="89">
        <f>IF($K49="","",ROUND($K49*Setup!$B$13,2))</f>
        <v/>
      </c>
      <c r="M49" s="89">
        <f>IF($K49="","",$K49-$L49)</f>
        <v/>
      </c>
      <c r="N49" s="89">
        <f>IF(OR($M49="",$D49=""),"",ROUND($M49*IFERROR(IF(VLOOKUP($D49,Setup!$A$76:$C$87,3,FALSE)="",Setup!$B$14,VLOOKUP($D49,Setup!$A$76:$C$87,3,FALSE)),Setup!$B$14),2))</f>
        <v/>
      </c>
      <c r="O49" s="89">
        <f>IF(OR($M49="",$E49=""),"",ROUND($M49*IFERROR(IF(VLOOKUP($E49,Setup!$A$76:$C$87,3,FALSE)="",Setup!$B$15,VLOOKUP($E49,Setup!$A$76:$C$87,3,FALSE)),Setup!$B$15),2))</f>
        <v/>
      </c>
      <c r="P49" s="91" t="n">
        <v>500</v>
      </c>
      <c r="Q49" s="91" t="n">
        <v>0</v>
      </c>
      <c r="R49" s="91" t="n">
        <v>6400</v>
      </c>
      <c r="S49" s="91" t="n">
        <v>620</v>
      </c>
      <c r="T49" s="91" t="n">
        <v>0</v>
      </c>
      <c r="U49" s="89">
        <f>IF($K49="","",SUM($R49:$T49))</f>
        <v/>
      </c>
      <c r="V49" s="89">
        <f>IF($K49="","",$M49-(N($N49)+N($O49)+IF($P49="",Setup!$B$17,$P49)+N($Q49))-N($U49))</f>
        <v/>
      </c>
      <c r="W49" s="86" t="inlineStr">
        <is>
          <t>Unpaid</t>
        </is>
      </c>
      <c r="X49" s="87" t="inlineStr"/>
      <c r="Z49" s="92">
        <f>IF($A49="","",DATE(YEAR($A49),MONTH($A49),1))</f>
        <v/>
      </c>
    </row>
    <row r="50">
      <c r="A50" s="93" t="n"/>
      <c r="B50" s="94" t="n"/>
      <c r="C50" s="94" t="n"/>
      <c r="D50" s="95" t="n"/>
      <c r="E50" s="95" t="n"/>
      <c r="F50" s="95" t="n"/>
      <c r="G50" s="95" t="n"/>
      <c r="H50" s="96" t="n"/>
      <c r="I50" s="89">
        <f>IF($G50="","",IF($F50="",IFERROR(INDEX(Setup!$C$21:$C$60,MATCH("|"&amp;UPPER(TRIM($G50)),Setup!$Q$21:$Q$60,0)),"NO RATE"),IFERROR(INDEX(Setup!$C$21:$C$60,MATCH(UPPER(TRIM($F50))&amp;"|"&amp;UPPER(TRIM($G50)),Setup!$P$21:$P$60,0)),IFERROR(INDEX(Setup!$C$21:$C$60,MATCH(UPPER(TRIM($G50))&amp;"|"&amp;UPPER(TRIM($F50)),Setup!$P$21:$P$60,0)),"NO RATE"))))</f>
        <v/>
      </c>
      <c r="J50" s="97" t="n"/>
      <c r="K50" s="89">
        <f>IF(OR($G50="",$H50="",NOT(ISNUMBER($I50))),"",ROUND($H50*$I50*(1+IF($J50="",Setup!$B$16,$J50)),2))</f>
        <v/>
      </c>
      <c r="L50" s="89">
        <f>IF($K50="","",ROUND($K50*Setup!$B$13,2))</f>
        <v/>
      </c>
      <c r="M50" s="89">
        <f>IF($K50="","",$K50-$L50)</f>
        <v/>
      </c>
      <c r="N50" s="89">
        <f>IF(OR($M50="",$D50=""),"",ROUND($M50*IFERROR(IF(VLOOKUP($D50,Setup!$A$76:$C$87,3,FALSE)="",Setup!$B$14,VLOOKUP($D50,Setup!$A$76:$C$87,3,FALSE)),Setup!$B$14),2))</f>
        <v/>
      </c>
      <c r="O50" s="89">
        <f>IF(OR($M50="",$E50=""),"",ROUND($M50*IFERROR(IF(VLOOKUP($E50,Setup!$A$76:$C$87,3,FALSE)="",Setup!$B$15,VLOOKUP($E50,Setup!$A$76:$C$87,3,FALSE)),Setup!$B$15),2))</f>
        <v/>
      </c>
      <c r="P50" s="98" t="n"/>
      <c r="Q50" s="98" t="n"/>
      <c r="R50" s="98" t="n"/>
      <c r="S50" s="98" t="n"/>
      <c r="T50" s="98" t="n"/>
      <c r="U50" s="89">
        <f>IF($K50="","",SUM($R50:$T50))</f>
        <v/>
      </c>
      <c r="V50" s="89">
        <f>IF($K50="","",$M50-(N($N50)+N($O50)+IF($P50="",Setup!$B$17,$P50)+N($Q50))-N($U50))</f>
        <v/>
      </c>
      <c r="W50" s="94" t="n"/>
      <c r="X50" s="95" t="n"/>
      <c r="Z50" s="92">
        <f>IF($A50="","",DATE(YEAR($A50),MONTH($A50),1))</f>
        <v/>
      </c>
    </row>
    <row r="51">
      <c r="A51" s="85" t="n"/>
      <c r="B51" s="86" t="n"/>
      <c r="C51" s="86" t="n"/>
      <c r="D51" s="87" t="n"/>
      <c r="E51" s="87" t="n"/>
      <c r="F51" s="87" t="n"/>
      <c r="G51" s="87" t="n"/>
      <c r="H51" s="88" t="n"/>
      <c r="I51" s="89">
        <f>IF($G51="","",IF($F51="",IFERROR(INDEX(Setup!$C$21:$C$60,MATCH("|"&amp;UPPER(TRIM($G51)),Setup!$Q$21:$Q$60,0)),"NO RATE"),IFERROR(INDEX(Setup!$C$21:$C$60,MATCH(UPPER(TRIM($F51))&amp;"|"&amp;UPPER(TRIM($G51)),Setup!$P$21:$P$60,0)),IFERROR(INDEX(Setup!$C$21:$C$60,MATCH(UPPER(TRIM($G51))&amp;"|"&amp;UPPER(TRIM($F51)),Setup!$P$21:$P$60,0)),"NO RATE"))))</f>
        <v/>
      </c>
      <c r="J51" s="90" t="n"/>
      <c r="K51" s="89">
        <f>IF(OR($G51="",$H51="",NOT(ISNUMBER($I51))),"",ROUND($H51*$I51*(1+IF($J51="",Setup!$B$16,$J51)),2))</f>
        <v/>
      </c>
      <c r="L51" s="89">
        <f>IF($K51="","",ROUND($K51*Setup!$B$13,2))</f>
        <v/>
      </c>
      <c r="M51" s="89">
        <f>IF($K51="","",$K51-$L51)</f>
        <v/>
      </c>
      <c r="N51" s="89">
        <f>IF(OR($M51="",$D51=""),"",ROUND($M51*IFERROR(IF(VLOOKUP($D51,Setup!$A$76:$C$87,3,FALSE)="",Setup!$B$14,VLOOKUP($D51,Setup!$A$76:$C$87,3,FALSE)),Setup!$B$14),2))</f>
        <v/>
      </c>
      <c r="O51" s="89">
        <f>IF(OR($M51="",$E51=""),"",ROUND($M51*IFERROR(IF(VLOOKUP($E51,Setup!$A$76:$C$87,3,FALSE)="",Setup!$B$15,VLOOKUP($E51,Setup!$A$76:$C$87,3,FALSE)),Setup!$B$15),2))</f>
        <v/>
      </c>
      <c r="P51" s="91" t="n"/>
      <c r="Q51" s="91" t="n"/>
      <c r="R51" s="91" t="n"/>
      <c r="S51" s="91" t="n"/>
      <c r="T51" s="91" t="n"/>
      <c r="U51" s="89">
        <f>IF($K51="","",SUM($R51:$T51))</f>
        <v/>
      </c>
      <c r="V51" s="89">
        <f>IF($K51="","",$M51-(N($N51)+N($O51)+IF($P51="",Setup!$B$17,$P51)+N($Q51))-N($U51))</f>
        <v/>
      </c>
      <c r="W51" s="86" t="n"/>
      <c r="X51" s="87" t="n"/>
      <c r="Z51" s="92">
        <f>IF($A51="","",DATE(YEAR($A51),MONTH($A51),1))</f>
        <v/>
      </c>
    </row>
    <row r="52">
      <c r="A52" s="93" t="n"/>
      <c r="B52" s="94" t="n"/>
      <c r="C52" s="94" t="n"/>
      <c r="D52" s="95" t="n"/>
      <c r="E52" s="95" t="n"/>
      <c r="F52" s="95" t="n"/>
      <c r="G52" s="95" t="n"/>
      <c r="H52" s="96" t="n"/>
      <c r="I52" s="89">
        <f>IF($G52="","",IF($F52="",IFERROR(INDEX(Setup!$C$21:$C$60,MATCH("|"&amp;UPPER(TRIM($G52)),Setup!$Q$21:$Q$60,0)),"NO RATE"),IFERROR(INDEX(Setup!$C$21:$C$60,MATCH(UPPER(TRIM($F52))&amp;"|"&amp;UPPER(TRIM($G52)),Setup!$P$21:$P$60,0)),IFERROR(INDEX(Setup!$C$21:$C$60,MATCH(UPPER(TRIM($G52))&amp;"|"&amp;UPPER(TRIM($F52)),Setup!$P$21:$P$60,0)),"NO RATE"))))</f>
        <v/>
      </c>
      <c r="J52" s="97" t="n"/>
      <c r="K52" s="89">
        <f>IF(OR($G52="",$H52="",NOT(ISNUMBER($I52))),"",ROUND($H52*$I52*(1+IF($J52="",Setup!$B$16,$J52)),2))</f>
        <v/>
      </c>
      <c r="L52" s="89">
        <f>IF($K52="","",ROUND($K52*Setup!$B$13,2))</f>
        <v/>
      </c>
      <c r="M52" s="89">
        <f>IF($K52="","",$K52-$L52)</f>
        <v/>
      </c>
      <c r="N52" s="89">
        <f>IF(OR($M52="",$D52=""),"",ROUND($M52*IFERROR(IF(VLOOKUP($D52,Setup!$A$76:$C$87,3,FALSE)="",Setup!$B$14,VLOOKUP($D52,Setup!$A$76:$C$87,3,FALSE)),Setup!$B$14),2))</f>
        <v/>
      </c>
      <c r="O52" s="89">
        <f>IF(OR($M52="",$E52=""),"",ROUND($M52*IFERROR(IF(VLOOKUP($E52,Setup!$A$76:$C$87,3,FALSE)="",Setup!$B$15,VLOOKUP($E52,Setup!$A$76:$C$87,3,FALSE)),Setup!$B$15),2))</f>
        <v/>
      </c>
      <c r="P52" s="98" t="n"/>
      <c r="Q52" s="98" t="n"/>
      <c r="R52" s="98" t="n"/>
      <c r="S52" s="98" t="n"/>
      <c r="T52" s="98" t="n"/>
      <c r="U52" s="89">
        <f>IF($K52="","",SUM($R52:$T52))</f>
        <v/>
      </c>
      <c r="V52" s="89">
        <f>IF($K52="","",$M52-(N($N52)+N($O52)+IF($P52="",Setup!$B$17,$P52)+N($Q52))-N($U52))</f>
        <v/>
      </c>
      <c r="W52" s="94" t="n"/>
      <c r="X52" s="95" t="n"/>
      <c r="Z52" s="92">
        <f>IF($A52="","",DATE(YEAR($A52),MONTH($A52),1))</f>
        <v/>
      </c>
    </row>
    <row r="53">
      <c r="A53" s="85" t="n"/>
      <c r="B53" s="86" t="n"/>
      <c r="C53" s="86" t="n"/>
      <c r="D53" s="87" t="n"/>
      <c r="E53" s="87" t="n"/>
      <c r="F53" s="87" t="n"/>
      <c r="G53" s="87" t="n"/>
      <c r="H53" s="88" t="n"/>
      <c r="I53" s="89">
        <f>IF($G53="","",IF($F53="",IFERROR(INDEX(Setup!$C$21:$C$60,MATCH("|"&amp;UPPER(TRIM($G53)),Setup!$Q$21:$Q$60,0)),"NO RATE"),IFERROR(INDEX(Setup!$C$21:$C$60,MATCH(UPPER(TRIM($F53))&amp;"|"&amp;UPPER(TRIM($G53)),Setup!$P$21:$P$60,0)),IFERROR(INDEX(Setup!$C$21:$C$60,MATCH(UPPER(TRIM($G53))&amp;"|"&amp;UPPER(TRIM($F53)),Setup!$P$21:$P$60,0)),"NO RATE"))))</f>
        <v/>
      </c>
      <c r="J53" s="90" t="n"/>
      <c r="K53" s="89">
        <f>IF(OR($G53="",$H53="",NOT(ISNUMBER($I53))),"",ROUND($H53*$I53*(1+IF($J53="",Setup!$B$16,$J53)),2))</f>
        <v/>
      </c>
      <c r="L53" s="89">
        <f>IF($K53="","",ROUND($K53*Setup!$B$13,2))</f>
        <v/>
      </c>
      <c r="M53" s="89">
        <f>IF($K53="","",$K53-$L53)</f>
        <v/>
      </c>
      <c r="N53" s="89">
        <f>IF(OR($M53="",$D53=""),"",ROUND($M53*IFERROR(IF(VLOOKUP($D53,Setup!$A$76:$C$87,3,FALSE)="",Setup!$B$14,VLOOKUP($D53,Setup!$A$76:$C$87,3,FALSE)),Setup!$B$14),2))</f>
        <v/>
      </c>
      <c r="O53" s="89">
        <f>IF(OR($M53="",$E53=""),"",ROUND($M53*IFERROR(IF(VLOOKUP($E53,Setup!$A$76:$C$87,3,FALSE)="",Setup!$B$15,VLOOKUP($E53,Setup!$A$76:$C$87,3,FALSE)),Setup!$B$15),2))</f>
        <v/>
      </c>
      <c r="P53" s="91" t="n"/>
      <c r="Q53" s="91" t="n"/>
      <c r="R53" s="91" t="n"/>
      <c r="S53" s="91" t="n"/>
      <c r="T53" s="91" t="n"/>
      <c r="U53" s="89">
        <f>IF($K53="","",SUM($R53:$T53))</f>
        <v/>
      </c>
      <c r="V53" s="89">
        <f>IF($K53="","",$M53-(N($N53)+N($O53)+IF($P53="",Setup!$B$17,$P53)+N($Q53))-N($U53))</f>
        <v/>
      </c>
      <c r="W53" s="86" t="n"/>
      <c r="X53" s="87" t="n"/>
      <c r="Z53" s="92">
        <f>IF($A53="","",DATE(YEAR($A53),MONTH($A53),1))</f>
        <v/>
      </c>
    </row>
    <row r="54">
      <c r="A54" s="93" t="n"/>
      <c r="B54" s="94" t="n"/>
      <c r="C54" s="94" t="n"/>
      <c r="D54" s="95" t="n"/>
      <c r="E54" s="95" t="n"/>
      <c r="F54" s="95" t="n"/>
      <c r="G54" s="95" t="n"/>
      <c r="H54" s="96" t="n"/>
      <c r="I54" s="89">
        <f>IF($G54="","",IF($F54="",IFERROR(INDEX(Setup!$C$21:$C$60,MATCH("|"&amp;UPPER(TRIM($G54)),Setup!$Q$21:$Q$60,0)),"NO RATE"),IFERROR(INDEX(Setup!$C$21:$C$60,MATCH(UPPER(TRIM($F54))&amp;"|"&amp;UPPER(TRIM($G54)),Setup!$P$21:$P$60,0)),IFERROR(INDEX(Setup!$C$21:$C$60,MATCH(UPPER(TRIM($G54))&amp;"|"&amp;UPPER(TRIM($F54)),Setup!$P$21:$P$60,0)),"NO RATE"))))</f>
        <v/>
      </c>
      <c r="J54" s="97" t="n"/>
      <c r="K54" s="89">
        <f>IF(OR($G54="",$H54="",NOT(ISNUMBER($I54))),"",ROUND($H54*$I54*(1+IF($J54="",Setup!$B$16,$J54)),2))</f>
        <v/>
      </c>
      <c r="L54" s="89">
        <f>IF($K54="","",ROUND($K54*Setup!$B$13,2))</f>
        <v/>
      </c>
      <c r="M54" s="89">
        <f>IF($K54="","",$K54-$L54)</f>
        <v/>
      </c>
      <c r="N54" s="89">
        <f>IF(OR($M54="",$D54=""),"",ROUND($M54*IFERROR(IF(VLOOKUP($D54,Setup!$A$76:$C$87,3,FALSE)="",Setup!$B$14,VLOOKUP($D54,Setup!$A$76:$C$87,3,FALSE)),Setup!$B$14),2))</f>
        <v/>
      </c>
      <c r="O54" s="89">
        <f>IF(OR($M54="",$E54=""),"",ROUND($M54*IFERROR(IF(VLOOKUP($E54,Setup!$A$76:$C$87,3,FALSE)="",Setup!$B$15,VLOOKUP($E54,Setup!$A$76:$C$87,3,FALSE)),Setup!$B$15),2))</f>
        <v/>
      </c>
      <c r="P54" s="98" t="n"/>
      <c r="Q54" s="98" t="n"/>
      <c r="R54" s="98" t="n"/>
      <c r="S54" s="98" t="n"/>
      <c r="T54" s="98" t="n"/>
      <c r="U54" s="89">
        <f>IF($K54="","",SUM($R54:$T54))</f>
        <v/>
      </c>
      <c r="V54" s="89">
        <f>IF($K54="","",$M54-(N($N54)+N($O54)+IF($P54="",Setup!$B$17,$P54)+N($Q54))-N($U54))</f>
        <v/>
      </c>
      <c r="W54" s="94" t="n"/>
      <c r="X54" s="95" t="n"/>
      <c r="Z54" s="92">
        <f>IF($A54="","",DATE(YEAR($A54),MONTH($A54),1))</f>
        <v/>
      </c>
    </row>
    <row r="55">
      <c r="A55" s="85" t="n"/>
      <c r="B55" s="86" t="n"/>
      <c r="C55" s="86" t="n"/>
      <c r="D55" s="87" t="n"/>
      <c r="E55" s="87" t="n"/>
      <c r="F55" s="87" t="n"/>
      <c r="G55" s="87" t="n"/>
      <c r="H55" s="88" t="n"/>
      <c r="I55" s="89">
        <f>IF($G55="","",IF($F55="",IFERROR(INDEX(Setup!$C$21:$C$60,MATCH("|"&amp;UPPER(TRIM($G55)),Setup!$Q$21:$Q$60,0)),"NO RATE"),IFERROR(INDEX(Setup!$C$21:$C$60,MATCH(UPPER(TRIM($F55))&amp;"|"&amp;UPPER(TRIM($G55)),Setup!$P$21:$P$60,0)),IFERROR(INDEX(Setup!$C$21:$C$60,MATCH(UPPER(TRIM($G55))&amp;"|"&amp;UPPER(TRIM($F55)),Setup!$P$21:$P$60,0)),"NO RATE"))))</f>
        <v/>
      </c>
      <c r="J55" s="90" t="n"/>
      <c r="K55" s="89">
        <f>IF(OR($G55="",$H55="",NOT(ISNUMBER($I55))),"",ROUND($H55*$I55*(1+IF($J55="",Setup!$B$16,$J55)),2))</f>
        <v/>
      </c>
      <c r="L55" s="89">
        <f>IF($K55="","",ROUND($K55*Setup!$B$13,2))</f>
        <v/>
      </c>
      <c r="M55" s="89">
        <f>IF($K55="","",$K55-$L55)</f>
        <v/>
      </c>
      <c r="N55" s="89">
        <f>IF(OR($M55="",$D55=""),"",ROUND($M55*IFERROR(IF(VLOOKUP($D55,Setup!$A$76:$C$87,3,FALSE)="",Setup!$B$14,VLOOKUP($D55,Setup!$A$76:$C$87,3,FALSE)),Setup!$B$14),2))</f>
        <v/>
      </c>
      <c r="O55" s="89">
        <f>IF(OR($M55="",$E55=""),"",ROUND($M55*IFERROR(IF(VLOOKUP($E55,Setup!$A$76:$C$87,3,FALSE)="",Setup!$B$15,VLOOKUP($E55,Setup!$A$76:$C$87,3,FALSE)),Setup!$B$15),2))</f>
        <v/>
      </c>
      <c r="P55" s="91" t="n"/>
      <c r="Q55" s="91" t="n"/>
      <c r="R55" s="91" t="n"/>
      <c r="S55" s="91" t="n"/>
      <c r="T55" s="91" t="n"/>
      <c r="U55" s="89">
        <f>IF($K55="","",SUM($R55:$T55))</f>
        <v/>
      </c>
      <c r="V55" s="89">
        <f>IF($K55="","",$M55-(N($N55)+N($O55)+IF($P55="",Setup!$B$17,$P55)+N($Q55))-N($U55))</f>
        <v/>
      </c>
      <c r="W55" s="86" t="n"/>
      <c r="X55" s="87" t="n"/>
      <c r="Z55" s="92">
        <f>IF($A55="","",DATE(YEAR($A55),MONTH($A55),1))</f>
        <v/>
      </c>
    </row>
    <row r="56">
      <c r="A56" s="93" t="n"/>
      <c r="B56" s="94" t="n"/>
      <c r="C56" s="94" t="n"/>
      <c r="D56" s="95" t="n"/>
      <c r="E56" s="95" t="n"/>
      <c r="F56" s="95" t="n"/>
      <c r="G56" s="95" t="n"/>
      <c r="H56" s="96" t="n"/>
      <c r="I56" s="89">
        <f>IF($G56="","",IF($F56="",IFERROR(INDEX(Setup!$C$21:$C$60,MATCH("|"&amp;UPPER(TRIM($G56)),Setup!$Q$21:$Q$60,0)),"NO RATE"),IFERROR(INDEX(Setup!$C$21:$C$60,MATCH(UPPER(TRIM($F56))&amp;"|"&amp;UPPER(TRIM($G56)),Setup!$P$21:$P$60,0)),IFERROR(INDEX(Setup!$C$21:$C$60,MATCH(UPPER(TRIM($G56))&amp;"|"&amp;UPPER(TRIM($F56)),Setup!$P$21:$P$60,0)),"NO RATE"))))</f>
        <v/>
      </c>
      <c r="J56" s="97" t="n"/>
      <c r="K56" s="89">
        <f>IF(OR($G56="",$H56="",NOT(ISNUMBER($I56))),"",ROUND($H56*$I56*(1+IF($J56="",Setup!$B$16,$J56)),2))</f>
        <v/>
      </c>
      <c r="L56" s="89">
        <f>IF($K56="","",ROUND($K56*Setup!$B$13,2))</f>
        <v/>
      </c>
      <c r="M56" s="89">
        <f>IF($K56="","",$K56-$L56)</f>
        <v/>
      </c>
      <c r="N56" s="89">
        <f>IF(OR($M56="",$D56=""),"",ROUND($M56*IFERROR(IF(VLOOKUP($D56,Setup!$A$76:$C$87,3,FALSE)="",Setup!$B$14,VLOOKUP($D56,Setup!$A$76:$C$87,3,FALSE)),Setup!$B$14),2))</f>
        <v/>
      </c>
      <c r="O56" s="89">
        <f>IF(OR($M56="",$E56=""),"",ROUND($M56*IFERROR(IF(VLOOKUP($E56,Setup!$A$76:$C$87,3,FALSE)="",Setup!$B$15,VLOOKUP($E56,Setup!$A$76:$C$87,3,FALSE)),Setup!$B$15),2))</f>
        <v/>
      </c>
      <c r="P56" s="98" t="n"/>
      <c r="Q56" s="98" t="n"/>
      <c r="R56" s="98" t="n"/>
      <c r="S56" s="98" t="n"/>
      <c r="T56" s="98" t="n"/>
      <c r="U56" s="89">
        <f>IF($K56="","",SUM($R56:$T56))</f>
        <v/>
      </c>
      <c r="V56" s="89">
        <f>IF($K56="","",$M56-(N($N56)+N($O56)+IF($P56="",Setup!$B$17,$P56)+N($Q56))-N($U56))</f>
        <v/>
      </c>
      <c r="W56" s="94" t="n"/>
      <c r="X56" s="95" t="n"/>
      <c r="Z56" s="92">
        <f>IF($A56="","",DATE(YEAR($A56),MONTH($A56),1))</f>
        <v/>
      </c>
    </row>
    <row r="57">
      <c r="A57" s="85" t="n"/>
      <c r="B57" s="86" t="n"/>
      <c r="C57" s="86" t="n"/>
      <c r="D57" s="87" t="n"/>
      <c r="E57" s="87" t="n"/>
      <c r="F57" s="87" t="n"/>
      <c r="G57" s="87" t="n"/>
      <c r="H57" s="88" t="n"/>
      <c r="I57" s="89">
        <f>IF($G57="","",IF($F57="",IFERROR(INDEX(Setup!$C$21:$C$60,MATCH("|"&amp;UPPER(TRIM($G57)),Setup!$Q$21:$Q$60,0)),"NO RATE"),IFERROR(INDEX(Setup!$C$21:$C$60,MATCH(UPPER(TRIM($F57))&amp;"|"&amp;UPPER(TRIM($G57)),Setup!$P$21:$P$60,0)),IFERROR(INDEX(Setup!$C$21:$C$60,MATCH(UPPER(TRIM($G57))&amp;"|"&amp;UPPER(TRIM($F57)),Setup!$P$21:$P$60,0)),"NO RATE"))))</f>
        <v/>
      </c>
      <c r="J57" s="90" t="n"/>
      <c r="K57" s="89">
        <f>IF(OR($G57="",$H57="",NOT(ISNUMBER($I57))),"",ROUND($H57*$I57*(1+IF($J57="",Setup!$B$16,$J57)),2))</f>
        <v/>
      </c>
      <c r="L57" s="89">
        <f>IF($K57="","",ROUND($K57*Setup!$B$13,2))</f>
        <v/>
      </c>
      <c r="M57" s="89">
        <f>IF($K57="","",$K57-$L57)</f>
        <v/>
      </c>
      <c r="N57" s="89">
        <f>IF(OR($M57="",$D57=""),"",ROUND($M57*IFERROR(IF(VLOOKUP($D57,Setup!$A$76:$C$87,3,FALSE)="",Setup!$B$14,VLOOKUP($D57,Setup!$A$76:$C$87,3,FALSE)),Setup!$B$14),2))</f>
        <v/>
      </c>
      <c r="O57" s="89">
        <f>IF(OR($M57="",$E57=""),"",ROUND($M57*IFERROR(IF(VLOOKUP($E57,Setup!$A$76:$C$87,3,FALSE)="",Setup!$B$15,VLOOKUP($E57,Setup!$A$76:$C$87,3,FALSE)),Setup!$B$15),2))</f>
        <v/>
      </c>
      <c r="P57" s="91" t="n"/>
      <c r="Q57" s="91" t="n"/>
      <c r="R57" s="91" t="n"/>
      <c r="S57" s="91" t="n"/>
      <c r="T57" s="91" t="n"/>
      <c r="U57" s="89">
        <f>IF($K57="","",SUM($R57:$T57))</f>
        <v/>
      </c>
      <c r="V57" s="89">
        <f>IF($K57="","",$M57-(N($N57)+N($O57)+IF($P57="",Setup!$B$17,$P57)+N($Q57))-N($U57))</f>
        <v/>
      </c>
      <c r="W57" s="86" t="n"/>
      <c r="X57" s="87" t="n"/>
      <c r="Z57" s="92">
        <f>IF($A57="","",DATE(YEAR($A57),MONTH($A57),1))</f>
        <v/>
      </c>
    </row>
    <row r="58">
      <c r="A58" s="93" t="n"/>
      <c r="B58" s="94" t="n"/>
      <c r="C58" s="94" t="n"/>
      <c r="D58" s="95" t="n"/>
      <c r="E58" s="95" t="n"/>
      <c r="F58" s="95" t="n"/>
      <c r="G58" s="95" t="n"/>
      <c r="H58" s="96" t="n"/>
      <c r="I58" s="89">
        <f>IF($G58="","",IF($F58="",IFERROR(INDEX(Setup!$C$21:$C$60,MATCH("|"&amp;UPPER(TRIM($G58)),Setup!$Q$21:$Q$60,0)),"NO RATE"),IFERROR(INDEX(Setup!$C$21:$C$60,MATCH(UPPER(TRIM($F58))&amp;"|"&amp;UPPER(TRIM($G58)),Setup!$P$21:$P$60,0)),IFERROR(INDEX(Setup!$C$21:$C$60,MATCH(UPPER(TRIM($G58))&amp;"|"&amp;UPPER(TRIM($F58)),Setup!$P$21:$P$60,0)),"NO RATE"))))</f>
        <v/>
      </c>
      <c r="J58" s="97" t="n"/>
      <c r="K58" s="89">
        <f>IF(OR($G58="",$H58="",NOT(ISNUMBER($I58))),"",ROUND($H58*$I58*(1+IF($J58="",Setup!$B$16,$J58)),2))</f>
        <v/>
      </c>
      <c r="L58" s="89">
        <f>IF($K58="","",ROUND($K58*Setup!$B$13,2))</f>
        <v/>
      </c>
      <c r="M58" s="89">
        <f>IF($K58="","",$K58-$L58)</f>
        <v/>
      </c>
      <c r="N58" s="89">
        <f>IF(OR($M58="",$D58=""),"",ROUND($M58*IFERROR(IF(VLOOKUP($D58,Setup!$A$76:$C$87,3,FALSE)="",Setup!$B$14,VLOOKUP($D58,Setup!$A$76:$C$87,3,FALSE)),Setup!$B$14),2))</f>
        <v/>
      </c>
      <c r="O58" s="89">
        <f>IF(OR($M58="",$E58=""),"",ROUND($M58*IFERROR(IF(VLOOKUP($E58,Setup!$A$76:$C$87,3,FALSE)="",Setup!$B$15,VLOOKUP($E58,Setup!$A$76:$C$87,3,FALSE)),Setup!$B$15),2))</f>
        <v/>
      </c>
      <c r="P58" s="98" t="n"/>
      <c r="Q58" s="98" t="n"/>
      <c r="R58" s="98" t="n"/>
      <c r="S58" s="98" t="n"/>
      <c r="T58" s="98" t="n"/>
      <c r="U58" s="89">
        <f>IF($K58="","",SUM($R58:$T58))</f>
        <v/>
      </c>
      <c r="V58" s="89">
        <f>IF($K58="","",$M58-(N($N58)+N($O58)+IF($P58="",Setup!$B$17,$P58)+N($Q58))-N($U58))</f>
        <v/>
      </c>
      <c r="W58" s="94" t="n"/>
      <c r="X58" s="95" t="n"/>
      <c r="Z58" s="92">
        <f>IF($A58="","",DATE(YEAR($A58),MONTH($A58),1))</f>
        <v/>
      </c>
    </row>
    <row r="59">
      <c r="A59" s="85" t="n"/>
      <c r="B59" s="86" t="n"/>
      <c r="C59" s="86" t="n"/>
      <c r="D59" s="87" t="n"/>
      <c r="E59" s="87" t="n"/>
      <c r="F59" s="87" t="n"/>
      <c r="G59" s="87" t="n"/>
      <c r="H59" s="88" t="n"/>
      <c r="I59" s="89">
        <f>IF($G59="","",IF($F59="",IFERROR(INDEX(Setup!$C$21:$C$60,MATCH("|"&amp;UPPER(TRIM($G59)),Setup!$Q$21:$Q$60,0)),"NO RATE"),IFERROR(INDEX(Setup!$C$21:$C$60,MATCH(UPPER(TRIM($F59))&amp;"|"&amp;UPPER(TRIM($G59)),Setup!$P$21:$P$60,0)),IFERROR(INDEX(Setup!$C$21:$C$60,MATCH(UPPER(TRIM($G59))&amp;"|"&amp;UPPER(TRIM($F59)),Setup!$P$21:$P$60,0)),"NO RATE"))))</f>
        <v/>
      </c>
      <c r="J59" s="90" t="n"/>
      <c r="K59" s="89">
        <f>IF(OR($G59="",$H59="",NOT(ISNUMBER($I59))),"",ROUND($H59*$I59*(1+IF($J59="",Setup!$B$16,$J59)),2))</f>
        <v/>
      </c>
      <c r="L59" s="89">
        <f>IF($K59="","",ROUND($K59*Setup!$B$13,2))</f>
        <v/>
      </c>
      <c r="M59" s="89">
        <f>IF($K59="","",$K59-$L59)</f>
        <v/>
      </c>
      <c r="N59" s="89">
        <f>IF(OR($M59="",$D59=""),"",ROUND($M59*IFERROR(IF(VLOOKUP($D59,Setup!$A$76:$C$87,3,FALSE)="",Setup!$B$14,VLOOKUP($D59,Setup!$A$76:$C$87,3,FALSE)),Setup!$B$14),2))</f>
        <v/>
      </c>
      <c r="O59" s="89">
        <f>IF(OR($M59="",$E59=""),"",ROUND($M59*IFERROR(IF(VLOOKUP($E59,Setup!$A$76:$C$87,3,FALSE)="",Setup!$B$15,VLOOKUP($E59,Setup!$A$76:$C$87,3,FALSE)),Setup!$B$15),2))</f>
        <v/>
      </c>
      <c r="P59" s="91" t="n"/>
      <c r="Q59" s="91" t="n"/>
      <c r="R59" s="91" t="n"/>
      <c r="S59" s="91" t="n"/>
      <c r="T59" s="91" t="n"/>
      <c r="U59" s="89">
        <f>IF($K59="","",SUM($R59:$T59))</f>
        <v/>
      </c>
      <c r="V59" s="89">
        <f>IF($K59="","",$M59-(N($N59)+N($O59)+IF($P59="",Setup!$B$17,$P59)+N($Q59))-N($U59))</f>
        <v/>
      </c>
      <c r="W59" s="86" t="n"/>
      <c r="X59" s="87" t="n"/>
      <c r="Z59" s="92">
        <f>IF($A59="","",DATE(YEAR($A59),MONTH($A59),1))</f>
        <v/>
      </c>
    </row>
    <row r="60">
      <c r="A60" s="93" t="n"/>
      <c r="B60" s="94" t="n"/>
      <c r="C60" s="94" t="n"/>
      <c r="D60" s="95" t="n"/>
      <c r="E60" s="95" t="n"/>
      <c r="F60" s="95" t="n"/>
      <c r="G60" s="95" t="n"/>
      <c r="H60" s="96" t="n"/>
      <c r="I60" s="89">
        <f>IF($G60="","",IF($F60="",IFERROR(INDEX(Setup!$C$21:$C$60,MATCH("|"&amp;UPPER(TRIM($G60)),Setup!$Q$21:$Q$60,0)),"NO RATE"),IFERROR(INDEX(Setup!$C$21:$C$60,MATCH(UPPER(TRIM($F60))&amp;"|"&amp;UPPER(TRIM($G60)),Setup!$P$21:$P$60,0)),IFERROR(INDEX(Setup!$C$21:$C$60,MATCH(UPPER(TRIM($G60))&amp;"|"&amp;UPPER(TRIM($F60)),Setup!$P$21:$P$60,0)),"NO RATE"))))</f>
        <v/>
      </c>
      <c r="J60" s="97" t="n"/>
      <c r="K60" s="89">
        <f>IF(OR($G60="",$H60="",NOT(ISNUMBER($I60))),"",ROUND($H60*$I60*(1+IF($J60="",Setup!$B$16,$J60)),2))</f>
        <v/>
      </c>
      <c r="L60" s="89">
        <f>IF($K60="","",ROUND($K60*Setup!$B$13,2))</f>
        <v/>
      </c>
      <c r="M60" s="89">
        <f>IF($K60="","",$K60-$L60)</f>
        <v/>
      </c>
      <c r="N60" s="89">
        <f>IF(OR($M60="",$D60=""),"",ROUND($M60*IFERROR(IF(VLOOKUP($D60,Setup!$A$76:$C$87,3,FALSE)="",Setup!$B$14,VLOOKUP($D60,Setup!$A$76:$C$87,3,FALSE)),Setup!$B$14),2))</f>
        <v/>
      </c>
      <c r="O60" s="89">
        <f>IF(OR($M60="",$E60=""),"",ROUND($M60*IFERROR(IF(VLOOKUP($E60,Setup!$A$76:$C$87,3,FALSE)="",Setup!$B$15,VLOOKUP($E60,Setup!$A$76:$C$87,3,FALSE)),Setup!$B$15),2))</f>
        <v/>
      </c>
      <c r="P60" s="98" t="n"/>
      <c r="Q60" s="98" t="n"/>
      <c r="R60" s="98" t="n"/>
      <c r="S60" s="98" t="n"/>
      <c r="T60" s="98" t="n"/>
      <c r="U60" s="89">
        <f>IF($K60="","",SUM($R60:$T60))</f>
        <v/>
      </c>
      <c r="V60" s="89">
        <f>IF($K60="","",$M60-(N($N60)+N($O60)+IF($P60="",Setup!$B$17,$P60)+N($Q60))-N($U60))</f>
        <v/>
      </c>
      <c r="W60" s="94" t="n"/>
      <c r="X60" s="95" t="n"/>
      <c r="Z60" s="92">
        <f>IF($A60="","",DATE(YEAR($A60),MONTH($A60),1))</f>
        <v/>
      </c>
    </row>
    <row r="61">
      <c r="A61" s="85" t="n"/>
      <c r="B61" s="86" t="n"/>
      <c r="C61" s="86" t="n"/>
      <c r="D61" s="87" t="n"/>
      <c r="E61" s="87" t="n"/>
      <c r="F61" s="87" t="n"/>
      <c r="G61" s="87" t="n"/>
      <c r="H61" s="88" t="n"/>
      <c r="I61" s="89">
        <f>IF($G61="","",IF($F61="",IFERROR(INDEX(Setup!$C$21:$C$60,MATCH("|"&amp;UPPER(TRIM($G61)),Setup!$Q$21:$Q$60,0)),"NO RATE"),IFERROR(INDEX(Setup!$C$21:$C$60,MATCH(UPPER(TRIM($F61))&amp;"|"&amp;UPPER(TRIM($G61)),Setup!$P$21:$P$60,0)),IFERROR(INDEX(Setup!$C$21:$C$60,MATCH(UPPER(TRIM($G61))&amp;"|"&amp;UPPER(TRIM($F61)),Setup!$P$21:$P$60,0)),"NO RATE"))))</f>
        <v/>
      </c>
      <c r="J61" s="90" t="n"/>
      <c r="K61" s="89">
        <f>IF(OR($G61="",$H61="",NOT(ISNUMBER($I61))),"",ROUND($H61*$I61*(1+IF($J61="",Setup!$B$16,$J61)),2))</f>
        <v/>
      </c>
      <c r="L61" s="89">
        <f>IF($K61="","",ROUND($K61*Setup!$B$13,2))</f>
        <v/>
      </c>
      <c r="M61" s="89">
        <f>IF($K61="","",$K61-$L61)</f>
        <v/>
      </c>
      <c r="N61" s="89">
        <f>IF(OR($M61="",$D61=""),"",ROUND($M61*IFERROR(IF(VLOOKUP($D61,Setup!$A$76:$C$87,3,FALSE)="",Setup!$B$14,VLOOKUP($D61,Setup!$A$76:$C$87,3,FALSE)),Setup!$B$14),2))</f>
        <v/>
      </c>
      <c r="O61" s="89">
        <f>IF(OR($M61="",$E61=""),"",ROUND($M61*IFERROR(IF(VLOOKUP($E61,Setup!$A$76:$C$87,3,FALSE)="",Setup!$B$15,VLOOKUP($E61,Setup!$A$76:$C$87,3,FALSE)),Setup!$B$15),2))</f>
        <v/>
      </c>
      <c r="P61" s="91" t="n"/>
      <c r="Q61" s="91" t="n"/>
      <c r="R61" s="91" t="n"/>
      <c r="S61" s="91" t="n"/>
      <c r="T61" s="91" t="n"/>
      <c r="U61" s="89">
        <f>IF($K61="","",SUM($R61:$T61))</f>
        <v/>
      </c>
      <c r="V61" s="89">
        <f>IF($K61="","",$M61-(N($N61)+N($O61)+IF($P61="",Setup!$B$17,$P61)+N($Q61))-N($U61))</f>
        <v/>
      </c>
      <c r="W61" s="86" t="n"/>
      <c r="X61" s="87" t="n"/>
      <c r="Z61" s="92">
        <f>IF($A61="","",DATE(YEAR($A61),MONTH($A61),1))</f>
        <v/>
      </c>
    </row>
    <row r="62">
      <c r="A62" s="93" t="n"/>
      <c r="B62" s="94" t="n"/>
      <c r="C62" s="94" t="n"/>
      <c r="D62" s="95" t="n"/>
      <c r="E62" s="95" t="n"/>
      <c r="F62" s="95" t="n"/>
      <c r="G62" s="95" t="n"/>
      <c r="H62" s="96" t="n"/>
      <c r="I62" s="89">
        <f>IF($G62="","",IF($F62="",IFERROR(INDEX(Setup!$C$21:$C$60,MATCH("|"&amp;UPPER(TRIM($G62)),Setup!$Q$21:$Q$60,0)),"NO RATE"),IFERROR(INDEX(Setup!$C$21:$C$60,MATCH(UPPER(TRIM($F62))&amp;"|"&amp;UPPER(TRIM($G62)),Setup!$P$21:$P$60,0)),IFERROR(INDEX(Setup!$C$21:$C$60,MATCH(UPPER(TRIM($G62))&amp;"|"&amp;UPPER(TRIM($F62)),Setup!$P$21:$P$60,0)),"NO RATE"))))</f>
        <v/>
      </c>
      <c r="J62" s="97" t="n"/>
      <c r="K62" s="89">
        <f>IF(OR($G62="",$H62="",NOT(ISNUMBER($I62))),"",ROUND($H62*$I62*(1+IF($J62="",Setup!$B$16,$J62)),2))</f>
        <v/>
      </c>
      <c r="L62" s="89">
        <f>IF($K62="","",ROUND($K62*Setup!$B$13,2))</f>
        <v/>
      </c>
      <c r="M62" s="89">
        <f>IF($K62="","",$K62-$L62)</f>
        <v/>
      </c>
      <c r="N62" s="89">
        <f>IF(OR($M62="",$D62=""),"",ROUND($M62*IFERROR(IF(VLOOKUP($D62,Setup!$A$76:$C$87,3,FALSE)="",Setup!$B$14,VLOOKUP($D62,Setup!$A$76:$C$87,3,FALSE)),Setup!$B$14),2))</f>
        <v/>
      </c>
      <c r="O62" s="89">
        <f>IF(OR($M62="",$E62=""),"",ROUND($M62*IFERROR(IF(VLOOKUP($E62,Setup!$A$76:$C$87,3,FALSE)="",Setup!$B$15,VLOOKUP($E62,Setup!$A$76:$C$87,3,FALSE)),Setup!$B$15),2))</f>
        <v/>
      </c>
      <c r="P62" s="98" t="n"/>
      <c r="Q62" s="98" t="n"/>
      <c r="R62" s="98" t="n"/>
      <c r="S62" s="98" t="n"/>
      <c r="T62" s="98" t="n"/>
      <c r="U62" s="89">
        <f>IF($K62="","",SUM($R62:$T62))</f>
        <v/>
      </c>
      <c r="V62" s="89">
        <f>IF($K62="","",$M62-(N($N62)+N($O62)+IF($P62="",Setup!$B$17,$P62)+N($Q62))-N($U62))</f>
        <v/>
      </c>
      <c r="W62" s="94" t="n"/>
      <c r="X62" s="95" t="n"/>
      <c r="Z62" s="92">
        <f>IF($A62="","",DATE(YEAR($A62),MONTH($A62),1))</f>
        <v/>
      </c>
    </row>
    <row r="63">
      <c r="A63" s="85" t="n"/>
      <c r="B63" s="86" t="n"/>
      <c r="C63" s="86" t="n"/>
      <c r="D63" s="87" t="n"/>
      <c r="E63" s="87" t="n"/>
      <c r="F63" s="87" t="n"/>
      <c r="G63" s="87" t="n"/>
      <c r="H63" s="88" t="n"/>
      <c r="I63" s="89">
        <f>IF($G63="","",IF($F63="",IFERROR(INDEX(Setup!$C$21:$C$60,MATCH("|"&amp;UPPER(TRIM($G63)),Setup!$Q$21:$Q$60,0)),"NO RATE"),IFERROR(INDEX(Setup!$C$21:$C$60,MATCH(UPPER(TRIM($F63))&amp;"|"&amp;UPPER(TRIM($G63)),Setup!$P$21:$P$60,0)),IFERROR(INDEX(Setup!$C$21:$C$60,MATCH(UPPER(TRIM($G63))&amp;"|"&amp;UPPER(TRIM($F63)),Setup!$P$21:$P$60,0)),"NO RATE"))))</f>
        <v/>
      </c>
      <c r="J63" s="90" t="n"/>
      <c r="K63" s="89">
        <f>IF(OR($G63="",$H63="",NOT(ISNUMBER($I63))),"",ROUND($H63*$I63*(1+IF($J63="",Setup!$B$16,$J63)),2))</f>
        <v/>
      </c>
      <c r="L63" s="89">
        <f>IF($K63="","",ROUND($K63*Setup!$B$13,2))</f>
        <v/>
      </c>
      <c r="M63" s="89">
        <f>IF($K63="","",$K63-$L63)</f>
        <v/>
      </c>
      <c r="N63" s="89">
        <f>IF(OR($M63="",$D63=""),"",ROUND($M63*IFERROR(IF(VLOOKUP($D63,Setup!$A$76:$C$87,3,FALSE)="",Setup!$B$14,VLOOKUP($D63,Setup!$A$76:$C$87,3,FALSE)),Setup!$B$14),2))</f>
        <v/>
      </c>
      <c r="O63" s="89">
        <f>IF(OR($M63="",$E63=""),"",ROUND($M63*IFERROR(IF(VLOOKUP($E63,Setup!$A$76:$C$87,3,FALSE)="",Setup!$B$15,VLOOKUP($E63,Setup!$A$76:$C$87,3,FALSE)),Setup!$B$15),2))</f>
        <v/>
      </c>
      <c r="P63" s="91" t="n"/>
      <c r="Q63" s="91" t="n"/>
      <c r="R63" s="91" t="n"/>
      <c r="S63" s="91" t="n"/>
      <c r="T63" s="91" t="n"/>
      <c r="U63" s="89">
        <f>IF($K63="","",SUM($R63:$T63))</f>
        <v/>
      </c>
      <c r="V63" s="89">
        <f>IF($K63="","",$M63-(N($N63)+N($O63)+IF($P63="",Setup!$B$17,$P63)+N($Q63))-N($U63))</f>
        <v/>
      </c>
      <c r="W63" s="86" t="n"/>
      <c r="X63" s="87" t="n"/>
      <c r="Z63" s="92">
        <f>IF($A63="","",DATE(YEAR($A63),MONTH($A63),1))</f>
        <v/>
      </c>
    </row>
    <row r="64">
      <c r="A64" s="93" t="n"/>
      <c r="B64" s="94" t="n"/>
      <c r="C64" s="94" t="n"/>
      <c r="D64" s="95" t="n"/>
      <c r="E64" s="95" t="n"/>
      <c r="F64" s="95" t="n"/>
      <c r="G64" s="95" t="n"/>
      <c r="H64" s="96" t="n"/>
      <c r="I64" s="89">
        <f>IF($G64="","",IF($F64="",IFERROR(INDEX(Setup!$C$21:$C$60,MATCH("|"&amp;UPPER(TRIM($G64)),Setup!$Q$21:$Q$60,0)),"NO RATE"),IFERROR(INDEX(Setup!$C$21:$C$60,MATCH(UPPER(TRIM($F64))&amp;"|"&amp;UPPER(TRIM($G64)),Setup!$P$21:$P$60,0)),IFERROR(INDEX(Setup!$C$21:$C$60,MATCH(UPPER(TRIM($G64))&amp;"|"&amp;UPPER(TRIM($F64)),Setup!$P$21:$P$60,0)),"NO RATE"))))</f>
        <v/>
      </c>
      <c r="J64" s="97" t="n"/>
      <c r="K64" s="89">
        <f>IF(OR($G64="",$H64="",NOT(ISNUMBER($I64))),"",ROUND($H64*$I64*(1+IF($J64="",Setup!$B$16,$J64)),2))</f>
        <v/>
      </c>
      <c r="L64" s="89">
        <f>IF($K64="","",ROUND($K64*Setup!$B$13,2))</f>
        <v/>
      </c>
      <c r="M64" s="89">
        <f>IF($K64="","",$K64-$L64)</f>
        <v/>
      </c>
      <c r="N64" s="89">
        <f>IF(OR($M64="",$D64=""),"",ROUND($M64*IFERROR(IF(VLOOKUP($D64,Setup!$A$76:$C$87,3,FALSE)="",Setup!$B$14,VLOOKUP($D64,Setup!$A$76:$C$87,3,FALSE)),Setup!$B$14),2))</f>
        <v/>
      </c>
      <c r="O64" s="89">
        <f>IF(OR($M64="",$E64=""),"",ROUND($M64*IFERROR(IF(VLOOKUP($E64,Setup!$A$76:$C$87,3,FALSE)="",Setup!$B$15,VLOOKUP($E64,Setup!$A$76:$C$87,3,FALSE)),Setup!$B$15),2))</f>
        <v/>
      </c>
      <c r="P64" s="98" t="n"/>
      <c r="Q64" s="98" t="n"/>
      <c r="R64" s="98" t="n"/>
      <c r="S64" s="98" t="n"/>
      <c r="T64" s="98" t="n"/>
      <c r="U64" s="89">
        <f>IF($K64="","",SUM($R64:$T64))</f>
        <v/>
      </c>
      <c r="V64" s="89">
        <f>IF($K64="","",$M64-(N($N64)+N($O64)+IF($P64="",Setup!$B$17,$P64)+N($Q64))-N($U64))</f>
        <v/>
      </c>
      <c r="W64" s="94" t="n"/>
      <c r="X64" s="95" t="n"/>
      <c r="Z64" s="92">
        <f>IF($A64="","",DATE(YEAR($A64),MONTH($A64),1))</f>
        <v/>
      </c>
    </row>
    <row r="65">
      <c r="A65" s="85" t="n"/>
      <c r="B65" s="86" t="n"/>
      <c r="C65" s="86" t="n"/>
      <c r="D65" s="87" t="n"/>
      <c r="E65" s="87" t="n"/>
      <c r="F65" s="87" t="n"/>
      <c r="G65" s="87" t="n"/>
      <c r="H65" s="88" t="n"/>
      <c r="I65" s="89">
        <f>IF($G65="","",IF($F65="",IFERROR(INDEX(Setup!$C$21:$C$60,MATCH("|"&amp;UPPER(TRIM($G65)),Setup!$Q$21:$Q$60,0)),"NO RATE"),IFERROR(INDEX(Setup!$C$21:$C$60,MATCH(UPPER(TRIM($F65))&amp;"|"&amp;UPPER(TRIM($G65)),Setup!$P$21:$P$60,0)),IFERROR(INDEX(Setup!$C$21:$C$60,MATCH(UPPER(TRIM($G65))&amp;"|"&amp;UPPER(TRIM($F65)),Setup!$P$21:$P$60,0)),"NO RATE"))))</f>
        <v/>
      </c>
      <c r="J65" s="90" t="n"/>
      <c r="K65" s="89">
        <f>IF(OR($G65="",$H65="",NOT(ISNUMBER($I65))),"",ROUND($H65*$I65*(1+IF($J65="",Setup!$B$16,$J65)),2))</f>
        <v/>
      </c>
      <c r="L65" s="89">
        <f>IF($K65="","",ROUND($K65*Setup!$B$13,2))</f>
        <v/>
      </c>
      <c r="M65" s="89">
        <f>IF($K65="","",$K65-$L65)</f>
        <v/>
      </c>
      <c r="N65" s="89">
        <f>IF(OR($M65="",$D65=""),"",ROUND($M65*IFERROR(IF(VLOOKUP($D65,Setup!$A$76:$C$87,3,FALSE)="",Setup!$B$14,VLOOKUP($D65,Setup!$A$76:$C$87,3,FALSE)),Setup!$B$14),2))</f>
        <v/>
      </c>
      <c r="O65" s="89">
        <f>IF(OR($M65="",$E65=""),"",ROUND($M65*IFERROR(IF(VLOOKUP($E65,Setup!$A$76:$C$87,3,FALSE)="",Setup!$B$15,VLOOKUP($E65,Setup!$A$76:$C$87,3,FALSE)),Setup!$B$15),2))</f>
        <v/>
      </c>
      <c r="P65" s="91" t="n"/>
      <c r="Q65" s="91" t="n"/>
      <c r="R65" s="91" t="n"/>
      <c r="S65" s="91" t="n"/>
      <c r="T65" s="91" t="n"/>
      <c r="U65" s="89">
        <f>IF($K65="","",SUM($R65:$T65))</f>
        <v/>
      </c>
      <c r="V65" s="89">
        <f>IF($K65="","",$M65-(N($N65)+N($O65)+IF($P65="",Setup!$B$17,$P65)+N($Q65))-N($U65))</f>
        <v/>
      </c>
      <c r="W65" s="86" t="n"/>
      <c r="X65" s="87" t="n"/>
      <c r="Z65" s="92">
        <f>IF($A65="","",DATE(YEAR($A65),MONTH($A65),1))</f>
        <v/>
      </c>
    </row>
    <row r="66">
      <c r="A66" s="93" t="n"/>
      <c r="B66" s="94" t="n"/>
      <c r="C66" s="94" t="n"/>
      <c r="D66" s="95" t="n"/>
      <c r="E66" s="95" t="n"/>
      <c r="F66" s="95" t="n"/>
      <c r="G66" s="95" t="n"/>
      <c r="H66" s="96" t="n"/>
      <c r="I66" s="89">
        <f>IF($G66="","",IF($F66="",IFERROR(INDEX(Setup!$C$21:$C$60,MATCH("|"&amp;UPPER(TRIM($G66)),Setup!$Q$21:$Q$60,0)),"NO RATE"),IFERROR(INDEX(Setup!$C$21:$C$60,MATCH(UPPER(TRIM($F66))&amp;"|"&amp;UPPER(TRIM($G66)),Setup!$P$21:$P$60,0)),IFERROR(INDEX(Setup!$C$21:$C$60,MATCH(UPPER(TRIM($G66))&amp;"|"&amp;UPPER(TRIM($F66)),Setup!$P$21:$P$60,0)),"NO RATE"))))</f>
        <v/>
      </c>
      <c r="J66" s="97" t="n"/>
      <c r="K66" s="89">
        <f>IF(OR($G66="",$H66="",NOT(ISNUMBER($I66))),"",ROUND($H66*$I66*(1+IF($J66="",Setup!$B$16,$J66)),2))</f>
        <v/>
      </c>
      <c r="L66" s="89">
        <f>IF($K66="","",ROUND($K66*Setup!$B$13,2))</f>
        <v/>
      </c>
      <c r="M66" s="89">
        <f>IF($K66="","",$K66-$L66)</f>
        <v/>
      </c>
      <c r="N66" s="89">
        <f>IF(OR($M66="",$D66=""),"",ROUND($M66*IFERROR(IF(VLOOKUP($D66,Setup!$A$76:$C$87,3,FALSE)="",Setup!$B$14,VLOOKUP($D66,Setup!$A$76:$C$87,3,FALSE)),Setup!$B$14),2))</f>
        <v/>
      </c>
      <c r="O66" s="89">
        <f>IF(OR($M66="",$E66=""),"",ROUND($M66*IFERROR(IF(VLOOKUP($E66,Setup!$A$76:$C$87,3,FALSE)="",Setup!$B$15,VLOOKUP($E66,Setup!$A$76:$C$87,3,FALSE)),Setup!$B$15),2))</f>
        <v/>
      </c>
      <c r="P66" s="98" t="n"/>
      <c r="Q66" s="98" t="n"/>
      <c r="R66" s="98" t="n"/>
      <c r="S66" s="98" t="n"/>
      <c r="T66" s="98" t="n"/>
      <c r="U66" s="89">
        <f>IF($K66="","",SUM($R66:$T66))</f>
        <v/>
      </c>
      <c r="V66" s="89">
        <f>IF($K66="","",$M66-(N($N66)+N($O66)+IF($P66="",Setup!$B$17,$P66)+N($Q66))-N($U66))</f>
        <v/>
      </c>
      <c r="W66" s="94" t="n"/>
      <c r="X66" s="95" t="n"/>
      <c r="Z66" s="92">
        <f>IF($A66="","",DATE(YEAR($A66),MONTH($A66),1))</f>
        <v/>
      </c>
    </row>
    <row r="67">
      <c r="A67" s="85" t="n"/>
      <c r="B67" s="86" t="n"/>
      <c r="C67" s="86" t="n"/>
      <c r="D67" s="87" t="n"/>
      <c r="E67" s="87" t="n"/>
      <c r="F67" s="87" t="n"/>
      <c r="G67" s="87" t="n"/>
      <c r="H67" s="88" t="n"/>
      <c r="I67" s="89">
        <f>IF($G67="","",IF($F67="",IFERROR(INDEX(Setup!$C$21:$C$60,MATCH("|"&amp;UPPER(TRIM($G67)),Setup!$Q$21:$Q$60,0)),"NO RATE"),IFERROR(INDEX(Setup!$C$21:$C$60,MATCH(UPPER(TRIM($F67))&amp;"|"&amp;UPPER(TRIM($G67)),Setup!$P$21:$P$60,0)),IFERROR(INDEX(Setup!$C$21:$C$60,MATCH(UPPER(TRIM($G67))&amp;"|"&amp;UPPER(TRIM($F67)),Setup!$P$21:$P$60,0)),"NO RATE"))))</f>
        <v/>
      </c>
      <c r="J67" s="90" t="n"/>
      <c r="K67" s="89">
        <f>IF(OR($G67="",$H67="",NOT(ISNUMBER($I67))),"",ROUND($H67*$I67*(1+IF($J67="",Setup!$B$16,$J67)),2))</f>
        <v/>
      </c>
      <c r="L67" s="89">
        <f>IF($K67="","",ROUND($K67*Setup!$B$13,2))</f>
        <v/>
      </c>
      <c r="M67" s="89">
        <f>IF($K67="","",$K67-$L67)</f>
        <v/>
      </c>
      <c r="N67" s="89">
        <f>IF(OR($M67="",$D67=""),"",ROUND($M67*IFERROR(IF(VLOOKUP($D67,Setup!$A$76:$C$87,3,FALSE)="",Setup!$B$14,VLOOKUP($D67,Setup!$A$76:$C$87,3,FALSE)),Setup!$B$14),2))</f>
        <v/>
      </c>
      <c r="O67" s="89">
        <f>IF(OR($M67="",$E67=""),"",ROUND($M67*IFERROR(IF(VLOOKUP($E67,Setup!$A$76:$C$87,3,FALSE)="",Setup!$B$15,VLOOKUP($E67,Setup!$A$76:$C$87,3,FALSE)),Setup!$B$15),2))</f>
        <v/>
      </c>
      <c r="P67" s="91" t="n"/>
      <c r="Q67" s="91" t="n"/>
      <c r="R67" s="91" t="n"/>
      <c r="S67" s="91" t="n"/>
      <c r="T67" s="91" t="n"/>
      <c r="U67" s="89">
        <f>IF($K67="","",SUM($R67:$T67))</f>
        <v/>
      </c>
      <c r="V67" s="89">
        <f>IF($K67="","",$M67-(N($N67)+N($O67)+IF($P67="",Setup!$B$17,$P67)+N($Q67))-N($U67))</f>
        <v/>
      </c>
      <c r="W67" s="86" t="n"/>
      <c r="X67" s="87" t="n"/>
      <c r="Z67" s="92">
        <f>IF($A67="","",DATE(YEAR($A67),MONTH($A67),1))</f>
        <v/>
      </c>
    </row>
    <row r="68">
      <c r="A68" s="93" t="n"/>
      <c r="B68" s="94" t="n"/>
      <c r="C68" s="94" t="n"/>
      <c r="D68" s="95" t="n"/>
      <c r="E68" s="95" t="n"/>
      <c r="F68" s="95" t="n"/>
      <c r="G68" s="95" t="n"/>
      <c r="H68" s="96" t="n"/>
      <c r="I68" s="89">
        <f>IF($G68="","",IF($F68="",IFERROR(INDEX(Setup!$C$21:$C$60,MATCH("|"&amp;UPPER(TRIM($G68)),Setup!$Q$21:$Q$60,0)),"NO RATE"),IFERROR(INDEX(Setup!$C$21:$C$60,MATCH(UPPER(TRIM($F68))&amp;"|"&amp;UPPER(TRIM($G68)),Setup!$P$21:$P$60,0)),IFERROR(INDEX(Setup!$C$21:$C$60,MATCH(UPPER(TRIM($G68))&amp;"|"&amp;UPPER(TRIM($F68)),Setup!$P$21:$P$60,0)),"NO RATE"))))</f>
        <v/>
      </c>
      <c r="J68" s="97" t="n"/>
      <c r="K68" s="89">
        <f>IF(OR($G68="",$H68="",NOT(ISNUMBER($I68))),"",ROUND($H68*$I68*(1+IF($J68="",Setup!$B$16,$J68)),2))</f>
        <v/>
      </c>
      <c r="L68" s="89">
        <f>IF($K68="","",ROUND($K68*Setup!$B$13,2))</f>
        <v/>
      </c>
      <c r="M68" s="89">
        <f>IF($K68="","",$K68-$L68)</f>
        <v/>
      </c>
      <c r="N68" s="89">
        <f>IF(OR($M68="",$D68=""),"",ROUND($M68*IFERROR(IF(VLOOKUP($D68,Setup!$A$76:$C$87,3,FALSE)="",Setup!$B$14,VLOOKUP($D68,Setup!$A$76:$C$87,3,FALSE)),Setup!$B$14),2))</f>
        <v/>
      </c>
      <c r="O68" s="89">
        <f>IF(OR($M68="",$E68=""),"",ROUND($M68*IFERROR(IF(VLOOKUP($E68,Setup!$A$76:$C$87,3,FALSE)="",Setup!$B$15,VLOOKUP($E68,Setup!$A$76:$C$87,3,FALSE)),Setup!$B$15),2))</f>
        <v/>
      </c>
      <c r="P68" s="98" t="n"/>
      <c r="Q68" s="98" t="n"/>
      <c r="R68" s="98" t="n"/>
      <c r="S68" s="98" t="n"/>
      <c r="T68" s="98" t="n"/>
      <c r="U68" s="89">
        <f>IF($K68="","",SUM($R68:$T68))</f>
        <v/>
      </c>
      <c r="V68" s="89">
        <f>IF($K68="","",$M68-(N($N68)+N($O68)+IF($P68="",Setup!$B$17,$P68)+N($Q68))-N($U68))</f>
        <v/>
      </c>
      <c r="W68" s="94" t="n"/>
      <c r="X68" s="95" t="n"/>
      <c r="Z68" s="92">
        <f>IF($A68="","",DATE(YEAR($A68),MONTH($A68),1))</f>
        <v/>
      </c>
    </row>
    <row r="69">
      <c r="A69" s="85" t="n"/>
      <c r="B69" s="86" t="n"/>
      <c r="C69" s="86" t="n"/>
      <c r="D69" s="87" t="n"/>
      <c r="E69" s="87" t="n"/>
      <c r="F69" s="87" t="n"/>
      <c r="G69" s="87" t="n"/>
      <c r="H69" s="88" t="n"/>
      <c r="I69" s="89">
        <f>IF($G69="","",IF($F69="",IFERROR(INDEX(Setup!$C$21:$C$60,MATCH("|"&amp;UPPER(TRIM($G69)),Setup!$Q$21:$Q$60,0)),"NO RATE"),IFERROR(INDEX(Setup!$C$21:$C$60,MATCH(UPPER(TRIM($F69))&amp;"|"&amp;UPPER(TRIM($G69)),Setup!$P$21:$P$60,0)),IFERROR(INDEX(Setup!$C$21:$C$60,MATCH(UPPER(TRIM($G69))&amp;"|"&amp;UPPER(TRIM($F69)),Setup!$P$21:$P$60,0)),"NO RATE"))))</f>
        <v/>
      </c>
      <c r="J69" s="90" t="n"/>
      <c r="K69" s="89">
        <f>IF(OR($G69="",$H69="",NOT(ISNUMBER($I69))),"",ROUND($H69*$I69*(1+IF($J69="",Setup!$B$16,$J69)),2))</f>
        <v/>
      </c>
      <c r="L69" s="89">
        <f>IF($K69="","",ROUND($K69*Setup!$B$13,2))</f>
        <v/>
      </c>
      <c r="M69" s="89">
        <f>IF($K69="","",$K69-$L69)</f>
        <v/>
      </c>
      <c r="N69" s="89">
        <f>IF(OR($M69="",$D69=""),"",ROUND($M69*IFERROR(IF(VLOOKUP($D69,Setup!$A$76:$C$87,3,FALSE)="",Setup!$B$14,VLOOKUP($D69,Setup!$A$76:$C$87,3,FALSE)),Setup!$B$14),2))</f>
        <v/>
      </c>
      <c r="O69" s="89">
        <f>IF(OR($M69="",$E69=""),"",ROUND($M69*IFERROR(IF(VLOOKUP($E69,Setup!$A$76:$C$87,3,FALSE)="",Setup!$B$15,VLOOKUP($E69,Setup!$A$76:$C$87,3,FALSE)),Setup!$B$15),2))</f>
        <v/>
      </c>
      <c r="P69" s="91" t="n"/>
      <c r="Q69" s="91" t="n"/>
      <c r="R69" s="91" t="n"/>
      <c r="S69" s="91" t="n"/>
      <c r="T69" s="91" t="n"/>
      <c r="U69" s="89">
        <f>IF($K69="","",SUM($R69:$T69))</f>
        <v/>
      </c>
      <c r="V69" s="89">
        <f>IF($K69="","",$M69-(N($N69)+N($O69)+IF($P69="",Setup!$B$17,$P69)+N($Q69))-N($U69))</f>
        <v/>
      </c>
      <c r="W69" s="86" t="n"/>
      <c r="X69" s="87" t="n"/>
      <c r="Z69" s="92">
        <f>IF($A69="","",DATE(YEAR($A69),MONTH($A69),1))</f>
        <v/>
      </c>
    </row>
    <row r="70">
      <c r="A70" s="93" t="n"/>
      <c r="B70" s="94" t="n"/>
      <c r="C70" s="94" t="n"/>
      <c r="D70" s="95" t="n"/>
      <c r="E70" s="95" t="n"/>
      <c r="F70" s="95" t="n"/>
      <c r="G70" s="95" t="n"/>
      <c r="H70" s="96" t="n"/>
      <c r="I70" s="89">
        <f>IF($G70="","",IF($F70="",IFERROR(INDEX(Setup!$C$21:$C$60,MATCH("|"&amp;UPPER(TRIM($G70)),Setup!$Q$21:$Q$60,0)),"NO RATE"),IFERROR(INDEX(Setup!$C$21:$C$60,MATCH(UPPER(TRIM($F70))&amp;"|"&amp;UPPER(TRIM($G70)),Setup!$P$21:$P$60,0)),IFERROR(INDEX(Setup!$C$21:$C$60,MATCH(UPPER(TRIM($G70))&amp;"|"&amp;UPPER(TRIM($F70)),Setup!$P$21:$P$60,0)),"NO RATE"))))</f>
        <v/>
      </c>
      <c r="J70" s="97" t="n"/>
      <c r="K70" s="89">
        <f>IF(OR($G70="",$H70="",NOT(ISNUMBER($I70))),"",ROUND($H70*$I70*(1+IF($J70="",Setup!$B$16,$J70)),2))</f>
        <v/>
      </c>
      <c r="L70" s="89">
        <f>IF($K70="","",ROUND($K70*Setup!$B$13,2))</f>
        <v/>
      </c>
      <c r="M70" s="89">
        <f>IF($K70="","",$K70-$L70)</f>
        <v/>
      </c>
      <c r="N70" s="89">
        <f>IF(OR($M70="",$D70=""),"",ROUND($M70*IFERROR(IF(VLOOKUP($D70,Setup!$A$76:$C$87,3,FALSE)="",Setup!$B$14,VLOOKUP($D70,Setup!$A$76:$C$87,3,FALSE)),Setup!$B$14),2))</f>
        <v/>
      </c>
      <c r="O70" s="89">
        <f>IF(OR($M70="",$E70=""),"",ROUND($M70*IFERROR(IF(VLOOKUP($E70,Setup!$A$76:$C$87,3,FALSE)="",Setup!$B$15,VLOOKUP($E70,Setup!$A$76:$C$87,3,FALSE)),Setup!$B$15),2))</f>
        <v/>
      </c>
      <c r="P70" s="98" t="n"/>
      <c r="Q70" s="98" t="n"/>
      <c r="R70" s="98" t="n"/>
      <c r="S70" s="98" t="n"/>
      <c r="T70" s="98" t="n"/>
      <c r="U70" s="89">
        <f>IF($K70="","",SUM($R70:$T70))</f>
        <v/>
      </c>
      <c r="V70" s="89">
        <f>IF($K70="","",$M70-(N($N70)+N($O70)+IF($P70="",Setup!$B$17,$P70)+N($Q70))-N($U70))</f>
        <v/>
      </c>
      <c r="W70" s="94" t="n"/>
      <c r="X70" s="95" t="n"/>
      <c r="Z70" s="92">
        <f>IF($A70="","",DATE(YEAR($A70),MONTH($A70),1))</f>
        <v/>
      </c>
    </row>
    <row r="71">
      <c r="A71" s="85" t="n"/>
      <c r="B71" s="86" t="n"/>
      <c r="C71" s="86" t="n"/>
      <c r="D71" s="87" t="n"/>
      <c r="E71" s="87" t="n"/>
      <c r="F71" s="87" t="n"/>
      <c r="G71" s="87" t="n"/>
      <c r="H71" s="88" t="n"/>
      <c r="I71" s="89">
        <f>IF($G71="","",IF($F71="",IFERROR(INDEX(Setup!$C$21:$C$60,MATCH("|"&amp;UPPER(TRIM($G71)),Setup!$Q$21:$Q$60,0)),"NO RATE"),IFERROR(INDEX(Setup!$C$21:$C$60,MATCH(UPPER(TRIM($F71))&amp;"|"&amp;UPPER(TRIM($G71)),Setup!$P$21:$P$60,0)),IFERROR(INDEX(Setup!$C$21:$C$60,MATCH(UPPER(TRIM($G71))&amp;"|"&amp;UPPER(TRIM($F71)),Setup!$P$21:$P$60,0)),"NO RATE"))))</f>
        <v/>
      </c>
      <c r="J71" s="90" t="n"/>
      <c r="K71" s="89">
        <f>IF(OR($G71="",$H71="",NOT(ISNUMBER($I71))),"",ROUND($H71*$I71*(1+IF($J71="",Setup!$B$16,$J71)),2))</f>
        <v/>
      </c>
      <c r="L71" s="89">
        <f>IF($K71="","",ROUND($K71*Setup!$B$13,2))</f>
        <v/>
      </c>
      <c r="M71" s="89">
        <f>IF($K71="","",$K71-$L71)</f>
        <v/>
      </c>
      <c r="N71" s="89">
        <f>IF(OR($M71="",$D71=""),"",ROUND($M71*IFERROR(IF(VLOOKUP($D71,Setup!$A$76:$C$87,3,FALSE)="",Setup!$B$14,VLOOKUP($D71,Setup!$A$76:$C$87,3,FALSE)),Setup!$B$14),2))</f>
        <v/>
      </c>
      <c r="O71" s="89">
        <f>IF(OR($M71="",$E71=""),"",ROUND($M71*IFERROR(IF(VLOOKUP($E71,Setup!$A$76:$C$87,3,FALSE)="",Setup!$B$15,VLOOKUP($E71,Setup!$A$76:$C$87,3,FALSE)),Setup!$B$15),2))</f>
        <v/>
      </c>
      <c r="P71" s="91" t="n"/>
      <c r="Q71" s="91" t="n"/>
      <c r="R71" s="91" t="n"/>
      <c r="S71" s="91" t="n"/>
      <c r="T71" s="91" t="n"/>
      <c r="U71" s="89">
        <f>IF($K71="","",SUM($R71:$T71))</f>
        <v/>
      </c>
      <c r="V71" s="89">
        <f>IF($K71="","",$M71-(N($N71)+N($O71)+IF($P71="",Setup!$B$17,$P71)+N($Q71))-N($U71))</f>
        <v/>
      </c>
      <c r="W71" s="86" t="n"/>
      <c r="X71" s="87" t="n"/>
      <c r="Z71" s="92">
        <f>IF($A71="","",DATE(YEAR($A71),MONTH($A71),1))</f>
        <v/>
      </c>
    </row>
    <row r="72">
      <c r="A72" s="93" t="n"/>
      <c r="B72" s="94" t="n"/>
      <c r="C72" s="94" t="n"/>
      <c r="D72" s="95" t="n"/>
      <c r="E72" s="95" t="n"/>
      <c r="F72" s="95" t="n"/>
      <c r="G72" s="95" t="n"/>
      <c r="H72" s="96" t="n"/>
      <c r="I72" s="89">
        <f>IF($G72="","",IF($F72="",IFERROR(INDEX(Setup!$C$21:$C$60,MATCH("|"&amp;UPPER(TRIM($G72)),Setup!$Q$21:$Q$60,0)),"NO RATE"),IFERROR(INDEX(Setup!$C$21:$C$60,MATCH(UPPER(TRIM($F72))&amp;"|"&amp;UPPER(TRIM($G72)),Setup!$P$21:$P$60,0)),IFERROR(INDEX(Setup!$C$21:$C$60,MATCH(UPPER(TRIM($G72))&amp;"|"&amp;UPPER(TRIM($F72)),Setup!$P$21:$P$60,0)),"NO RATE"))))</f>
        <v/>
      </c>
      <c r="J72" s="97" t="n"/>
      <c r="K72" s="89">
        <f>IF(OR($G72="",$H72="",NOT(ISNUMBER($I72))),"",ROUND($H72*$I72*(1+IF($J72="",Setup!$B$16,$J72)),2))</f>
        <v/>
      </c>
      <c r="L72" s="89">
        <f>IF($K72="","",ROUND($K72*Setup!$B$13,2))</f>
        <v/>
      </c>
      <c r="M72" s="89">
        <f>IF($K72="","",$K72-$L72)</f>
        <v/>
      </c>
      <c r="N72" s="89">
        <f>IF(OR($M72="",$D72=""),"",ROUND($M72*IFERROR(IF(VLOOKUP($D72,Setup!$A$76:$C$87,3,FALSE)="",Setup!$B$14,VLOOKUP($D72,Setup!$A$76:$C$87,3,FALSE)),Setup!$B$14),2))</f>
        <v/>
      </c>
      <c r="O72" s="89">
        <f>IF(OR($M72="",$E72=""),"",ROUND($M72*IFERROR(IF(VLOOKUP($E72,Setup!$A$76:$C$87,3,FALSE)="",Setup!$B$15,VLOOKUP($E72,Setup!$A$76:$C$87,3,FALSE)),Setup!$B$15),2))</f>
        <v/>
      </c>
      <c r="P72" s="98" t="n"/>
      <c r="Q72" s="98" t="n"/>
      <c r="R72" s="98" t="n"/>
      <c r="S72" s="98" t="n"/>
      <c r="T72" s="98" t="n"/>
      <c r="U72" s="89">
        <f>IF($K72="","",SUM($R72:$T72))</f>
        <v/>
      </c>
      <c r="V72" s="89">
        <f>IF($K72="","",$M72-(N($N72)+N($O72)+IF($P72="",Setup!$B$17,$P72)+N($Q72))-N($U72))</f>
        <v/>
      </c>
      <c r="W72" s="94" t="n"/>
      <c r="X72" s="95" t="n"/>
      <c r="Z72" s="92">
        <f>IF($A72="","",DATE(YEAR($A72),MONTH($A72),1))</f>
        <v/>
      </c>
    </row>
    <row r="73">
      <c r="A73" s="85" t="n"/>
      <c r="B73" s="86" t="n"/>
      <c r="C73" s="86" t="n"/>
      <c r="D73" s="87" t="n"/>
      <c r="E73" s="87" t="n"/>
      <c r="F73" s="87" t="n"/>
      <c r="G73" s="87" t="n"/>
      <c r="H73" s="88" t="n"/>
      <c r="I73" s="89">
        <f>IF($G73="","",IF($F73="",IFERROR(INDEX(Setup!$C$21:$C$60,MATCH("|"&amp;UPPER(TRIM($G73)),Setup!$Q$21:$Q$60,0)),"NO RATE"),IFERROR(INDEX(Setup!$C$21:$C$60,MATCH(UPPER(TRIM($F73))&amp;"|"&amp;UPPER(TRIM($G73)),Setup!$P$21:$P$60,0)),IFERROR(INDEX(Setup!$C$21:$C$60,MATCH(UPPER(TRIM($G73))&amp;"|"&amp;UPPER(TRIM($F73)),Setup!$P$21:$P$60,0)),"NO RATE"))))</f>
        <v/>
      </c>
      <c r="J73" s="90" t="n"/>
      <c r="K73" s="89">
        <f>IF(OR($G73="",$H73="",NOT(ISNUMBER($I73))),"",ROUND($H73*$I73*(1+IF($J73="",Setup!$B$16,$J73)),2))</f>
        <v/>
      </c>
      <c r="L73" s="89">
        <f>IF($K73="","",ROUND($K73*Setup!$B$13,2))</f>
        <v/>
      </c>
      <c r="M73" s="89">
        <f>IF($K73="","",$K73-$L73)</f>
        <v/>
      </c>
      <c r="N73" s="89">
        <f>IF(OR($M73="",$D73=""),"",ROUND($M73*IFERROR(IF(VLOOKUP($D73,Setup!$A$76:$C$87,3,FALSE)="",Setup!$B$14,VLOOKUP($D73,Setup!$A$76:$C$87,3,FALSE)),Setup!$B$14),2))</f>
        <v/>
      </c>
      <c r="O73" s="89">
        <f>IF(OR($M73="",$E73=""),"",ROUND($M73*IFERROR(IF(VLOOKUP($E73,Setup!$A$76:$C$87,3,FALSE)="",Setup!$B$15,VLOOKUP($E73,Setup!$A$76:$C$87,3,FALSE)),Setup!$B$15),2))</f>
        <v/>
      </c>
      <c r="P73" s="91" t="n"/>
      <c r="Q73" s="91" t="n"/>
      <c r="R73" s="91" t="n"/>
      <c r="S73" s="91" t="n"/>
      <c r="T73" s="91" t="n"/>
      <c r="U73" s="89">
        <f>IF($K73="","",SUM($R73:$T73))</f>
        <v/>
      </c>
      <c r="V73" s="89">
        <f>IF($K73="","",$M73-(N($N73)+N($O73)+IF($P73="",Setup!$B$17,$P73)+N($Q73))-N($U73))</f>
        <v/>
      </c>
      <c r="W73" s="86" t="n"/>
      <c r="X73" s="87" t="n"/>
      <c r="Z73" s="92">
        <f>IF($A73="","",DATE(YEAR($A73),MONTH($A73),1))</f>
        <v/>
      </c>
    </row>
    <row r="74">
      <c r="A74" s="93" t="n"/>
      <c r="B74" s="94" t="n"/>
      <c r="C74" s="94" t="n"/>
      <c r="D74" s="95" t="n"/>
      <c r="E74" s="95" t="n"/>
      <c r="F74" s="95" t="n"/>
      <c r="G74" s="95" t="n"/>
      <c r="H74" s="96" t="n"/>
      <c r="I74" s="89">
        <f>IF($G74="","",IF($F74="",IFERROR(INDEX(Setup!$C$21:$C$60,MATCH("|"&amp;UPPER(TRIM($G74)),Setup!$Q$21:$Q$60,0)),"NO RATE"),IFERROR(INDEX(Setup!$C$21:$C$60,MATCH(UPPER(TRIM($F74))&amp;"|"&amp;UPPER(TRIM($G74)),Setup!$P$21:$P$60,0)),IFERROR(INDEX(Setup!$C$21:$C$60,MATCH(UPPER(TRIM($G74))&amp;"|"&amp;UPPER(TRIM($F74)),Setup!$P$21:$P$60,0)),"NO RATE"))))</f>
        <v/>
      </c>
      <c r="J74" s="97" t="n"/>
      <c r="K74" s="89">
        <f>IF(OR($G74="",$H74="",NOT(ISNUMBER($I74))),"",ROUND($H74*$I74*(1+IF($J74="",Setup!$B$16,$J74)),2))</f>
        <v/>
      </c>
      <c r="L74" s="89">
        <f>IF($K74="","",ROUND($K74*Setup!$B$13,2))</f>
        <v/>
      </c>
      <c r="M74" s="89">
        <f>IF($K74="","",$K74-$L74)</f>
        <v/>
      </c>
      <c r="N74" s="89">
        <f>IF(OR($M74="",$D74=""),"",ROUND($M74*IFERROR(IF(VLOOKUP($D74,Setup!$A$76:$C$87,3,FALSE)="",Setup!$B$14,VLOOKUP($D74,Setup!$A$76:$C$87,3,FALSE)),Setup!$B$14),2))</f>
        <v/>
      </c>
      <c r="O74" s="89">
        <f>IF(OR($M74="",$E74=""),"",ROUND($M74*IFERROR(IF(VLOOKUP($E74,Setup!$A$76:$C$87,3,FALSE)="",Setup!$B$15,VLOOKUP($E74,Setup!$A$76:$C$87,3,FALSE)),Setup!$B$15),2))</f>
        <v/>
      </c>
      <c r="P74" s="98" t="n"/>
      <c r="Q74" s="98" t="n"/>
      <c r="R74" s="98" t="n"/>
      <c r="S74" s="98" t="n"/>
      <c r="T74" s="98" t="n"/>
      <c r="U74" s="89">
        <f>IF($K74="","",SUM($R74:$T74))</f>
        <v/>
      </c>
      <c r="V74" s="89">
        <f>IF($K74="","",$M74-(N($N74)+N($O74)+IF($P74="",Setup!$B$17,$P74)+N($Q74))-N($U74))</f>
        <v/>
      </c>
      <c r="W74" s="94" t="n"/>
      <c r="X74" s="95" t="n"/>
      <c r="Z74" s="92">
        <f>IF($A74="","",DATE(YEAR($A74),MONTH($A74),1))</f>
        <v/>
      </c>
    </row>
    <row r="75">
      <c r="A75" s="85" t="n"/>
      <c r="B75" s="86" t="n"/>
      <c r="C75" s="86" t="n"/>
      <c r="D75" s="87" t="n"/>
      <c r="E75" s="87" t="n"/>
      <c r="F75" s="87" t="n"/>
      <c r="G75" s="87" t="n"/>
      <c r="H75" s="88" t="n"/>
      <c r="I75" s="89">
        <f>IF($G75="","",IF($F75="",IFERROR(INDEX(Setup!$C$21:$C$60,MATCH("|"&amp;UPPER(TRIM($G75)),Setup!$Q$21:$Q$60,0)),"NO RATE"),IFERROR(INDEX(Setup!$C$21:$C$60,MATCH(UPPER(TRIM($F75))&amp;"|"&amp;UPPER(TRIM($G75)),Setup!$P$21:$P$60,0)),IFERROR(INDEX(Setup!$C$21:$C$60,MATCH(UPPER(TRIM($G75))&amp;"|"&amp;UPPER(TRIM($F75)),Setup!$P$21:$P$60,0)),"NO RATE"))))</f>
        <v/>
      </c>
      <c r="J75" s="90" t="n"/>
      <c r="K75" s="89">
        <f>IF(OR($G75="",$H75="",NOT(ISNUMBER($I75))),"",ROUND($H75*$I75*(1+IF($J75="",Setup!$B$16,$J75)),2))</f>
        <v/>
      </c>
      <c r="L75" s="89">
        <f>IF($K75="","",ROUND($K75*Setup!$B$13,2))</f>
        <v/>
      </c>
      <c r="M75" s="89">
        <f>IF($K75="","",$K75-$L75)</f>
        <v/>
      </c>
      <c r="N75" s="89">
        <f>IF(OR($M75="",$D75=""),"",ROUND($M75*IFERROR(IF(VLOOKUP($D75,Setup!$A$76:$C$87,3,FALSE)="",Setup!$B$14,VLOOKUP($D75,Setup!$A$76:$C$87,3,FALSE)),Setup!$B$14),2))</f>
        <v/>
      </c>
      <c r="O75" s="89">
        <f>IF(OR($M75="",$E75=""),"",ROUND($M75*IFERROR(IF(VLOOKUP($E75,Setup!$A$76:$C$87,3,FALSE)="",Setup!$B$15,VLOOKUP($E75,Setup!$A$76:$C$87,3,FALSE)),Setup!$B$15),2))</f>
        <v/>
      </c>
      <c r="P75" s="91" t="n"/>
      <c r="Q75" s="91" t="n"/>
      <c r="R75" s="91" t="n"/>
      <c r="S75" s="91" t="n"/>
      <c r="T75" s="91" t="n"/>
      <c r="U75" s="89">
        <f>IF($K75="","",SUM($R75:$T75))</f>
        <v/>
      </c>
      <c r="V75" s="89">
        <f>IF($K75="","",$M75-(N($N75)+N($O75)+IF($P75="",Setup!$B$17,$P75)+N($Q75))-N($U75))</f>
        <v/>
      </c>
      <c r="W75" s="86" t="n"/>
      <c r="X75" s="87" t="n"/>
      <c r="Z75" s="92">
        <f>IF($A75="","",DATE(YEAR($A75),MONTH($A75),1))</f>
        <v/>
      </c>
    </row>
    <row r="76">
      <c r="A76" s="93" t="n"/>
      <c r="B76" s="94" t="n"/>
      <c r="C76" s="94" t="n"/>
      <c r="D76" s="95" t="n"/>
      <c r="E76" s="95" t="n"/>
      <c r="F76" s="95" t="n"/>
      <c r="G76" s="95" t="n"/>
      <c r="H76" s="96" t="n"/>
      <c r="I76" s="89">
        <f>IF($G76="","",IF($F76="",IFERROR(INDEX(Setup!$C$21:$C$60,MATCH("|"&amp;UPPER(TRIM($G76)),Setup!$Q$21:$Q$60,0)),"NO RATE"),IFERROR(INDEX(Setup!$C$21:$C$60,MATCH(UPPER(TRIM($F76))&amp;"|"&amp;UPPER(TRIM($G76)),Setup!$P$21:$P$60,0)),IFERROR(INDEX(Setup!$C$21:$C$60,MATCH(UPPER(TRIM($G76))&amp;"|"&amp;UPPER(TRIM($F76)),Setup!$P$21:$P$60,0)),"NO RATE"))))</f>
        <v/>
      </c>
      <c r="J76" s="97" t="n"/>
      <c r="K76" s="89">
        <f>IF(OR($G76="",$H76="",NOT(ISNUMBER($I76))),"",ROUND($H76*$I76*(1+IF($J76="",Setup!$B$16,$J76)),2))</f>
        <v/>
      </c>
      <c r="L76" s="89">
        <f>IF($K76="","",ROUND($K76*Setup!$B$13,2))</f>
        <v/>
      </c>
      <c r="M76" s="89">
        <f>IF($K76="","",$K76-$L76)</f>
        <v/>
      </c>
      <c r="N76" s="89">
        <f>IF(OR($M76="",$D76=""),"",ROUND($M76*IFERROR(IF(VLOOKUP($D76,Setup!$A$76:$C$87,3,FALSE)="",Setup!$B$14,VLOOKUP($D76,Setup!$A$76:$C$87,3,FALSE)),Setup!$B$14),2))</f>
        <v/>
      </c>
      <c r="O76" s="89">
        <f>IF(OR($M76="",$E76=""),"",ROUND($M76*IFERROR(IF(VLOOKUP($E76,Setup!$A$76:$C$87,3,FALSE)="",Setup!$B$15,VLOOKUP($E76,Setup!$A$76:$C$87,3,FALSE)),Setup!$B$15),2))</f>
        <v/>
      </c>
      <c r="P76" s="98" t="n"/>
      <c r="Q76" s="98" t="n"/>
      <c r="R76" s="98" t="n"/>
      <c r="S76" s="98" t="n"/>
      <c r="T76" s="98" t="n"/>
      <c r="U76" s="89">
        <f>IF($K76="","",SUM($R76:$T76))</f>
        <v/>
      </c>
      <c r="V76" s="89">
        <f>IF($K76="","",$M76-(N($N76)+N($O76)+IF($P76="",Setup!$B$17,$P76)+N($Q76))-N($U76))</f>
        <v/>
      </c>
      <c r="W76" s="94" t="n"/>
      <c r="X76" s="95" t="n"/>
      <c r="Z76" s="92">
        <f>IF($A76="","",DATE(YEAR($A76),MONTH($A76),1))</f>
        <v/>
      </c>
    </row>
    <row r="77">
      <c r="A77" s="85" t="n"/>
      <c r="B77" s="86" t="n"/>
      <c r="C77" s="86" t="n"/>
      <c r="D77" s="87" t="n"/>
      <c r="E77" s="87" t="n"/>
      <c r="F77" s="87" t="n"/>
      <c r="G77" s="87" t="n"/>
      <c r="H77" s="88" t="n"/>
      <c r="I77" s="89">
        <f>IF($G77="","",IF($F77="",IFERROR(INDEX(Setup!$C$21:$C$60,MATCH("|"&amp;UPPER(TRIM($G77)),Setup!$Q$21:$Q$60,0)),"NO RATE"),IFERROR(INDEX(Setup!$C$21:$C$60,MATCH(UPPER(TRIM($F77))&amp;"|"&amp;UPPER(TRIM($G77)),Setup!$P$21:$P$60,0)),IFERROR(INDEX(Setup!$C$21:$C$60,MATCH(UPPER(TRIM($G77))&amp;"|"&amp;UPPER(TRIM($F77)),Setup!$P$21:$P$60,0)),"NO RATE"))))</f>
        <v/>
      </c>
      <c r="J77" s="90" t="n"/>
      <c r="K77" s="89">
        <f>IF(OR($G77="",$H77="",NOT(ISNUMBER($I77))),"",ROUND($H77*$I77*(1+IF($J77="",Setup!$B$16,$J77)),2))</f>
        <v/>
      </c>
      <c r="L77" s="89">
        <f>IF($K77="","",ROUND($K77*Setup!$B$13,2))</f>
        <v/>
      </c>
      <c r="M77" s="89">
        <f>IF($K77="","",$K77-$L77)</f>
        <v/>
      </c>
      <c r="N77" s="89">
        <f>IF(OR($M77="",$D77=""),"",ROUND($M77*IFERROR(IF(VLOOKUP($D77,Setup!$A$76:$C$87,3,FALSE)="",Setup!$B$14,VLOOKUP($D77,Setup!$A$76:$C$87,3,FALSE)),Setup!$B$14),2))</f>
        <v/>
      </c>
      <c r="O77" s="89">
        <f>IF(OR($M77="",$E77=""),"",ROUND($M77*IFERROR(IF(VLOOKUP($E77,Setup!$A$76:$C$87,3,FALSE)="",Setup!$B$15,VLOOKUP($E77,Setup!$A$76:$C$87,3,FALSE)),Setup!$B$15),2))</f>
        <v/>
      </c>
      <c r="P77" s="91" t="n"/>
      <c r="Q77" s="91" t="n"/>
      <c r="R77" s="91" t="n"/>
      <c r="S77" s="91" t="n"/>
      <c r="T77" s="91" t="n"/>
      <c r="U77" s="89">
        <f>IF($K77="","",SUM($R77:$T77))</f>
        <v/>
      </c>
      <c r="V77" s="89">
        <f>IF($K77="","",$M77-(N($N77)+N($O77)+IF($P77="",Setup!$B$17,$P77)+N($Q77))-N($U77))</f>
        <v/>
      </c>
      <c r="W77" s="86" t="n"/>
      <c r="X77" s="87" t="n"/>
      <c r="Z77" s="92">
        <f>IF($A77="","",DATE(YEAR($A77),MONTH($A77),1))</f>
        <v/>
      </c>
    </row>
    <row r="78">
      <c r="A78" s="93" t="n"/>
      <c r="B78" s="94" t="n"/>
      <c r="C78" s="94" t="n"/>
      <c r="D78" s="95" t="n"/>
      <c r="E78" s="95" t="n"/>
      <c r="F78" s="95" t="n"/>
      <c r="G78" s="95" t="n"/>
      <c r="H78" s="96" t="n"/>
      <c r="I78" s="89">
        <f>IF($G78="","",IF($F78="",IFERROR(INDEX(Setup!$C$21:$C$60,MATCH("|"&amp;UPPER(TRIM($G78)),Setup!$Q$21:$Q$60,0)),"NO RATE"),IFERROR(INDEX(Setup!$C$21:$C$60,MATCH(UPPER(TRIM($F78))&amp;"|"&amp;UPPER(TRIM($G78)),Setup!$P$21:$P$60,0)),IFERROR(INDEX(Setup!$C$21:$C$60,MATCH(UPPER(TRIM($G78))&amp;"|"&amp;UPPER(TRIM($F78)),Setup!$P$21:$P$60,0)),"NO RATE"))))</f>
        <v/>
      </c>
      <c r="J78" s="97" t="n"/>
      <c r="K78" s="89">
        <f>IF(OR($G78="",$H78="",NOT(ISNUMBER($I78))),"",ROUND($H78*$I78*(1+IF($J78="",Setup!$B$16,$J78)),2))</f>
        <v/>
      </c>
      <c r="L78" s="89">
        <f>IF($K78="","",ROUND($K78*Setup!$B$13,2))</f>
        <v/>
      </c>
      <c r="M78" s="89">
        <f>IF($K78="","",$K78-$L78)</f>
        <v/>
      </c>
      <c r="N78" s="89">
        <f>IF(OR($M78="",$D78=""),"",ROUND($M78*IFERROR(IF(VLOOKUP($D78,Setup!$A$76:$C$87,3,FALSE)="",Setup!$B$14,VLOOKUP($D78,Setup!$A$76:$C$87,3,FALSE)),Setup!$B$14),2))</f>
        <v/>
      </c>
      <c r="O78" s="89">
        <f>IF(OR($M78="",$E78=""),"",ROUND($M78*IFERROR(IF(VLOOKUP($E78,Setup!$A$76:$C$87,3,FALSE)="",Setup!$B$15,VLOOKUP($E78,Setup!$A$76:$C$87,3,FALSE)),Setup!$B$15),2))</f>
        <v/>
      </c>
      <c r="P78" s="98" t="n"/>
      <c r="Q78" s="98" t="n"/>
      <c r="R78" s="98" t="n"/>
      <c r="S78" s="98" t="n"/>
      <c r="T78" s="98" t="n"/>
      <c r="U78" s="89">
        <f>IF($K78="","",SUM($R78:$T78))</f>
        <v/>
      </c>
      <c r="V78" s="89">
        <f>IF($K78="","",$M78-(N($N78)+N($O78)+IF($P78="",Setup!$B$17,$P78)+N($Q78))-N($U78))</f>
        <v/>
      </c>
      <c r="W78" s="94" t="n"/>
      <c r="X78" s="95" t="n"/>
      <c r="Z78" s="92">
        <f>IF($A78="","",DATE(YEAR($A78),MONTH($A78),1))</f>
        <v/>
      </c>
    </row>
    <row r="79">
      <c r="A79" s="85" t="n"/>
      <c r="B79" s="86" t="n"/>
      <c r="C79" s="86" t="n"/>
      <c r="D79" s="87" t="n"/>
      <c r="E79" s="87" t="n"/>
      <c r="F79" s="87" t="n"/>
      <c r="G79" s="87" t="n"/>
      <c r="H79" s="88" t="n"/>
      <c r="I79" s="89">
        <f>IF($G79="","",IF($F79="",IFERROR(INDEX(Setup!$C$21:$C$60,MATCH("|"&amp;UPPER(TRIM($G79)),Setup!$Q$21:$Q$60,0)),"NO RATE"),IFERROR(INDEX(Setup!$C$21:$C$60,MATCH(UPPER(TRIM($F79))&amp;"|"&amp;UPPER(TRIM($G79)),Setup!$P$21:$P$60,0)),IFERROR(INDEX(Setup!$C$21:$C$60,MATCH(UPPER(TRIM($G79))&amp;"|"&amp;UPPER(TRIM($F79)),Setup!$P$21:$P$60,0)),"NO RATE"))))</f>
        <v/>
      </c>
      <c r="J79" s="90" t="n"/>
      <c r="K79" s="89">
        <f>IF(OR($G79="",$H79="",NOT(ISNUMBER($I79))),"",ROUND($H79*$I79*(1+IF($J79="",Setup!$B$16,$J79)),2))</f>
        <v/>
      </c>
      <c r="L79" s="89">
        <f>IF($K79="","",ROUND($K79*Setup!$B$13,2))</f>
        <v/>
      </c>
      <c r="M79" s="89">
        <f>IF($K79="","",$K79-$L79)</f>
        <v/>
      </c>
      <c r="N79" s="89">
        <f>IF(OR($M79="",$D79=""),"",ROUND($M79*IFERROR(IF(VLOOKUP($D79,Setup!$A$76:$C$87,3,FALSE)="",Setup!$B$14,VLOOKUP($D79,Setup!$A$76:$C$87,3,FALSE)),Setup!$B$14),2))</f>
        <v/>
      </c>
      <c r="O79" s="89">
        <f>IF(OR($M79="",$E79=""),"",ROUND($M79*IFERROR(IF(VLOOKUP($E79,Setup!$A$76:$C$87,3,FALSE)="",Setup!$B$15,VLOOKUP($E79,Setup!$A$76:$C$87,3,FALSE)),Setup!$B$15),2))</f>
        <v/>
      </c>
      <c r="P79" s="91" t="n"/>
      <c r="Q79" s="91" t="n"/>
      <c r="R79" s="91" t="n"/>
      <c r="S79" s="91" t="n"/>
      <c r="T79" s="91" t="n"/>
      <c r="U79" s="89">
        <f>IF($K79="","",SUM($R79:$T79))</f>
        <v/>
      </c>
      <c r="V79" s="89">
        <f>IF($K79="","",$M79-(N($N79)+N($O79)+IF($P79="",Setup!$B$17,$P79)+N($Q79))-N($U79))</f>
        <v/>
      </c>
      <c r="W79" s="86" t="n"/>
      <c r="X79" s="87" t="n"/>
      <c r="Z79" s="92">
        <f>IF($A79="","",DATE(YEAR($A79),MONTH($A79),1))</f>
        <v/>
      </c>
    </row>
    <row r="80">
      <c r="A80" s="93" t="n"/>
      <c r="B80" s="94" t="n"/>
      <c r="C80" s="94" t="n"/>
      <c r="D80" s="95" t="n"/>
      <c r="E80" s="95" t="n"/>
      <c r="F80" s="95" t="n"/>
      <c r="G80" s="95" t="n"/>
      <c r="H80" s="96" t="n"/>
      <c r="I80" s="89">
        <f>IF($G80="","",IF($F80="",IFERROR(INDEX(Setup!$C$21:$C$60,MATCH("|"&amp;UPPER(TRIM($G80)),Setup!$Q$21:$Q$60,0)),"NO RATE"),IFERROR(INDEX(Setup!$C$21:$C$60,MATCH(UPPER(TRIM($F80))&amp;"|"&amp;UPPER(TRIM($G80)),Setup!$P$21:$P$60,0)),IFERROR(INDEX(Setup!$C$21:$C$60,MATCH(UPPER(TRIM($G80))&amp;"|"&amp;UPPER(TRIM($F80)),Setup!$P$21:$P$60,0)),"NO RATE"))))</f>
        <v/>
      </c>
      <c r="J80" s="97" t="n"/>
      <c r="K80" s="89">
        <f>IF(OR($G80="",$H80="",NOT(ISNUMBER($I80))),"",ROUND($H80*$I80*(1+IF($J80="",Setup!$B$16,$J80)),2))</f>
        <v/>
      </c>
      <c r="L80" s="89">
        <f>IF($K80="","",ROUND($K80*Setup!$B$13,2))</f>
        <v/>
      </c>
      <c r="M80" s="89">
        <f>IF($K80="","",$K80-$L80)</f>
        <v/>
      </c>
      <c r="N80" s="89">
        <f>IF(OR($M80="",$D80=""),"",ROUND($M80*IFERROR(IF(VLOOKUP($D80,Setup!$A$76:$C$87,3,FALSE)="",Setup!$B$14,VLOOKUP($D80,Setup!$A$76:$C$87,3,FALSE)),Setup!$B$14),2))</f>
        <v/>
      </c>
      <c r="O80" s="89">
        <f>IF(OR($M80="",$E80=""),"",ROUND($M80*IFERROR(IF(VLOOKUP($E80,Setup!$A$76:$C$87,3,FALSE)="",Setup!$B$15,VLOOKUP($E80,Setup!$A$76:$C$87,3,FALSE)),Setup!$B$15),2))</f>
        <v/>
      </c>
      <c r="P80" s="98" t="n"/>
      <c r="Q80" s="98" t="n"/>
      <c r="R80" s="98" t="n"/>
      <c r="S80" s="98" t="n"/>
      <c r="T80" s="98" t="n"/>
      <c r="U80" s="89">
        <f>IF($K80="","",SUM($R80:$T80))</f>
        <v/>
      </c>
      <c r="V80" s="89">
        <f>IF($K80="","",$M80-(N($N80)+N($O80)+IF($P80="",Setup!$B$17,$P80)+N($Q80))-N($U80))</f>
        <v/>
      </c>
      <c r="W80" s="94" t="n"/>
      <c r="X80" s="95" t="n"/>
      <c r="Z80" s="92">
        <f>IF($A80="","",DATE(YEAR($A80),MONTH($A80),1))</f>
        <v/>
      </c>
    </row>
    <row r="81">
      <c r="A81" s="85" t="n"/>
      <c r="B81" s="86" t="n"/>
      <c r="C81" s="86" t="n"/>
      <c r="D81" s="87" t="n"/>
      <c r="E81" s="87" t="n"/>
      <c r="F81" s="87" t="n"/>
      <c r="G81" s="87" t="n"/>
      <c r="H81" s="88" t="n"/>
      <c r="I81" s="89">
        <f>IF($G81="","",IF($F81="",IFERROR(INDEX(Setup!$C$21:$C$60,MATCH("|"&amp;UPPER(TRIM($G81)),Setup!$Q$21:$Q$60,0)),"NO RATE"),IFERROR(INDEX(Setup!$C$21:$C$60,MATCH(UPPER(TRIM($F81))&amp;"|"&amp;UPPER(TRIM($G81)),Setup!$P$21:$P$60,0)),IFERROR(INDEX(Setup!$C$21:$C$60,MATCH(UPPER(TRIM($G81))&amp;"|"&amp;UPPER(TRIM($F81)),Setup!$P$21:$P$60,0)),"NO RATE"))))</f>
        <v/>
      </c>
      <c r="J81" s="90" t="n"/>
      <c r="K81" s="89">
        <f>IF(OR($G81="",$H81="",NOT(ISNUMBER($I81))),"",ROUND($H81*$I81*(1+IF($J81="",Setup!$B$16,$J81)),2))</f>
        <v/>
      </c>
      <c r="L81" s="89">
        <f>IF($K81="","",ROUND($K81*Setup!$B$13,2))</f>
        <v/>
      </c>
      <c r="M81" s="89">
        <f>IF($K81="","",$K81-$L81)</f>
        <v/>
      </c>
      <c r="N81" s="89">
        <f>IF(OR($M81="",$D81=""),"",ROUND($M81*IFERROR(IF(VLOOKUP($D81,Setup!$A$76:$C$87,3,FALSE)="",Setup!$B$14,VLOOKUP($D81,Setup!$A$76:$C$87,3,FALSE)),Setup!$B$14),2))</f>
        <v/>
      </c>
      <c r="O81" s="89">
        <f>IF(OR($M81="",$E81=""),"",ROUND($M81*IFERROR(IF(VLOOKUP($E81,Setup!$A$76:$C$87,3,FALSE)="",Setup!$B$15,VLOOKUP($E81,Setup!$A$76:$C$87,3,FALSE)),Setup!$B$15),2))</f>
        <v/>
      </c>
      <c r="P81" s="91" t="n"/>
      <c r="Q81" s="91" t="n"/>
      <c r="R81" s="91" t="n"/>
      <c r="S81" s="91" t="n"/>
      <c r="T81" s="91" t="n"/>
      <c r="U81" s="89">
        <f>IF($K81="","",SUM($R81:$T81))</f>
        <v/>
      </c>
      <c r="V81" s="89">
        <f>IF($K81="","",$M81-(N($N81)+N($O81)+IF($P81="",Setup!$B$17,$P81)+N($Q81))-N($U81))</f>
        <v/>
      </c>
      <c r="W81" s="86" t="n"/>
      <c r="X81" s="87" t="n"/>
      <c r="Z81" s="92">
        <f>IF($A81="","",DATE(YEAR($A81),MONTH($A81),1))</f>
        <v/>
      </c>
    </row>
    <row r="82">
      <c r="A82" s="93" t="n"/>
      <c r="B82" s="94" t="n"/>
      <c r="C82" s="94" t="n"/>
      <c r="D82" s="95" t="n"/>
      <c r="E82" s="95" t="n"/>
      <c r="F82" s="95" t="n"/>
      <c r="G82" s="95" t="n"/>
      <c r="H82" s="96" t="n"/>
      <c r="I82" s="89">
        <f>IF($G82="","",IF($F82="",IFERROR(INDEX(Setup!$C$21:$C$60,MATCH("|"&amp;UPPER(TRIM($G82)),Setup!$Q$21:$Q$60,0)),"NO RATE"),IFERROR(INDEX(Setup!$C$21:$C$60,MATCH(UPPER(TRIM($F82))&amp;"|"&amp;UPPER(TRIM($G82)),Setup!$P$21:$P$60,0)),IFERROR(INDEX(Setup!$C$21:$C$60,MATCH(UPPER(TRIM($G82))&amp;"|"&amp;UPPER(TRIM($F82)),Setup!$P$21:$P$60,0)),"NO RATE"))))</f>
        <v/>
      </c>
      <c r="J82" s="97" t="n"/>
      <c r="K82" s="89">
        <f>IF(OR($G82="",$H82="",NOT(ISNUMBER($I82))),"",ROUND($H82*$I82*(1+IF($J82="",Setup!$B$16,$J82)),2))</f>
        <v/>
      </c>
      <c r="L82" s="89">
        <f>IF($K82="","",ROUND($K82*Setup!$B$13,2))</f>
        <v/>
      </c>
      <c r="M82" s="89">
        <f>IF($K82="","",$K82-$L82)</f>
        <v/>
      </c>
      <c r="N82" s="89">
        <f>IF(OR($M82="",$D82=""),"",ROUND($M82*IFERROR(IF(VLOOKUP($D82,Setup!$A$76:$C$87,3,FALSE)="",Setup!$B$14,VLOOKUP($D82,Setup!$A$76:$C$87,3,FALSE)),Setup!$B$14),2))</f>
        <v/>
      </c>
      <c r="O82" s="89">
        <f>IF(OR($M82="",$E82=""),"",ROUND($M82*IFERROR(IF(VLOOKUP($E82,Setup!$A$76:$C$87,3,FALSE)="",Setup!$B$15,VLOOKUP($E82,Setup!$A$76:$C$87,3,FALSE)),Setup!$B$15),2))</f>
        <v/>
      </c>
      <c r="P82" s="98" t="n"/>
      <c r="Q82" s="98" t="n"/>
      <c r="R82" s="98" t="n"/>
      <c r="S82" s="98" t="n"/>
      <c r="T82" s="98" t="n"/>
      <c r="U82" s="89">
        <f>IF($K82="","",SUM($R82:$T82))</f>
        <v/>
      </c>
      <c r="V82" s="89">
        <f>IF($K82="","",$M82-(N($N82)+N($O82)+IF($P82="",Setup!$B$17,$P82)+N($Q82))-N($U82))</f>
        <v/>
      </c>
      <c r="W82" s="94" t="n"/>
      <c r="X82" s="95" t="n"/>
      <c r="Z82" s="92">
        <f>IF($A82="","",DATE(YEAR($A82),MONTH($A82),1))</f>
        <v/>
      </c>
    </row>
    <row r="83">
      <c r="A83" s="85" t="n"/>
      <c r="B83" s="86" t="n"/>
      <c r="C83" s="86" t="n"/>
      <c r="D83" s="87" t="n"/>
      <c r="E83" s="87" t="n"/>
      <c r="F83" s="87" t="n"/>
      <c r="G83" s="87" t="n"/>
      <c r="H83" s="88" t="n"/>
      <c r="I83" s="89">
        <f>IF($G83="","",IF($F83="",IFERROR(INDEX(Setup!$C$21:$C$60,MATCH("|"&amp;UPPER(TRIM($G83)),Setup!$Q$21:$Q$60,0)),"NO RATE"),IFERROR(INDEX(Setup!$C$21:$C$60,MATCH(UPPER(TRIM($F83))&amp;"|"&amp;UPPER(TRIM($G83)),Setup!$P$21:$P$60,0)),IFERROR(INDEX(Setup!$C$21:$C$60,MATCH(UPPER(TRIM($G83))&amp;"|"&amp;UPPER(TRIM($F83)),Setup!$P$21:$P$60,0)),"NO RATE"))))</f>
        <v/>
      </c>
      <c r="J83" s="90" t="n"/>
      <c r="K83" s="89">
        <f>IF(OR($G83="",$H83="",NOT(ISNUMBER($I83))),"",ROUND($H83*$I83*(1+IF($J83="",Setup!$B$16,$J83)),2))</f>
        <v/>
      </c>
      <c r="L83" s="89">
        <f>IF($K83="","",ROUND($K83*Setup!$B$13,2))</f>
        <v/>
      </c>
      <c r="M83" s="89">
        <f>IF($K83="","",$K83-$L83)</f>
        <v/>
      </c>
      <c r="N83" s="89">
        <f>IF(OR($M83="",$D83=""),"",ROUND($M83*IFERROR(IF(VLOOKUP($D83,Setup!$A$76:$C$87,3,FALSE)="",Setup!$B$14,VLOOKUP($D83,Setup!$A$76:$C$87,3,FALSE)),Setup!$B$14),2))</f>
        <v/>
      </c>
      <c r="O83" s="89">
        <f>IF(OR($M83="",$E83=""),"",ROUND($M83*IFERROR(IF(VLOOKUP($E83,Setup!$A$76:$C$87,3,FALSE)="",Setup!$B$15,VLOOKUP($E83,Setup!$A$76:$C$87,3,FALSE)),Setup!$B$15),2))</f>
        <v/>
      </c>
      <c r="P83" s="91" t="n"/>
      <c r="Q83" s="91" t="n"/>
      <c r="R83" s="91" t="n"/>
      <c r="S83" s="91" t="n"/>
      <c r="T83" s="91" t="n"/>
      <c r="U83" s="89">
        <f>IF($K83="","",SUM($R83:$T83))</f>
        <v/>
      </c>
      <c r="V83" s="89">
        <f>IF($K83="","",$M83-(N($N83)+N($O83)+IF($P83="",Setup!$B$17,$P83)+N($Q83))-N($U83))</f>
        <v/>
      </c>
      <c r="W83" s="86" t="n"/>
      <c r="X83" s="87" t="n"/>
      <c r="Z83" s="92">
        <f>IF($A83="","",DATE(YEAR($A83),MONTH($A83),1))</f>
        <v/>
      </c>
    </row>
    <row r="84">
      <c r="A84" s="93" t="n"/>
      <c r="B84" s="94" t="n"/>
      <c r="C84" s="94" t="n"/>
      <c r="D84" s="95" t="n"/>
      <c r="E84" s="95" t="n"/>
      <c r="F84" s="95" t="n"/>
      <c r="G84" s="95" t="n"/>
      <c r="H84" s="96" t="n"/>
      <c r="I84" s="89">
        <f>IF($G84="","",IF($F84="",IFERROR(INDEX(Setup!$C$21:$C$60,MATCH("|"&amp;UPPER(TRIM($G84)),Setup!$Q$21:$Q$60,0)),"NO RATE"),IFERROR(INDEX(Setup!$C$21:$C$60,MATCH(UPPER(TRIM($F84))&amp;"|"&amp;UPPER(TRIM($G84)),Setup!$P$21:$P$60,0)),IFERROR(INDEX(Setup!$C$21:$C$60,MATCH(UPPER(TRIM($G84))&amp;"|"&amp;UPPER(TRIM($F84)),Setup!$P$21:$P$60,0)),"NO RATE"))))</f>
        <v/>
      </c>
      <c r="J84" s="97" t="n"/>
      <c r="K84" s="89">
        <f>IF(OR($G84="",$H84="",NOT(ISNUMBER($I84))),"",ROUND($H84*$I84*(1+IF($J84="",Setup!$B$16,$J84)),2))</f>
        <v/>
      </c>
      <c r="L84" s="89">
        <f>IF($K84="","",ROUND($K84*Setup!$B$13,2))</f>
        <v/>
      </c>
      <c r="M84" s="89">
        <f>IF($K84="","",$K84-$L84)</f>
        <v/>
      </c>
      <c r="N84" s="89">
        <f>IF(OR($M84="",$D84=""),"",ROUND($M84*IFERROR(IF(VLOOKUP($D84,Setup!$A$76:$C$87,3,FALSE)="",Setup!$B$14,VLOOKUP($D84,Setup!$A$76:$C$87,3,FALSE)),Setup!$B$14),2))</f>
        <v/>
      </c>
      <c r="O84" s="89">
        <f>IF(OR($M84="",$E84=""),"",ROUND($M84*IFERROR(IF(VLOOKUP($E84,Setup!$A$76:$C$87,3,FALSE)="",Setup!$B$15,VLOOKUP($E84,Setup!$A$76:$C$87,3,FALSE)),Setup!$B$15),2))</f>
        <v/>
      </c>
      <c r="P84" s="98" t="n"/>
      <c r="Q84" s="98" t="n"/>
      <c r="R84" s="98" t="n"/>
      <c r="S84" s="98" t="n"/>
      <c r="T84" s="98" t="n"/>
      <c r="U84" s="89">
        <f>IF($K84="","",SUM($R84:$T84))</f>
        <v/>
      </c>
      <c r="V84" s="89">
        <f>IF($K84="","",$M84-(N($N84)+N($O84)+IF($P84="",Setup!$B$17,$P84)+N($Q84))-N($U84))</f>
        <v/>
      </c>
      <c r="W84" s="94" t="n"/>
      <c r="X84" s="95" t="n"/>
      <c r="Z84" s="92">
        <f>IF($A84="","",DATE(YEAR($A84),MONTH($A84),1))</f>
        <v/>
      </c>
    </row>
    <row r="85">
      <c r="A85" s="85" t="n"/>
      <c r="B85" s="86" t="n"/>
      <c r="C85" s="86" t="n"/>
      <c r="D85" s="87" t="n"/>
      <c r="E85" s="87" t="n"/>
      <c r="F85" s="87" t="n"/>
      <c r="G85" s="87" t="n"/>
      <c r="H85" s="88" t="n"/>
      <c r="I85" s="89">
        <f>IF($G85="","",IF($F85="",IFERROR(INDEX(Setup!$C$21:$C$60,MATCH("|"&amp;UPPER(TRIM($G85)),Setup!$Q$21:$Q$60,0)),"NO RATE"),IFERROR(INDEX(Setup!$C$21:$C$60,MATCH(UPPER(TRIM($F85))&amp;"|"&amp;UPPER(TRIM($G85)),Setup!$P$21:$P$60,0)),IFERROR(INDEX(Setup!$C$21:$C$60,MATCH(UPPER(TRIM($G85))&amp;"|"&amp;UPPER(TRIM($F85)),Setup!$P$21:$P$60,0)),"NO RATE"))))</f>
        <v/>
      </c>
      <c r="J85" s="90" t="n"/>
      <c r="K85" s="89">
        <f>IF(OR($G85="",$H85="",NOT(ISNUMBER($I85))),"",ROUND($H85*$I85*(1+IF($J85="",Setup!$B$16,$J85)),2))</f>
        <v/>
      </c>
      <c r="L85" s="89">
        <f>IF($K85="","",ROUND($K85*Setup!$B$13,2))</f>
        <v/>
      </c>
      <c r="M85" s="89">
        <f>IF($K85="","",$K85-$L85)</f>
        <v/>
      </c>
      <c r="N85" s="89">
        <f>IF(OR($M85="",$D85=""),"",ROUND($M85*IFERROR(IF(VLOOKUP($D85,Setup!$A$76:$C$87,3,FALSE)="",Setup!$B$14,VLOOKUP($D85,Setup!$A$76:$C$87,3,FALSE)),Setup!$B$14),2))</f>
        <v/>
      </c>
      <c r="O85" s="89">
        <f>IF(OR($M85="",$E85=""),"",ROUND($M85*IFERROR(IF(VLOOKUP($E85,Setup!$A$76:$C$87,3,FALSE)="",Setup!$B$15,VLOOKUP($E85,Setup!$A$76:$C$87,3,FALSE)),Setup!$B$15),2))</f>
        <v/>
      </c>
      <c r="P85" s="91" t="n"/>
      <c r="Q85" s="91" t="n"/>
      <c r="R85" s="91" t="n"/>
      <c r="S85" s="91" t="n"/>
      <c r="T85" s="91" t="n"/>
      <c r="U85" s="89">
        <f>IF($K85="","",SUM($R85:$T85))</f>
        <v/>
      </c>
      <c r="V85" s="89">
        <f>IF($K85="","",$M85-(N($N85)+N($O85)+IF($P85="",Setup!$B$17,$P85)+N($Q85))-N($U85))</f>
        <v/>
      </c>
      <c r="W85" s="86" t="n"/>
      <c r="X85" s="87" t="n"/>
      <c r="Z85" s="92">
        <f>IF($A85="","",DATE(YEAR($A85),MONTH($A85),1))</f>
        <v/>
      </c>
    </row>
    <row r="86">
      <c r="A86" s="93" t="n"/>
      <c r="B86" s="94" t="n"/>
      <c r="C86" s="94" t="n"/>
      <c r="D86" s="95" t="n"/>
      <c r="E86" s="95" t="n"/>
      <c r="F86" s="95" t="n"/>
      <c r="G86" s="95" t="n"/>
      <c r="H86" s="96" t="n"/>
      <c r="I86" s="89">
        <f>IF($G86="","",IF($F86="",IFERROR(INDEX(Setup!$C$21:$C$60,MATCH("|"&amp;UPPER(TRIM($G86)),Setup!$Q$21:$Q$60,0)),"NO RATE"),IFERROR(INDEX(Setup!$C$21:$C$60,MATCH(UPPER(TRIM($F86))&amp;"|"&amp;UPPER(TRIM($G86)),Setup!$P$21:$P$60,0)),IFERROR(INDEX(Setup!$C$21:$C$60,MATCH(UPPER(TRIM($G86))&amp;"|"&amp;UPPER(TRIM($F86)),Setup!$P$21:$P$60,0)),"NO RATE"))))</f>
        <v/>
      </c>
      <c r="J86" s="97" t="n"/>
      <c r="K86" s="89">
        <f>IF(OR($G86="",$H86="",NOT(ISNUMBER($I86))),"",ROUND($H86*$I86*(1+IF($J86="",Setup!$B$16,$J86)),2))</f>
        <v/>
      </c>
      <c r="L86" s="89">
        <f>IF($K86="","",ROUND($K86*Setup!$B$13,2))</f>
        <v/>
      </c>
      <c r="M86" s="89">
        <f>IF($K86="","",$K86-$L86)</f>
        <v/>
      </c>
      <c r="N86" s="89">
        <f>IF(OR($M86="",$D86=""),"",ROUND($M86*IFERROR(IF(VLOOKUP($D86,Setup!$A$76:$C$87,3,FALSE)="",Setup!$B$14,VLOOKUP($D86,Setup!$A$76:$C$87,3,FALSE)),Setup!$B$14),2))</f>
        <v/>
      </c>
      <c r="O86" s="89">
        <f>IF(OR($M86="",$E86=""),"",ROUND($M86*IFERROR(IF(VLOOKUP($E86,Setup!$A$76:$C$87,3,FALSE)="",Setup!$B$15,VLOOKUP($E86,Setup!$A$76:$C$87,3,FALSE)),Setup!$B$15),2))</f>
        <v/>
      </c>
      <c r="P86" s="98" t="n"/>
      <c r="Q86" s="98" t="n"/>
      <c r="R86" s="98" t="n"/>
      <c r="S86" s="98" t="n"/>
      <c r="T86" s="98" t="n"/>
      <c r="U86" s="89">
        <f>IF($K86="","",SUM($R86:$T86))</f>
        <v/>
      </c>
      <c r="V86" s="89">
        <f>IF($K86="","",$M86-(N($N86)+N($O86)+IF($P86="",Setup!$B$17,$P86)+N($Q86))-N($U86))</f>
        <v/>
      </c>
      <c r="W86" s="94" t="n"/>
      <c r="X86" s="95" t="n"/>
      <c r="Z86" s="92">
        <f>IF($A86="","",DATE(YEAR($A86),MONTH($A86),1))</f>
        <v/>
      </c>
    </row>
    <row r="87">
      <c r="A87" s="85" t="n"/>
      <c r="B87" s="86" t="n"/>
      <c r="C87" s="86" t="n"/>
      <c r="D87" s="87" t="n"/>
      <c r="E87" s="87" t="n"/>
      <c r="F87" s="87" t="n"/>
      <c r="G87" s="87" t="n"/>
      <c r="H87" s="88" t="n"/>
      <c r="I87" s="89">
        <f>IF($G87="","",IF($F87="",IFERROR(INDEX(Setup!$C$21:$C$60,MATCH("|"&amp;UPPER(TRIM($G87)),Setup!$Q$21:$Q$60,0)),"NO RATE"),IFERROR(INDEX(Setup!$C$21:$C$60,MATCH(UPPER(TRIM($F87))&amp;"|"&amp;UPPER(TRIM($G87)),Setup!$P$21:$P$60,0)),IFERROR(INDEX(Setup!$C$21:$C$60,MATCH(UPPER(TRIM($G87))&amp;"|"&amp;UPPER(TRIM($F87)),Setup!$P$21:$P$60,0)),"NO RATE"))))</f>
        <v/>
      </c>
      <c r="J87" s="90" t="n"/>
      <c r="K87" s="89">
        <f>IF(OR($G87="",$H87="",NOT(ISNUMBER($I87))),"",ROUND($H87*$I87*(1+IF($J87="",Setup!$B$16,$J87)),2))</f>
        <v/>
      </c>
      <c r="L87" s="89">
        <f>IF($K87="","",ROUND($K87*Setup!$B$13,2))</f>
        <v/>
      </c>
      <c r="M87" s="89">
        <f>IF($K87="","",$K87-$L87)</f>
        <v/>
      </c>
      <c r="N87" s="89">
        <f>IF(OR($M87="",$D87=""),"",ROUND($M87*IFERROR(IF(VLOOKUP($D87,Setup!$A$76:$C$87,3,FALSE)="",Setup!$B$14,VLOOKUP($D87,Setup!$A$76:$C$87,3,FALSE)),Setup!$B$14),2))</f>
        <v/>
      </c>
      <c r="O87" s="89">
        <f>IF(OR($M87="",$E87=""),"",ROUND($M87*IFERROR(IF(VLOOKUP($E87,Setup!$A$76:$C$87,3,FALSE)="",Setup!$B$15,VLOOKUP($E87,Setup!$A$76:$C$87,3,FALSE)),Setup!$B$15),2))</f>
        <v/>
      </c>
      <c r="P87" s="91" t="n"/>
      <c r="Q87" s="91" t="n"/>
      <c r="R87" s="91" t="n"/>
      <c r="S87" s="91" t="n"/>
      <c r="T87" s="91" t="n"/>
      <c r="U87" s="89">
        <f>IF($K87="","",SUM($R87:$T87))</f>
        <v/>
      </c>
      <c r="V87" s="89">
        <f>IF($K87="","",$M87-(N($N87)+N($O87)+IF($P87="",Setup!$B$17,$P87)+N($Q87))-N($U87))</f>
        <v/>
      </c>
      <c r="W87" s="86" t="n"/>
      <c r="X87" s="87" t="n"/>
      <c r="Z87" s="92">
        <f>IF($A87="","",DATE(YEAR($A87),MONTH($A87),1))</f>
        <v/>
      </c>
    </row>
    <row r="88">
      <c r="A88" s="93" t="n"/>
      <c r="B88" s="94" t="n"/>
      <c r="C88" s="94" t="n"/>
      <c r="D88" s="95" t="n"/>
      <c r="E88" s="95" t="n"/>
      <c r="F88" s="95" t="n"/>
      <c r="G88" s="95" t="n"/>
      <c r="H88" s="96" t="n"/>
      <c r="I88" s="89">
        <f>IF($G88="","",IF($F88="",IFERROR(INDEX(Setup!$C$21:$C$60,MATCH("|"&amp;UPPER(TRIM($G88)),Setup!$Q$21:$Q$60,0)),"NO RATE"),IFERROR(INDEX(Setup!$C$21:$C$60,MATCH(UPPER(TRIM($F88))&amp;"|"&amp;UPPER(TRIM($G88)),Setup!$P$21:$P$60,0)),IFERROR(INDEX(Setup!$C$21:$C$60,MATCH(UPPER(TRIM($G88))&amp;"|"&amp;UPPER(TRIM($F88)),Setup!$P$21:$P$60,0)),"NO RATE"))))</f>
        <v/>
      </c>
      <c r="J88" s="97" t="n"/>
      <c r="K88" s="89">
        <f>IF(OR($G88="",$H88="",NOT(ISNUMBER($I88))),"",ROUND($H88*$I88*(1+IF($J88="",Setup!$B$16,$J88)),2))</f>
        <v/>
      </c>
      <c r="L88" s="89">
        <f>IF($K88="","",ROUND($K88*Setup!$B$13,2))</f>
        <v/>
      </c>
      <c r="M88" s="89">
        <f>IF($K88="","",$K88-$L88)</f>
        <v/>
      </c>
      <c r="N88" s="89">
        <f>IF(OR($M88="",$D88=""),"",ROUND($M88*IFERROR(IF(VLOOKUP($D88,Setup!$A$76:$C$87,3,FALSE)="",Setup!$B$14,VLOOKUP($D88,Setup!$A$76:$C$87,3,FALSE)),Setup!$B$14),2))</f>
        <v/>
      </c>
      <c r="O88" s="89">
        <f>IF(OR($M88="",$E88=""),"",ROUND($M88*IFERROR(IF(VLOOKUP($E88,Setup!$A$76:$C$87,3,FALSE)="",Setup!$B$15,VLOOKUP($E88,Setup!$A$76:$C$87,3,FALSE)),Setup!$B$15),2))</f>
        <v/>
      </c>
      <c r="P88" s="98" t="n"/>
      <c r="Q88" s="98" t="n"/>
      <c r="R88" s="98" t="n"/>
      <c r="S88" s="98" t="n"/>
      <c r="T88" s="98" t="n"/>
      <c r="U88" s="89">
        <f>IF($K88="","",SUM($R88:$T88))</f>
        <v/>
      </c>
      <c r="V88" s="89">
        <f>IF($K88="","",$M88-(N($N88)+N($O88)+IF($P88="",Setup!$B$17,$P88)+N($Q88))-N($U88))</f>
        <v/>
      </c>
      <c r="W88" s="94" t="n"/>
      <c r="X88" s="95" t="n"/>
      <c r="Z88" s="92">
        <f>IF($A88="","",DATE(YEAR($A88),MONTH($A88),1))</f>
        <v/>
      </c>
    </row>
    <row r="89">
      <c r="A89" s="85" t="n"/>
      <c r="B89" s="86" t="n"/>
      <c r="C89" s="86" t="n"/>
      <c r="D89" s="87" t="n"/>
      <c r="E89" s="87" t="n"/>
      <c r="F89" s="87" t="n"/>
      <c r="G89" s="87" t="n"/>
      <c r="H89" s="88" t="n"/>
      <c r="I89" s="89">
        <f>IF($G89="","",IF($F89="",IFERROR(INDEX(Setup!$C$21:$C$60,MATCH("|"&amp;UPPER(TRIM($G89)),Setup!$Q$21:$Q$60,0)),"NO RATE"),IFERROR(INDEX(Setup!$C$21:$C$60,MATCH(UPPER(TRIM($F89))&amp;"|"&amp;UPPER(TRIM($G89)),Setup!$P$21:$P$60,0)),IFERROR(INDEX(Setup!$C$21:$C$60,MATCH(UPPER(TRIM($G89))&amp;"|"&amp;UPPER(TRIM($F89)),Setup!$P$21:$P$60,0)),"NO RATE"))))</f>
        <v/>
      </c>
      <c r="J89" s="90" t="n"/>
      <c r="K89" s="89">
        <f>IF(OR($G89="",$H89="",NOT(ISNUMBER($I89))),"",ROUND($H89*$I89*(1+IF($J89="",Setup!$B$16,$J89)),2))</f>
        <v/>
      </c>
      <c r="L89" s="89">
        <f>IF($K89="","",ROUND($K89*Setup!$B$13,2))</f>
        <v/>
      </c>
      <c r="M89" s="89">
        <f>IF($K89="","",$K89-$L89)</f>
        <v/>
      </c>
      <c r="N89" s="89">
        <f>IF(OR($M89="",$D89=""),"",ROUND($M89*IFERROR(IF(VLOOKUP($D89,Setup!$A$76:$C$87,3,FALSE)="",Setup!$B$14,VLOOKUP($D89,Setup!$A$76:$C$87,3,FALSE)),Setup!$B$14),2))</f>
        <v/>
      </c>
      <c r="O89" s="89">
        <f>IF(OR($M89="",$E89=""),"",ROUND($M89*IFERROR(IF(VLOOKUP($E89,Setup!$A$76:$C$87,3,FALSE)="",Setup!$B$15,VLOOKUP($E89,Setup!$A$76:$C$87,3,FALSE)),Setup!$B$15),2))</f>
        <v/>
      </c>
      <c r="P89" s="91" t="n"/>
      <c r="Q89" s="91" t="n"/>
      <c r="R89" s="91" t="n"/>
      <c r="S89" s="91" t="n"/>
      <c r="T89" s="91" t="n"/>
      <c r="U89" s="89">
        <f>IF($K89="","",SUM($R89:$T89))</f>
        <v/>
      </c>
      <c r="V89" s="89">
        <f>IF($K89="","",$M89-(N($N89)+N($O89)+IF($P89="",Setup!$B$17,$P89)+N($Q89))-N($U89))</f>
        <v/>
      </c>
      <c r="W89" s="86" t="n"/>
      <c r="X89" s="87" t="n"/>
      <c r="Z89" s="92">
        <f>IF($A89="","",DATE(YEAR($A89),MONTH($A89),1))</f>
        <v/>
      </c>
    </row>
    <row r="90">
      <c r="A90" s="93" t="n"/>
      <c r="B90" s="94" t="n"/>
      <c r="C90" s="94" t="n"/>
      <c r="D90" s="95" t="n"/>
      <c r="E90" s="95" t="n"/>
      <c r="F90" s="95" t="n"/>
      <c r="G90" s="95" t="n"/>
      <c r="H90" s="96" t="n"/>
      <c r="I90" s="89">
        <f>IF($G90="","",IF($F90="",IFERROR(INDEX(Setup!$C$21:$C$60,MATCH("|"&amp;UPPER(TRIM($G90)),Setup!$Q$21:$Q$60,0)),"NO RATE"),IFERROR(INDEX(Setup!$C$21:$C$60,MATCH(UPPER(TRIM($F90))&amp;"|"&amp;UPPER(TRIM($G90)),Setup!$P$21:$P$60,0)),IFERROR(INDEX(Setup!$C$21:$C$60,MATCH(UPPER(TRIM($G90))&amp;"|"&amp;UPPER(TRIM($F90)),Setup!$P$21:$P$60,0)),"NO RATE"))))</f>
        <v/>
      </c>
      <c r="J90" s="97" t="n"/>
      <c r="K90" s="89">
        <f>IF(OR($G90="",$H90="",NOT(ISNUMBER($I90))),"",ROUND($H90*$I90*(1+IF($J90="",Setup!$B$16,$J90)),2))</f>
        <v/>
      </c>
      <c r="L90" s="89">
        <f>IF($K90="","",ROUND($K90*Setup!$B$13,2))</f>
        <v/>
      </c>
      <c r="M90" s="89">
        <f>IF($K90="","",$K90-$L90)</f>
        <v/>
      </c>
      <c r="N90" s="89">
        <f>IF(OR($M90="",$D90=""),"",ROUND($M90*IFERROR(IF(VLOOKUP($D90,Setup!$A$76:$C$87,3,FALSE)="",Setup!$B$14,VLOOKUP($D90,Setup!$A$76:$C$87,3,FALSE)),Setup!$B$14),2))</f>
        <v/>
      </c>
      <c r="O90" s="89">
        <f>IF(OR($M90="",$E90=""),"",ROUND($M90*IFERROR(IF(VLOOKUP($E90,Setup!$A$76:$C$87,3,FALSE)="",Setup!$B$15,VLOOKUP($E90,Setup!$A$76:$C$87,3,FALSE)),Setup!$B$15),2))</f>
        <v/>
      </c>
      <c r="P90" s="98" t="n"/>
      <c r="Q90" s="98" t="n"/>
      <c r="R90" s="98" t="n"/>
      <c r="S90" s="98" t="n"/>
      <c r="T90" s="98" t="n"/>
      <c r="U90" s="89">
        <f>IF($K90="","",SUM($R90:$T90))</f>
        <v/>
      </c>
      <c r="V90" s="89">
        <f>IF($K90="","",$M90-(N($N90)+N($O90)+IF($P90="",Setup!$B$17,$P90)+N($Q90))-N($U90))</f>
        <v/>
      </c>
      <c r="W90" s="94" t="n"/>
      <c r="X90" s="95" t="n"/>
      <c r="Z90" s="92">
        <f>IF($A90="","",DATE(YEAR($A90),MONTH($A90),1))</f>
        <v/>
      </c>
    </row>
    <row r="91">
      <c r="A91" s="85" t="n"/>
      <c r="B91" s="86" t="n"/>
      <c r="C91" s="86" t="n"/>
      <c r="D91" s="87" t="n"/>
      <c r="E91" s="87" t="n"/>
      <c r="F91" s="87" t="n"/>
      <c r="G91" s="87" t="n"/>
      <c r="H91" s="88" t="n"/>
      <c r="I91" s="89">
        <f>IF($G91="","",IF($F91="",IFERROR(INDEX(Setup!$C$21:$C$60,MATCH("|"&amp;UPPER(TRIM($G91)),Setup!$Q$21:$Q$60,0)),"NO RATE"),IFERROR(INDEX(Setup!$C$21:$C$60,MATCH(UPPER(TRIM($F91))&amp;"|"&amp;UPPER(TRIM($G91)),Setup!$P$21:$P$60,0)),IFERROR(INDEX(Setup!$C$21:$C$60,MATCH(UPPER(TRIM($G91))&amp;"|"&amp;UPPER(TRIM($F91)),Setup!$P$21:$P$60,0)),"NO RATE"))))</f>
        <v/>
      </c>
      <c r="J91" s="90" t="n"/>
      <c r="K91" s="89">
        <f>IF(OR($G91="",$H91="",NOT(ISNUMBER($I91))),"",ROUND($H91*$I91*(1+IF($J91="",Setup!$B$16,$J91)),2))</f>
        <v/>
      </c>
      <c r="L91" s="89">
        <f>IF($K91="","",ROUND($K91*Setup!$B$13,2))</f>
        <v/>
      </c>
      <c r="M91" s="89">
        <f>IF($K91="","",$K91-$L91)</f>
        <v/>
      </c>
      <c r="N91" s="89">
        <f>IF(OR($M91="",$D91=""),"",ROUND($M91*IFERROR(IF(VLOOKUP($D91,Setup!$A$76:$C$87,3,FALSE)="",Setup!$B$14,VLOOKUP($D91,Setup!$A$76:$C$87,3,FALSE)),Setup!$B$14),2))</f>
        <v/>
      </c>
      <c r="O91" s="89">
        <f>IF(OR($M91="",$E91=""),"",ROUND($M91*IFERROR(IF(VLOOKUP($E91,Setup!$A$76:$C$87,3,FALSE)="",Setup!$B$15,VLOOKUP($E91,Setup!$A$76:$C$87,3,FALSE)),Setup!$B$15),2))</f>
        <v/>
      </c>
      <c r="P91" s="91" t="n"/>
      <c r="Q91" s="91" t="n"/>
      <c r="R91" s="91" t="n"/>
      <c r="S91" s="91" t="n"/>
      <c r="T91" s="91" t="n"/>
      <c r="U91" s="89">
        <f>IF($K91="","",SUM($R91:$T91))</f>
        <v/>
      </c>
      <c r="V91" s="89">
        <f>IF($K91="","",$M91-(N($N91)+N($O91)+IF($P91="",Setup!$B$17,$P91)+N($Q91))-N($U91))</f>
        <v/>
      </c>
      <c r="W91" s="86" t="n"/>
      <c r="X91" s="87" t="n"/>
      <c r="Z91" s="92">
        <f>IF($A91="","",DATE(YEAR($A91),MONTH($A91),1))</f>
        <v/>
      </c>
    </row>
    <row r="92">
      <c r="A92" s="93" t="n"/>
      <c r="B92" s="94" t="n"/>
      <c r="C92" s="94" t="n"/>
      <c r="D92" s="95" t="n"/>
      <c r="E92" s="95" t="n"/>
      <c r="F92" s="95" t="n"/>
      <c r="G92" s="95" t="n"/>
      <c r="H92" s="96" t="n"/>
      <c r="I92" s="89">
        <f>IF($G92="","",IF($F92="",IFERROR(INDEX(Setup!$C$21:$C$60,MATCH("|"&amp;UPPER(TRIM($G92)),Setup!$Q$21:$Q$60,0)),"NO RATE"),IFERROR(INDEX(Setup!$C$21:$C$60,MATCH(UPPER(TRIM($F92))&amp;"|"&amp;UPPER(TRIM($G92)),Setup!$P$21:$P$60,0)),IFERROR(INDEX(Setup!$C$21:$C$60,MATCH(UPPER(TRIM($G92))&amp;"|"&amp;UPPER(TRIM($F92)),Setup!$P$21:$P$60,0)),"NO RATE"))))</f>
        <v/>
      </c>
      <c r="J92" s="97" t="n"/>
      <c r="K92" s="89">
        <f>IF(OR($G92="",$H92="",NOT(ISNUMBER($I92))),"",ROUND($H92*$I92*(1+IF($J92="",Setup!$B$16,$J92)),2))</f>
        <v/>
      </c>
      <c r="L92" s="89">
        <f>IF($K92="","",ROUND($K92*Setup!$B$13,2))</f>
        <v/>
      </c>
      <c r="M92" s="89">
        <f>IF($K92="","",$K92-$L92)</f>
        <v/>
      </c>
      <c r="N92" s="89">
        <f>IF(OR($M92="",$D92=""),"",ROUND($M92*IFERROR(IF(VLOOKUP($D92,Setup!$A$76:$C$87,3,FALSE)="",Setup!$B$14,VLOOKUP($D92,Setup!$A$76:$C$87,3,FALSE)),Setup!$B$14),2))</f>
        <v/>
      </c>
      <c r="O92" s="89">
        <f>IF(OR($M92="",$E92=""),"",ROUND($M92*IFERROR(IF(VLOOKUP($E92,Setup!$A$76:$C$87,3,FALSE)="",Setup!$B$15,VLOOKUP($E92,Setup!$A$76:$C$87,3,FALSE)),Setup!$B$15),2))</f>
        <v/>
      </c>
      <c r="P92" s="98" t="n"/>
      <c r="Q92" s="98" t="n"/>
      <c r="R92" s="98" t="n"/>
      <c r="S92" s="98" t="n"/>
      <c r="T92" s="98" t="n"/>
      <c r="U92" s="89">
        <f>IF($K92="","",SUM($R92:$T92))</f>
        <v/>
      </c>
      <c r="V92" s="89">
        <f>IF($K92="","",$M92-(N($N92)+N($O92)+IF($P92="",Setup!$B$17,$P92)+N($Q92))-N($U92))</f>
        <v/>
      </c>
      <c r="W92" s="94" t="n"/>
      <c r="X92" s="95" t="n"/>
      <c r="Z92" s="92">
        <f>IF($A92="","",DATE(YEAR($A92),MONTH($A92),1))</f>
        <v/>
      </c>
    </row>
    <row r="93">
      <c r="A93" s="85" t="n"/>
      <c r="B93" s="86" t="n"/>
      <c r="C93" s="86" t="n"/>
      <c r="D93" s="87" t="n"/>
      <c r="E93" s="87" t="n"/>
      <c r="F93" s="87" t="n"/>
      <c r="G93" s="87" t="n"/>
      <c r="H93" s="88" t="n"/>
      <c r="I93" s="89">
        <f>IF($G93="","",IF($F93="",IFERROR(INDEX(Setup!$C$21:$C$60,MATCH("|"&amp;UPPER(TRIM($G93)),Setup!$Q$21:$Q$60,0)),"NO RATE"),IFERROR(INDEX(Setup!$C$21:$C$60,MATCH(UPPER(TRIM($F93))&amp;"|"&amp;UPPER(TRIM($G93)),Setup!$P$21:$P$60,0)),IFERROR(INDEX(Setup!$C$21:$C$60,MATCH(UPPER(TRIM($G93))&amp;"|"&amp;UPPER(TRIM($F93)),Setup!$P$21:$P$60,0)),"NO RATE"))))</f>
        <v/>
      </c>
      <c r="J93" s="90" t="n"/>
      <c r="K93" s="89">
        <f>IF(OR($G93="",$H93="",NOT(ISNUMBER($I93))),"",ROUND($H93*$I93*(1+IF($J93="",Setup!$B$16,$J93)),2))</f>
        <v/>
      </c>
      <c r="L93" s="89">
        <f>IF($K93="","",ROUND($K93*Setup!$B$13,2))</f>
        <v/>
      </c>
      <c r="M93" s="89">
        <f>IF($K93="","",$K93-$L93)</f>
        <v/>
      </c>
      <c r="N93" s="89">
        <f>IF(OR($M93="",$D93=""),"",ROUND($M93*IFERROR(IF(VLOOKUP($D93,Setup!$A$76:$C$87,3,FALSE)="",Setup!$B$14,VLOOKUP($D93,Setup!$A$76:$C$87,3,FALSE)),Setup!$B$14),2))</f>
        <v/>
      </c>
      <c r="O93" s="89">
        <f>IF(OR($M93="",$E93=""),"",ROUND($M93*IFERROR(IF(VLOOKUP($E93,Setup!$A$76:$C$87,3,FALSE)="",Setup!$B$15,VLOOKUP($E93,Setup!$A$76:$C$87,3,FALSE)),Setup!$B$15),2))</f>
        <v/>
      </c>
      <c r="P93" s="91" t="n"/>
      <c r="Q93" s="91" t="n"/>
      <c r="R93" s="91" t="n"/>
      <c r="S93" s="91" t="n"/>
      <c r="T93" s="91" t="n"/>
      <c r="U93" s="89">
        <f>IF($K93="","",SUM($R93:$T93))</f>
        <v/>
      </c>
      <c r="V93" s="89">
        <f>IF($K93="","",$M93-(N($N93)+N($O93)+IF($P93="",Setup!$B$17,$P93)+N($Q93))-N($U93))</f>
        <v/>
      </c>
      <c r="W93" s="86" t="n"/>
      <c r="X93" s="87" t="n"/>
      <c r="Z93" s="92">
        <f>IF($A93="","",DATE(YEAR($A93),MONTH($A93),1))</f>
        <v/>
      </c>
    </row>
    <row r="94">
      <c r="A94" s="93" t="n"/>
      <c r="B94" s="94" t="n"/>
      <c r="C94" s="94" t="n"/>
      <c r="D94" s="95" t="n"/>
      <c r="E94" s="95" t="n"/>
      <c r="F94" s="95" t="n"/>
      <c r="G94" s="95" t="n"/>
      <c r="H94" s="96" t="n"/>
      <c r="I94" s="89">
        <f>IF($G94="","",IF($F94="",IFERROR(INDEX(Setup!$C$21:$C$60,MATCH("|"&amp;UPPER(TRIM($G94)),Setup!$Q$21:$Q$60,0)),"NO RATE"),IFERROR(INDEX(Setup!$C$21:$C$60,MATCH(UPPER(TRIM($F94))&amp;"|"&amp;UPPER(TRIM($G94)),Setup!$P$21:$P$60,0)),IFERROR(INDEX(Setup!$C$21:$C$60,MATCH(UPPER(TRIM($G94))&amp;"|"&amp;UPPER(TRIM($F94)),Setup!$P$21:$P$60,0)),"NO RATE"))))</f>
        <v/>
      </c>
      <c r="J94" s="97" t="n"/>
      <c r="K94" s="89">
        <f>IF(OR($G94="",$H94="",NOT(ISNUMBER($I94))),"",ROUND($H94*$I94*(1+IF($J94="",Setup!$B$16,$J94)),2))</f>
        <v/>
      </c>
      <c r="L94" s="89">
        <f>IF($K94="","",ROUND($K94*Setup!$B$13,2))</f>
        <v/>
      </c>
      <c r="M94" s="89">
        <f>IF($K94="","",$K94-$L94)</f>
        <v/>
      </c>
      <c r="N94" s="89">
        <f>IF(OR($M94="",$D94=""),"",ROUND($M94*IFERROR(IF(VLOOKUP($D94,Setup!$A$76:$C$87,3,FALSE)="",Setup!$B$14,VLOOKUP($D94,Setup!$A$76:$C$87,3,FALSE)),Setup!$B$14),2))</f>
        <v/>
      </c>
      <c r="O94" s="89">
        <f>IF(OR($M94="",$E94=""),"",ROUND($M94*IFERROR(IF(VLOOKUP($E94,Setup!$A$76:$C$87,3,FALSE)="",Setup!$B$15,VLOOKUP($E94,Setup!$A$76:$C$87,3,FALSE)),Setup!$B$15),2))</f>
        <v/>
      </c>
      <c r="P94" s="98" t="n"/>
      <c r="Q94" s="98" t="n"/>
      <c r="R94" s="98" t="n"/>
      <c r="S94" s="98" t="n"/>
      <c r="T94" s="98" t="n"/>
      <c r="U94" s="89">
        <f>IF($K94="","",SUM($R94:$T94))</f>
        <v/>
      </c>
      <c r="V94" s="89">
        <f>IF($K94="","",$M94-(N($N94)+N($O94)+IF($P94="",Setup!$B$17,$P94)+N($Q94))-N($U94))</f>
        <v/>
      </c>
      <c r="W94" s="94" t="n"/>
      <c r="X94" s="95" t="n"/>
      <c r="Z94" s="92">
        <f>IF($A94="","",DATE(YEAR($A94),MONTH($A94),1))</f>
        <v/>
      </c>
    </row>
    <row r="95">
      <c r="A95" s="85" t="n"/>
      <c r="B95" s="86" t="n"/>
      <c r="C95" s="86" t="n"/>
      <c r="D95" s="87" t="n"/>
      <c r="E95" s="87" t="n"/>
      <c r="F95" s="87" t="n"/>
      <c r="G95" s="87" t="n"/>
      <c r="H95" s="88" t="n"/>
      <c r="I95" s="89">
        <f>IF($G95="","",IF($F95="",IFERROR(INDEX(Setup!$C$21:$C$60,MATCH("|"&amp;UPPER(TRIM($G95)),Setup!$Q$21:$Q$60,0)),"NO RATE"),IFERROR(INDEX(Setup!$C$21:$C$60,MATCH(UPPER(TRIM($F95))&amp;"|"&amp;UPPER(TRIM($G95)),Setup!$P$21:$P$60,0)),IFERROR(INDEX(Setup!$C$21:$C$60,MATCH(UPPER(TRIM($G95))&amp;"|"&amp;UPPER(TRIM($F95)),Setup!$P$21:$P$60,0)),"NO RATE"))))</f>
        <v/>
      </c>
      <c r="J95" s="90" t="n"/>
      <c r="K95" s="89">
        <f>IF(OR($G95="",$H95="",NOT(ISNUMBER($I95))),"",ROUND($H95*$I95*(1+IF($J95="",Setup!$B$16,$J95)),2))</f>
        <v/>
      </c>
      <c r="L95" s="89">
        <f>IF($K95="","",ROUND($K95*Setup!$B$13,2))</f>
        <v/>
      </c>
      <c r="M95" s="89">
        <f>IF($K95="","",$K95-$L95)</f>
        <v/>
      </c>
      <c r="N95" s="89">
        <f>IF(OR($M95="",$D95=""),"",ROUND($M95*IFERROR(IF(VLOOKUP($D95,Setup!$A$76:$C$87,3,FALSE)="",Setup!$B$14,VLOOKUP($D95,Setup!$A$76:$C$87,3,FALSE)),Setup!$B$14),2))</f>
        <v/>
      </c>
      <c r="O95" s="89">
        <f>IF(OR($M95="",$E95=""),"",ROUND($M95*IFERROR(IF(VLOOKUP($E95,Setup!$A$76:$C$87,3,FALSE)="",Setup!$B$15,VLOOKUP($E95,Setup!$A$76:$C$87,3,FALSE)),Setup!$B$15),2))</f>
        <v/>
      </c>
      <c r="P95" s="91" t="n"/>
      <c r="Q95" s="91" t="n"/>
      <c r="R95" s="91" t="n"/>
      <c r="S95" s="91" t="n"/>
      <c r="T95" s="91" t="n"/>
      <c r="U95" s="89">
        <f>IF($K95="","",SUM($R95:$T95))</f>
        <v/>
      </c>
      <c r="V95" s="89">
        <f>IF($K95="","",$M95-(N($N95)+N($O95)+IF($P95="",Setup!$B$17,$P95)+N($Q95))-N($U95))</f>
        <v/>
      </c>
      <c r="W95" s="86" t="n"/>
      <c r="X95" s="87" t="n"/>
      <c r="Z95" s="92">
        <f>IF($A95="","",DATE(YEAR($A95),MONTH($A95),1))</f>
        <v/>
      </c>
    </row>
    <row r="96">
      <c r="A96" s="93" t="n"/>
      <c r="B96" s="94" t="n"/>
      <c r="C96" s="94" t="n"/>
      <c r="D96" s="95" t="n"/>
      <c r="E96" s="95" t="n"/>
      <c r="F96" s="95" t="n"/>
      <c r="G96" s="95" t="n"/>
      <c r="H96" s="96" t="n"/>
      <c r="I96" s="89">
        <f>IF($G96="","",IF($F96="",IFERROR(INDEX(Setup!$C$21:$C$60,MATCH("|"&amp;UPPER(TRIM($G96)),Setup!$Q$21:$Q$60,0)),"NO RATE"),IFERROR(INDEX(Setup!$C$21:$C$60,MATCH(UPPER(TRIM($F96))&amp;"|"&amp;UPPER(TRIM($G96)),Setup!$P$21:$P$60,0)),IFERROR(INDEX(Setup!$C$21:$C$60,MATCH(UPPER(TRIM($G96))&amp;"|"&amp;UPPER(TRIM($F96)),Setup!$P$21:$P$60,0)),"NO RATE"))))</f>
        <v/>
      </c>
      <c r="J96" s="97" t="n"/>
      <c r="K96" s="89">
        <f>IF(OR($G96="",$H96="",NOT(ISNUMBER($I96))),"",ROUND($H96*$I96*(1+IF($J96="",Setup!$B$16,$J96)),2))</f>
        <v/>
      </c>
      <c r="L96" s="89">
        <f>IF($K96="","",ROUND($K96*Setup!$B$13,2))</f>
        <v/>
      </c>
      <c r="M96" s="89">
        <f>IF($K96="","",$K96-$L96)</f>
        <v/>
      </c>
      <c r="N96" s="89">
        <f>IF(OR($M96="",$D96=""),"",ROUND($M96*IFERROR(IF(VLOOKUP($D96,Setup!$A$76:$C$87,3,FALSE)="",Setup!$B$14,VLOOKUP($D96,Setup!$A$76:$C$87,3,FALSE)),Setup!$B$14),2))</f>
        <v/>
      </c>
      <c r="O96" s="89">
        <f>IF(OR($M96="",$E96=""),"",ROUND($M96*IFERROR(IF(VLOOKUP($E96,Setup!$A$76:$C$87,3,FALSE)="",Setup!$B$15,VLOOKUP($E96,Setup!$A$76:$C$87,3,FALSE)),Setup!$B$15),2))</f>
        <v/>
      </c>
      <c r="P96" s="98" t="n"/>
      <c r="Q96" s="98" t="n"/>
      <c r="R96" s="98" t="n"/>
      <c r="S96" s="98" t="n"/>
      <c r="T96" s="98" t="n"/>
      <c r="U96" s="89">
        <f>IF($K96="","",SUM($R96:$T96))</f>
        <v/>
      </c>
      <c r="V96" s="89">
        <f>IF($K96="","",$M96-(N($N96)+N($O96)+IF($P96="",Setup!$B$17,$P96)+N($Q96))-N($U96))</f>
        <v/>
      </c>
      <c r="W96" s="94" t="n"/>
      <c r="X96" s="95" t="n"/>
      <c r="Z96" s="92">
        <f>IF($A96="","",DATE(YEAR($A96),MONTH($A96),1))</f>
        <v/>
      </c>
    </row>
    <row r="97">
      <c r="A97" s="85" t="n"/>
      <c r="B97" s="86" t="n"/>
      <c r="C97" s="86" t="n"/>
      <c r="D97" s="87" t="n"/>
      <c r="E97" s="87" t="n"/>
      <c r="F97" s="87" t="n"/>
      <c r="G97" s="87" t="n"/>
      <c r="H97" s="88" t="n"/>
      <c r="I97" s="89">
        <f>IF($G97="","",IF($F97="",IFERROR(INDEX(Setup!$C$21:$C$60,MATCH("|"&amp;UPPER(TRIM($G97)),Setup!$Q$21:$Q$60,0)),"NO RATE"),IFERROR(INDEX(Setup!$C$21:$C$60,MATCH(UPPER(TRIM($F97))&amp;"|"&amp;UPPER(TRIM($G97)),Setup!$P$21:$P$60,0)),IFERROR(INDEX(Setup!$C$21:$C$60,MATCH(UPPER(TRIM($G97))&amp;"|"&amp;UPPER(TRIM($F97)),Setup!$P$21:$P$60,0)),"NO RATE"))))</f>
        <v/>
      </c>
      <c r="J97" s="90" t="n"/>
      <c r="K97" s="89">
        <f>IF(OR($G97="",$H97="",NOT(ISNUMBER($I97))),"",ROUND($H97*$I97*(1+IF($J97="",Setup!$B$16,$J97)),2))</f>
        <v/>
      </c>
      <c r="L97" s="89">
        <f>IF($K97="","",ROUND($K97*Setup!$B$13,2))</f>
        <v/>
      </c>
      <c r="M97" s="89">
        <f>IF($K97="","",$K97-$L97)</f>
        <v/>
      </c>
      <c r="N97" s="89">
        <f>IF(OR($M97="",$D97=""),"",ROUND($M97*IFERROR(IF(VLOOKUP($D97,Setup!$A$76:$C$87,3,FALSE)="",Setup!$B$14,VLOOKUP($D97,Setup!$A$76:$C$87,3,FALSE)),Setup!$B$14),2))</f>
        <v/>
      </c>
      <c r="O97" s="89">
        <f>IF(OR($M97="",$E97=""),"",ROUND($M97*IFERROR(IF(VLOOKUP($E97,Setup!$A$76:$C$87,3,FALSE)="",Setup!$B$15,VLOOKUP($E97,Setup!$A$76:$C$87,3,FALSE)),Setup!$B$15),2))</f>
        <v/>
      </c>
      <c r="P97" s="91" t="n"/>
      <c r="Q97" s="91" t="n"/>
      <c r="R97" s="91" t="n"/>
      <c r="S97" s="91" t="n"/>
      <c r="T97" s="91" t="n"/>
      <c r="U97" s="89">
        <f>IF($K97="","",SUM($R97:$T97))</f>
        <v/>
      </c>
      <c r="V97" s="89">
        <f>IF($K97="","",$M97-(N($N97)+N($O97)+IF($P97="",Setup!$B$17,$P97)+N($Q97))-N($U97))</f>
        <v/>
      </c>
      <c r="W97" s="86" t="n"/>
      <c r="X97" s="87" t="n"/>
      <c r="Z97" s="92">
        <f>IF($A97="","",DATE(YEAR($A97),MONTH($A97),1))</f>
        <v/>
      </c>
    </row>
    <row r="98">
      <c r="A98" s="93" t="n"/>
      <c r="B98" s="94" t="n"/>
      <c r="C98" s="94" t="n"/>
      <c r="D98" s="95" t="n"/>
      <c r="E98" s="95" t="n"/>
      <c r="F98" s="95" t="n"/>
      <c r="G98" s="95" t="n"/>
      <c r="H98" s="96" t="n"/>
      <c r="I98" s="89">
        <f>IF($G98="","",IF($F98="",IFERROR(INDEX(Setup!$C$21:$C$60,MATCH("|"&amp;UPPER(TRIM($G98)),Setup!$Q$21:$Q$60,0)),"NO RATE"),IFERROR(INDEX(Setup!$C$21:$C$60,MATCH(UPPER(TRIM($F98))&amp;"|"&amp;UPPER(TRIM($G98)),Setup!$P$21:$P$60,0)),IFERROR(INDEX(Setup!$C$21:$C$60,MATCH(UPPER(TRIM($G98))&amp;"|"&amp;UPPER(TRIM($F98)),Setup!$P$21:$P$60,0)),"NO RATE"))))</f>
        <v/>
      </c>
      <c r="J98" s="97" t="n"/>
      <c r="K98" s="89">
        <f>IF(OR($G98="",$H98="",NOT(ISNUMBER($I98))),"",ROUND($H98*$I98*(1+IF($J98="",Setup!$B$16,$J98)),2))</f>
        <v/>
      </c>
      <c r="L98" s="89">
        <f>IF($K98="","",ROUND($K98*Setup!$B$13,2))</f>
        <v/>
      </c>
      <c r="M98" s="89">
        <f>IF($K98="","",$K98-$L98)</f>
        <v/>
      </c>
      <c r="N98" s="89">
        <f>IF(OR($M98="",$D98=""),"",ROUND($M98*IFERROR(IF(VLOOKUP($D98,Setup!$A$76:$C$87,3,FALSE)="",Setup!$B$14,VLOOKUP($D98,Setup!$A$76:$C$87,3,FALSE)),Setup!$B$14),2))</f>
        <v/>
      </c>
      <c r="O98" s="89">
        <f>IF(OR($M98="",$E98=""),"",ROUND($M98*IFERROR(IF(VLOOKUP($E98,Setup!$A$76:$C$87,3,FALSE)="",Setup!$B$15,VLOOKUP($E98,Setup!$A$76:$C$87,3,FALSE)),Setup!$B$15),2))</f>
        <v/>
      </c>
      <c r="P98" s="98" t="n"/>
      <c r="Q98" s="98" t="n"/>
      <c r="R98" s="98" t="n"/>
      <c r="S98" s="98" t="n"/>
      <c r="T98" s="98" t="n"/>
      <c r="U98" s="89">
        <f>IF($K98="","",SUM($R98:$T98))</f>
        <v/>
      </c>
      <c r="V98" s="89">
        <f>IF($K98="","",$M98-(N($N98)+N($O98)+IF($P98="",Setup!$B$17,$P98)+N($Q98))-N($U98))</f>
        <v/>
      </c>
      <c r="W98" s="94" t="n"/>
      <c r="X98" s="95" t="n"/>
      <c r="Z98" s="92">
        <f>IF($A98="","",DATE(YEAR($A98),MONTH($A98),1))</f>
        <v/>
      </c>
    </row>
    <row r="99">
      <c r="A99" s="85" t="n"/>
      <c r="B99" s="86" t="n"/>
      <c r="C99" s="86" t="n"/>
      <c r="D99" s="87" t="n"/>
      <c r="E99" s="87" t="n"/>
      <c r="F99" s="87" t="n"/>
      <c r="G99" s="87" t="n"/>
      <c r="H99" s="88" t="n"/>
      <c r="I99" s="89">
        <f>IF($G99="","",IF($F99="",IFERROR(INDEX(Setup!$C$21:$C$60,MATCH("|"&amp;UPPER(TRIM($G99)),Setup!$Q$21:$Q$60,0)),"NO RATE"),IFERROR(INDEX(Setup!$C$21:$C$60,MATCH(UPPER(TRIM($F99))&amp;"|"&amp;UPPER(TRIM($G99)),Setup!$P$21:$P$60,0)),IFERROR(INDEX(Setup!$C$21:$C$60,MATCH(UPPER(TRIM($G99))&amp;"|"&amp;UPPER(TRIM($F99)),Setup!$P$21:$P$60,0)),"NO RATE"))))</f>
        <v/>
      </c>
      <c r="J99" s="90" t="n"/>
      <c r="K99" s="89">
        <f>IF(OR($G99="",$H99="",NOT(ISNUMBER($I99))),"",ROUND($H99*$I99*(1+IF($J99="",Setup!$B$16,$J99)),2))</f>
        <v/>
      </c>
      <c r="L99" s="89">
        <f>IF($K99="","",ROUND($K99*Setup!$B$13,2))</f>
        <v/>
      </c>
      <c r="M99" s="89">
        <f>IF($K99="","",$K99-$L99)</f>
        <v/>
      </c>
      <c r="N99" s="89">
        <f>IF(OR($M99="",$D99=""),"",ROUND($M99*IFERROR(IF(VLOOKUP($D99,Setup!$A$76:$C$87,3,FALSE)="",Setup!$B$14,VLOOKUP($D99,Setup!$A$76:$C$87,3,FALSE)),Setup!$B$14),2))</f>
        <v/>
      </c>
      <c r="O99" s="89">
        <f>IF(OR($M99="",$E99=""),"",ROUND($M99*IFERROR(IF(VLOOKUP($E99,Setup!$A$76:$C$87,3,FALSE)="",Setup!$B$15,VLOOKUP($E99,Setup!$A$76:$C$87,3,FALSE)),Setup!$B$15),2))</f>
        <v/>
      </c>
      <c r="P99" s="91" t="n"/>
      <c r="Q99" s="91" t="n"/>
      <c r="R99" s="91" t="n"/>
      <c r="S99" s="91" t="n"/>
      <c r="T99" s="91" t="n"/>
      <c r="U99" s="89">
        <f>IF($K99="","",SUM($R99:$T99))</f>
        <v/>
      </c>
      <c r="V99" s="89">
        <f>IF($K99="","",$M99-(N($N99)+N($O99)+IF($P99="",Setup!$B$17,$P99)+N($Q99))-N($U99))</f>
        <v/>
      </c>
      <c r="W99" s="86" t="n"/>
      <c r="X99" s="87" t="n"/>
      <c r="Z99" s="92">
        <f>IF($A99="","",DATE(YEAR($A99),MONTH($A99),1))</f>
        <v/>
      </c>
    </row>
    <row r="100">
      <c r="A100" s="93" t="n"/>
      <c r="B100" s="94" t="n"/>
      <c r="C100" s="94" t="n"/>
      <c r="D100" s="95" t="n"/>
      <c r="E100" s="95" t="n"/>
      <c r="F100" s="95" t="n"/>
      <c r="G100" s="95" t="n"/>
      <c r="H100" s="96" t="n"/>
      <c r="I100" s="89">
        <f>IF($G100="","",IF($F100="",IFERROR(INDEX(Setup!$C$21:$C$60,MATCH("|"&amp;UPPER(TRIM($G100)),Setup!$Q$21:$Q$60,0)),"NO RATE"),IFERROR(INDEX(Setup!$C$21:$C$60,MATCH(UPPER(TRIM($F100))&amp;"|"&amp;UPPER(TRIM($G100)),Setup!$P$21:$P$60,0)),IFERROR(INDEX(Setup!$C$21:$C$60,MATCH(UPPER(TRIM($G100))&amp;"|"&amp;UPPER(TRIM($F100)),Setup!$P$21:$P$60,0)),"NO RATE"))))</f>
        <v/>
      </c>
      <c r="J100" s="97" t="n"/>
      <c r="K100" s="89">
        <f>IF(OR($G100="",$H100="",NOT(ISNUMBER($I100))),"",ROUND($H100*$I100*(1+IF($J100="",Setup!$B$16,$J100)),2))</f>
        <v/>
      </c>
      <c r="L100" s="89">
        <f>IF($K100="","",ROUND($K100*Setup!$B$13,2))</f>
        <v/>
      </c>
      <c r="M100" s="89">
        <f>IF($K100="","",$K100-$L100)</f>
        <v/>
      </c>
      <c r="N100" s="89">
        <f>IF(OR($M100="",$D100=""),"",ROUND($M100*IFERROR(IF(VLOOKUP($D100,Setup!$A$76:$C$87,3,FALSE)="",Setup!$B$14,VLOOKUP($D100,Setup!$A$76:$C$87,3,FALSE)),Setup!$B$14),2))</f>
        <v/>
      </c>
      <c r="O100" s="89">
        <f>IF(OR($M100="",$E100=""),"",ROUND($M100*IFERROR(IF(VLOOKUP($E100,Setup!$A$76:$C$87,3,FALSE)="",Setup!$B$15,VLOOKUP($E100,Setup!$A$76:$C$87,3,FALSE)),Setup!$B$15),2))</f>
        <v/>
      </c>
      <c r="P100" s="98" t="n"/>
      <c r="Q100" s="98" t="n"/>
      <c r="R100" s="98" t="n"/>
      <c r="S100" s="98" t="n"/>
      <c r="T100" s="98" t="n"/>
      <c r="U100" s="89">
        <f>IF($K100="","",SUM($R100:$T100))</f>
        <v/>
      </c>
      <c r="V100" s="89">
        <f>IF($K100="","",$M100-(N($N100)+N($O100)+IF($P100="",Setup!$B$17,$P100)+N($Q100))-N($U100))</f>
        <v/>
      </c>
      <c r="W100" s="94" t="n"/>
      <c r="X100" s="95" t="n"/>
      <c r="Z100" s="92">
        <f>IF($A100="","",DATE(YEAR($A100),MONTH($A100),1))</f>
        <v/>
      </c>
    </row>
    <row r="101">
      <c r="A101" s="85" t="n"/>
      <c r="B101" s="86" t="n"/>
      <c r="C101" s="86" t="n"/>
      <c r="D101" s="87" t="n"/>
      <c r="E101" s="87" t="n"/>
      <c r="F101" s="87" t="n"/>
      <c r="G101" s="87" t="n"/>
      <c r="H101" s="88" t="n"/>
      <c r="I101" s="89">
        <f>IF($G101="","",IF($F101="",IFERROR(INDEX(Setup!$C$21:$C$60,MATCH("|"&amp;UPPER(TRIM($G101)),Setup!$Q$21:$Q$60,0)),"NO RATE"),IFERROR(INDEX(Setup!$C$21:$C$60,MATCH(UPPER(TRIM($F101))&amp;"|"&amp;UPPER(TRIM($G101)),Setup!$P$21:$P$60,0)),IFERROR(INDEX(Setup!$C$21:$C$60,MATCH(UPPER(TRIM($G101))&amp;"|"&amp;UPPER(TRIM($F101)),Setup!$P$21:$P$60,0)),"NO RATE"))))</f>
        <v/>
      </c>
      <c r="J101" s="90" t="n"/>
      <c r="K101" s="89">
        <f>IF(OR($G101="",$H101="",NOT(ISNUMBER($I101))),"",ROUND($H101*$I101*(1+IF($J101="",Setup!$B$16,$J101)),2))</f>
        <v/>
      </c>
      <c r="L101" s="89">
        <f>IF($K101="","",ROUND($K101*Setup!$B$13,2))</f>
        <v/>
      </c>
      <c r="M101" s="89">
        <f>IF($K101="","",$K101-$L101)</f>
        <v/>
      </c>
      <c r="N101" s="89">
        <f>IF(OR($M101="",$D101=""),"",ROUND($M101*IFERROR(IF(VLOOKUP($D101,Setup!$A$76:$C$87,3,FALSE)="",Setup!$B$14,VLOOKUP($D101,Setup!$A$76:$C$87,3,FALSE)),Setup!$B$14),2))</f>
        <v/>
      </c>
      <c r="O101" s="89">
        <f>IF(OR($M101="",$E101=""),"",ROUND($M101*IFERROR(IF(VLOOKUP($E101,Setup!$A$76:$C$87,3,FALSE)="",Setup!$B$15,VLOOKUP($E101,Setup!$A$76:$C$87,3,FALSE)),Setup!$B$15),2))</f>
        <v/>
      </c>
      <c r="P101" s="91" t="n"/>
      <c r="Q101" s="91" t="n"/>
      <c r="R101" s="91" t="n"/>
      <c r="S101" s="91" t="n"/>
      <c r="T101" s="91" t="n"/>
      <c r="U101" s="89">
        <f>IF($K101="","",SUM($R101:$T101))</f>
        <v/>
      </c>
      <c r="V101" s="89">
        <f>IF($K101="","",$M101-(N($N101)+N($O101)+IF($P101="",Setup!$B$17,$P101)+N($Q101))-N($U101))</f>
        <v/>
      </c>
      <c r="W101" s="86" t="n"/>
      <c r="X101" s="87" t="n"/>
      <c r="Z101" s="92">
        <f>IF($A101="","",DATE(YEAR($A101),MONTH($A101),1))</f>
        <v/>
      </c>
    </row>
    <row r="102">
      <c r="A102" s="93" t="n"/>
      <c r="B102" s="94" t="n"/>
      <c r="C102" s="94" t="n"/>
      <c r="D102" s="95" t="n"/>
      <c r="E102" s="95" t="n"/>
      <c r="F102" s="95" t="n"/>
      <c r="G102" s="95" t="n"/>
      <c r="H102" s="96" t="n"/>
      <c r="I102" s="89">
        <f>IF($G102="","",IF($F102="",IFERROR(INDEX(Setup!$C$21:$C$60,MATCH("|"&amp;UPPER(TRIM($G102)),Setup!$Q$21:$Q$60,0)),"NO RATE"),IFERROR(INDEX(Setup!$C$21:$C$60,MATCH(UPPER(TRIM($F102))&amp;"|"&amp;UPPER(TRIM($G102)),Setup!$P$21:$P$60,0)),IFERROR(INDEX(Setup!$C$21:$C$60,MATCH(UPPER(TRIM($G102))&amp;"|"&amp;UPPER(TRIM($F102)),Setup!$P$21:$P$60,0)),"NO RATE"))))</f>
        <v/>
      </c>
      <c r="J102" s="97" t="n"/>
      <c r="K102" s="89">
        <f>IF(OR($G102="",$H102="",NOT(ISNUMBER($I102))),"",ROUND($H102*$I102*(1+IF($J102="",Setup!$B$16,$J102)),2))</f>
        <v/>
      </c>
      <c r="L102" s="89">
        <f>IF($K102="","",ROUND($K102*Setup!$B$13,2))</f>
        <v/>
      </c>
      <c r="M102" s="89">
        <f>IF($K102="","",$K102-$L102)</f>
        <v/>
      </c>
      <c r="N102" s="89">
        <f>IF(OR($M102="",$D102=""),"",ROUND($M102*IFERROR(IF(VLOOKUP($D102,Setup!$A$76:$C$87,3,FALSE)="",Setup!$B$14,VLOOKUP($D102,Setup!$A$76:$C$87,3,FALSE)),Setup!$B$14),2))</f>
        <v/>
      </c>
      <c r="O102" s="89">
        <f>IF(OR($M102="",$E102=""),"",ROUND($M102*IFERROR(IF(VLOOKUP($E102,Setup!$A$76:$C$87,3,FALSE)="",Setup!$B$15,VLOOKUP($E102,Setup!$A$76:$C$87,3,FALSE)),Setup!$B$15),2))</f>
        <v/>
      </c>
      <c r="P102" s="98" t="n"/>
      <c r="Q102" s="98" t="n"/>
      <c r="R102" s="98" t="n"/>
      <c r="S102" s="98" t="n"/>
      <c r="T102" s="98" t="n"/>
      <c r="U102" s="89">
        <f>IF($K102="","",SUM($R102:$T102))</f>
        <v/>
      </c>
      <c r="V102" s="89">
        <f>IF($K102="","",$M102-(N($N102)+N($O102)+IF($P102="",Setup!$B$17,$P102)+N($Q102))-N($U102))</f>
        <v/>
      </c>
      <c r="W102" s="94" t="n"/>
      <c r="X102" s="95" t="n"/>
      <c r="Z102" s="92">
        <f>IF($A102="","",DATE(YEAR($A102),MONTH($A102),1))</f>
        <v/>
      </c>
    </row>
    <row r="103">
      <c r="A103" s="85" t="n"/>
      <c r="B103" s="86" t="n"/>
      <c r="C103" s="86" t="n"/>
      <c r="D103" s="87" t="n"/>
      <c r="E103" s="87" t="n"/>
      <c r="F103" s="87" t="n"/>
      <c r="G103" s="87" t="n"/>
      <c r="H103" s="88" t="n"/>
      <c r="I103" s="89">
        <f>IF($G103="","",IF($F103="",IFERROR(INDEX(Setup!$C$21:$C$60,MATCH("|"&amp;UPPER(TRIM($G103)),Setup!$Q$21:$Q$60,0)),"NO RATE"),IFERROR(INDEX(Setup!$C$21:$C$60,MATCH(UPPER(TRIM($F103))&amp;"|"&amp;UPPER(TRIM($G103)),Setup!$P$21:$P$60,0)),IFERROR(INDEX(Setup!$C$21:$C$60,MATCH(UPPER(TRIM($G103))&amp;"|"&amp;UPPER(TRIM($F103)),Setup!$P$21:$P$60,0)),"NO RATE"))))</f>
        <v/>
      </c>
      <c r="J103" s="90" t="n"/>
      <c r="K103" s="89">
        <f>IF(OR($G103="",$H103="",NOT(ISNUMBER($I103))),"",ROUND($H103*$I103*(1+IF($J103="",Setup!$B$16,$J103)),2))</f>
        <v/>
      </c>
      <c r="L103" s="89">
        <f>IF($K103="","",ROUND($K103*Setup!$B$13,2))</f>
        <v/>
      </c>
      <c r="M103" s="89">
        <f>IF($K103="","",$K103-$L103)</f>
        <v/>
      </c>
      <c r="N103" s="89">
        <f>IF(OR($M103="",$D103=""),"",ROUND($M103*IFERROR(IF(VLOOKUP($D103,Setup!$A$76:$C$87,3,FALSE)="",Setup!$B$14,VLOOKUP($D103,Setup!$A$76:$C$87,3,FALSE)),Setup!$B$14),2))</f>
        <v/>
      </c>
      <c r="O103" s="89">
        <f>IF(OR($M103="",$E103=""),"",ROUND($M103*IFERROR(IF(VLOOKUP($E103,Setup!$A$76:$C$87,3,FALSE)="",Setup!$B$15,VLOOKUP($E103,Setup!$A$76:$C$87,3,FALSE)),Setup!$B$15),2))</f>
        <v/>
      </c>
      <c r="P103" s="91" t="n"/>
      <c r="Q103" s="91" t="n"/>
      <c r="R103" s="91" t="n"/>
      <c r="S103" s="91" t="n"/>
      <c r="T103" s="91" t="n"/>
      <c r="U103" s="89">
        <f>IF($K103="","",SUM($R103:$T103))</f>
        <v/>
      </c>
      <c r="V103" s="89">
        <f>IF($K103="","",$M103-(N($N103)+N($O103)+IF($P103="",Setup!$B$17,$P103)+N($Q103))-N($U103))</f>
        <v/>
      </c>
      <c r="W103" s="86" t="n"/>
      <c r="X103" s="87" t="n"/>
      <c r="Z103" s="92">
        <f>IF($A103="","",DATE(YEAR($A103),MONTH($A103),1))</f>
        <v/>
      </c>
    </row>
    <row r="104">
      <c r="A104" s="93" t="n"/>
      <c r="B104" s="94" t="n"/>
      <c r="C104" s="94" t="n"/>
      <c r="D104" s="95" t="n"/>
      <c r="E104" s="95" t="n"/>
      <c r="F104" s="95" t="n"/>
      <c r="G104" s="95" t="n"/>
      <c r="H104" s="96" t="n"/>
      <c r="I104" s="89">
        <f>IF($G104="","",IF($F104="",IFERROR(INDEX(Setup!$C$21:$C$60,MATCH("|"&amp;UPPER(TRIM($G104)),Setup!$Q$21:$Q$60,0)),"NO RATE"),IFERROR(INDEX(Setup!$C$21:$C$60,MATCH(UPPER(TRIM($F104))&amp;"|"&amp;UPPER(TRIM($G104)),Setup!$P$21:$P$60,0)),IFERROR(INDEX(Setup!$C$21:$C$60,MATCH(UPPER(TRIM($G104))&amp;"|"&amp;UPPER(TRIM($F104)),Setup!$P$21:$P$60,0)),"NO RATE"))))</f>
        <v/>
      </c>
      <c r="J104" s="97" t="n"/>
      <c r="K104" s="89">
        <f>IF(OR($G104="",$H104="",NOT(ISNUMBER($I104))),"",ROUND($H104*$I104*(1+IF($J104="",Setup!$B$16,$J104)),2))</f>
        <v/>
      </c>
      <c r="L104" s="89">
        <f>IF($K104="","",ROUND($K104*Setup!$B$13,2))</f>
        <v/>
      </c>
      <c r="M104" s="89">
        <f>IF($K104="","",$K104-$L104)</f>
        <v/>
      </c>
      <c r="N104" s="89">
        <f>IF(OR($M104="",$D104=""),"",ROUND($M104*IFERROR(IF(VLOOKUP($D104,Setup!$A$76:$C$87,3,FALSE)="",Setup!$B$14,VLOOKUP($D104,Setup!$A$76:$C$87,3,FALSE)),Setup!$B$14),2))</f>
        <v/>
      </c>
      <c r="O104" s="89">
        <f>IF(OR($M104="",$E104=""),"",ROUND($M104*IFERROR(IF(VLOOKUP($E104,Setup!$A$76:$C$87,3,FALSE)="",Setup!$B$15,VLOOKUP($E104,Setup!$A$76:$C$87,3,FALSE)),Setup!$B$15),2))</f>
        <v/>
      </c>
      <c r="P104" s="98" t="n"/>
      <c r="Q104" s="98" t="n"/>
      <c r="R104" s="98" t="n"/>
      <c r="S104" s="98" t="n"/>
      <c r="T104" s="98" t="n"/>
      <c r="U104" s="89">
        <f>IF($K104="","",SUM($R104:$T104))</f>
        <v/>
      </c>
      <c r="V104" s="89">
        <f>IF($K104="","",$M104-(N($N104)+N($O104)+IF($P104="",Setup!$B$17,$P104)+N($Q104))-N($U104))</f>
        <v/>
      </c>
      <c r="W104" s="94" t="n"/>
      <c r="X104" s="95" t="n"/>
      <c r="Z104" s="92">
        <f>IF($A104="","",DATE(YEAR($A104),MONTH($A104),1))</f>
        <v/>
      </c>
    </row>
    <row r="105">
      <c r="A105" s="85" t="n"/>
      <c r="B105" s="86" t="n"/>
      <c r="C105" s="86" t="n"/>
      <c r="D105" s="87" t="n"/>
      <c r="E105" s="87" t="n"/>
      <c r="F105" s="87" t="n"/>
      <c r="G105" s="87" t="n"/>
      <c r="H105" s="88" t="n"/>
      <c r="I105" s="89">
        <f>IF($G105="","",IF($F105="",IFERROR(INDEX(Setup!$C$21:$C$60,MATCH("|"&amp;UPPER(TRIM($G105)),Setup!$Q$21:$Q$60,0)),"NO RATE"),IFERROR(INDEX(Setup!$C$21:$C$60,MATCH(UPPER(TRIM($F105))&amp;"|"&amp;UPPER(TRIM($G105)),Setup!$P$21:$P$60,0)),IFERROR(INDEX(Setup!$C$21:$C$60,MATCH(UPPER(TRIM($G105))&amp;"|"&amp;UPPER(TRIM($F105)),Setup!$P$21:$P$60,0)),"NO RATE"))))</f>
        <v/>
      </c>
      <c r="J105" s="90" t="n"/>
      <c r="K105" s="89">
        <f>IF(OR($G105="",$H105="",NOT(ISNUMBER($I105))),"",ROUND($H105*$I105*(1+IF($J105="",Setup!$B$16,$J105)),2))</f>
        <v/>
      </c>
      <c r="L105" s="89">
        <f>IF($K105="","",ROUND($K105*Setup!$B$13,2))</f>
        <v/>
      </c>
      <c r="M105" s="89">
        <f>IF($K105="","",$K105-$L105)</f>
        <v/>
      </c>
      <c r="N105" s="89">
        <f>IF(OR($M105="",$D105=""),"",ROUND($M105*IFERROR(IF(VLOOKUP($D105,Setup!$A$76:$C$87,3,FALSE)="",Setup!$B$14,VLOOKUP($D105,Setup!$A$76:$C$87,3,FALSE)),Setup!$B$14),2))</f>
        <v/>
      </c>
      <c r="O105" s="89">
        <f>IF(OR($M105="",$E105=""),"",ROUND($M105*IFERROR(IF(VLOOKUP($E105,Setup!$A$76:$C$87,3,FALSE)="",Setup!$B$15,VLOOKUP($E105,Setup!$A$76:$C$87,3,FALSE)),Setup!$B$15),2))</f>
        <v/>
      </c>
      <c r="P105" s="91" t="n"/>
      <c r="Q105" s="91" t="n"/>
      <c r="R105" s="91" t="n"/>
      <c r="S105" s="91" t="n"/>
      <c r="T105" s="91" t="n"/>
      <c r="U105" s="89">
        <f>IF($K105="","",SUM($R105:$T105))</f>
        <v/>
      </c>
      <c r="V105" s="89">
        <f>IF($K105="","",$M105-(N($N105)+N($O105)+IF($P105="",Setup!$B$17,$P105)+N($Q105))-N($U105))</f>
        <v/>
      </c>
      <c r="W105" s="86" t="n"/>
      <c r="X105" s="87" t="n"/>
      <c r="Z105" s="92">
        <f>IF($A105="","",DATE(YEAR($A105),MONTH($A105),1))</f>
        <v/>
      </c>
    </row>
    <row r="106">
      <c r="A106" s="93" t="n"/>
      <c r="B106" s="94" t="n"/>
      <c r="C106" s="94" t="n"/>
      <c r="D106" s="95" t="n"/>
      <c r="E106" s="95" t="n"/>
      <c r="F106" s="95" t="n"/>
      <c r="G106" s="95" t="n"/>
      <c r="H106" s="96" t="n"/>
      <c r="I106" s="89">
        <f>IF($G106="","",IF($F106="",IFERROR(INDEX(Setup!$C$21:$C$60,MATCH("|"&amp;UPPER(TRIM($G106)),Setup!$Q$21:$Q$60,0)),"NO RATE"),IFERROR(INDEX(Setup!$C$21:$C$60,MATCH(UPPER(TRIM($F106))&amp;"|"&amp;UPPER(TRIM($G106)),Setup!$P$21:$P$60,0)),IFERROR(INDEX(Setup!$C$21:$C$60,MATCH(UPPER(TRIM($G106))&amp;"|"&amp;UPPER(TRIM($F106)),Setup!$P$21:$P$60,0)),"NO RATE"))))</f>
        <v/>
      </c>
      <c r="J106" s="97" t="n"/>
      <c r="K106" s="89">
        <f>IF(OR($G106="",$H106="",NOT(ISNUMBER($I106))),"",ROUND($H106*$I106*(1+IF($J106="",Setup!$B$16,$J106)),2))</f>
        <v/>
      </c>
      <c r="L106" s="89">
        <f>IF($K106="","",ROUND($K106*Setup!$B$13,2))</f>
        <v/>
      </c>
      <c r="M106" s="89">
        <f>IF($K106="","",$K106-$L106)</f>
        <v/>
      </c>
      <c r="N106" s="89">
        <f>IF(OR($M106="",$D106=""),"",ROUND($M106*IFERROR(IF(VLOOKUP($D106,Setup!$A$76:$C$87,3,FALSE)="",Setup!$B$14,VLOOKUP($D106,Setup!$A$76:$C$87,3,FALSE)),Setup!$B$14),2))</f>
        <v/>
      </c>
      <c r="O106" s="89">
        <f>IF(OR($M106="",$E106=""),"",ROUND($M106*IFERROR(IF(VLOOKUP($E106,Setup!$A$76:$C$87,3,FALSE)="",Setup!$B$15,VLOOKUP($E106,Setup!$A$76:$C$87,3,FALSE)),Setup!$B$15),2))</f>
        <v/>
      </c>
      <c r="P106" s="98" t="n"/>
      <c r="Q106" s="98" t="n"/>
      <c r="R106" s="98" t="n"/>
      <c r="S106" s="98" t="n"/>
      <c r="T106" s="98" t="n"/>
      <c r="U106" s="89">
        <f>IF($K106="","",SUM($R106:$T106))</f>
        <v/>
      </c>
      <c r="V106" s="89">
        <f>IF($K106="","",$M106-(N($N106)+N($O106)+IF($P106="",Setup!$B$17,$P106)+N($Q106))-N($U106))</f>
        <v/>
      </c>
      <c r="W106" s="94" t="n"/>
      <c r="X106" s="95" t="n"/>
      <c r="Z106" s="92">
        <f>IF($A106="","",DATE(YEAR($A106),MONTH($A106),1))</f>
        <v/>
      </c>
    </row>
    <row r="107">
      <c r="A107" s="85" t="n"/>
      <c r="B107" s="86" t="n"/>
      <c r="C107" s="86" t="n"/>
      <c r="D107" s="87" t="n"/>
      <c r="E107" s="87" t="n"/>
      <c r="F107" s="87" t="n"/>
      <c r="G107" s="87" t="n"/>
      <c r="H107" s="88" t="n"/>
      <c r="I107" s="89">
        <f>IF($G107="","",IF($F107="",IFERROR(INDEX(Setup!$C$21:$C$60,MATCH("|"&amp;UPPER(TRIM($G107)),Setup!$Q$21:$Q$60,0)),"NO RATE"),IFERROR(INDEX(Setup!$C$21:$C$60,MATCH(UPPER(TRIM($F107))&amp;"|"&amp;UPPER(TRIM($G107)),Setup!$P$21:$P$60,0)),IFERROR(INDEX(Setup!$C$21:$C$60,MATCH(UPPER(TRIM($G107))&amp;"|"&amp;UPPER(TRIM($F107)),Setup!$P$21:$P$60,0)),"NO RATE"))))</f>
        <v/>
      </c>
      <c r="J107" s="90" t="n"/>
      <c r="K107" s="89">
        <f>IF(OR($G107="",$H107="",NOT(ISNUMBER($I107))),"",ROUND($H107*$I107*(1+IF($J107="",Setup!$B$16,$J107)),2))</f>
        <v/>
      </c>
      <c r="L107" s="89">
        <f>IF($K107="","",ROUND($K107*Setup!$B$13,2))</f>
        <v/>
      </c>
      <c r="M107" s="89">
        <f>IF($K107="","",$K107-$L107)</f>
        <v/>
      </c>
      <c r="N107" s="89">
        <f>IF(OR($M107="",$D107=""),"",ROUND($M107*IFERROR(IF(VLOOKUP($D107,Setup!$A$76:$C$87,3,FALSE)="",Setup!$B$14,VLOOKUP($D107,Setup!$A$76:$C$87,3,FALSE)),Setup!$B$14),2))</f>
        <v/>
      </c>
      <c r="O107" s="89">
        <f>IF(OR($M107="",$E107=""),"",ROUND($M107*IFERROR(IF(VLOOKUP($E107,Setup!$A$76:$C$87,3,FALSE)="",Setup!$B$15,VLOOKUP($E107,Setup!$A$76:$C$87,3,FALSE)),Setup!$B$15),2))</f>
        <v/>
      </c>
      <c r="P107" s="91" t="n"/>
      <c r="Q107" s="91" t="n"/>
      <c r="R107" s="91" t="n"/>
      <c r="S107" s="91" t="n"/>
      <c r="T107" s="91" t="n"/>
      <c r="U107" s="89">
        <f>IF($K107="","",SUM($R107:$T107))</f>
        <v/>
      </c>
      <c r="V107" s="89">
        <f>IF($K107="","",$M107-(N($N107)+N($O107)+IF($P107="",Setup!$B$17,$P107)+N($Q107))-N($U107))</f>
        <v/>
      </c>
      <c r="W107" s="86" t="n"/>
      <c r="X107" s="87" t="n"/>
      <c r="Z107" s="92">
        <f>IF($A107="","",DATE(YEAR($A107),MONTH($A107),1))</f>
        <v/>
      </c>
    </row>
    <row r="108">
      <c r="A108" s="93" t="n"/>
      <c r="B108" s="94" t="n"/>
      <c r="C108" s="94" t="n"/>
      <c r="D108" s="95" t="n"/>
      <c r="E108" s="95" t="n"/>
      <c r="F108" s="95" t="n"/>
      <c r="G108" s="95" t="n"/>
      <c r="H108" s="96" t="n"/>
      <c r="I108" s="89">
        <f>IF($G108="","",IF($F108="",IFERROR(INDEX(Setup!$C$21:$C$60,MATCH("|"&amp;UPPER(TRIM($G108)),Setup!$Q$21:$Q$60,0)),"NO RATE"),IFERROR(INDEX(Setup!$C$21:$C$60,MATCH(UPPER(TRIM($F108))&amp;"|"&amp;UPPER(TRIM($G108)),Setup!$P$21:$P$60,0)),IFERROR(INDEX(Setup!$C$21:$C$60,MATCH(UPPER(TRIM($G108))&amp;"|"&amp;UPPER(TRIM($F108)),Setup!$P$21:$P$60,0)),"NO RATE"))))</f>
        <v/>
      </c>
      <c r="J108" s="97" t="n"/>
      <c r="K108" s="89">
        <f>IF(OR($G108="",$H108="",NOT(ISNUMBER($I108))),"",ROUND($H108*$I108*(1+IF($J108="",Setup!$B$16,$J108)),2))</f>
        <v/>
      </c>
      <c r="L108" s="89">
        <f>IF($K108="","",ROUND($K108*Setup!$B$13,2))</f>
        <v/>
      </c>
      <c r="M108" s="89">
        <f>IF($K108="","",$K108-$L108)</f>
        <v/>
      </c>
      <c r="N108" s="89">
        <f>IF(OR($M108="",$D108=""),"",ROUND($M108*IFERROR(IF(VLOOKUP($D108,Setup!$A$76:$C$87,3,FALSE)="",Setup!$B$14,VLOOKUP($D108,Setup!$A$76:$C$87,3,FALSE)),Setup!$B$14),2))</f>
        <v/>
      </c>
      <c r="O108" s="89">
        <f>IF(OR($M108="",$E108=""),"",ROUND($M108*IFERROR(IF(VLOOKUP($E108,Setup!$A$76:$C$87,3,FALSE)="",Setup!$B$15,VLOOKUP($E108,Setup!$A$76:$C$87,3,FALSE)),Setup!$B$15),2))</f>
        <v/>
      </c>
      <c r="P108" s="98" t="n"/>
      <c r="Q108" s="98" t="n"/>
      <c r="R108" s="98" t="n"/>
      <c r="S108" s="98" t="n"/>
      <c r="T108" s="98" t="n"/>
      <c r="U108" s="89">
        <f>IF($K108="","",SUM($R108:$T108))</f>
        <v/>
      </c>
      <c r="V108" s="89">
        <f>IF($K108="","",$M108-(N($N108)+N($O108)+IF($P108="",Setup!$B$17,$P108)+N($Q108))-N($U108))</f>
        <v/>
      </c>
      <c r="W108" s="94" t="n"/>
      <c r="X108" s="95" t="n"/>
      <c r="Z108" s="92">
        <f>IF($A108="","",DATE(YEAR($A108),MONTH($A108),1))</f>
        <v/>
      </c>
    </row>
    <row r="109">
      <c r="A109" s="85" t="n"/>
      <c r="B109" s="86" t="n"/>
      <c r="C109" s="86" t="n"/>
      <c r="D109" s="87" t="n"/>
      <c r="E109" s="87" t="n"/>
      <c r="F109" s="87" t="n"/>
      <c r="G109" s="87" t="n"/>
      <c r="H109" s="88" t="n"/>
      <c r="I109" s="89">
        <f>IF($G109="","",IF($F109="",IFERROR(INDEX(Setup!$C$21:$C$60,MATCH("|"&amp;UPPER(TRIM($G109)),Setup!$Q$21:$Q$60,0)),"NO RATE"),IFERROR(INDEX(Setup!$C$21:$C$60,MATCH(UPPER(TRIM($F109))&amp;"|"&amp;UPPER(TRIM($G109)),Setup!$P$21:$P$60,0)),IFERROR(INDEX(Setup!$C$21:$C$60,MATCH(UPPER(TRIM($G109))&amp;"|"&amp;UPPER(TRIM($F109)),Setup!$P$21:$P$60,0)),"NO RATE"))))</f>
        <v/>
      </c>
      <c r="J109" s="90" t="n"/>
      <c r="K109" s="89">
        <f>IF(OR($G109="",$H109="",NOT(ISNUMBER($I109))),"",ROUND($H109*$I109*(1+IF($J109="",Setup!$B$16,$J109)),2))</f>
        <v/>
      </c>
      <c r="L109" s="89">
        <f>IF($K109="","",ROUND($K109*Setup!$B$13,2))</f>
        <v/>
      </c>
      <c r="M109" s="89">
        <f>IF($K109="","",$K109-$L109)</f>
        <v/>
      </c>
      <c r="N109" s="89">
        <f>IF(OR($M109="",$D109=""),"",ROUND($M109*IFERROR(IF(VLOOKUP($D109,Setup!$A$76:$C$87,3,FALSE)="",Setup!$B$14,VLOOKUP($D109,Setup!$A$76:$C$87,3,FALSE)),Setup!$B$14),2))</f>
        <v/>
      </c>
      <c r="O109" s="89">
        <f>IF(OR($M109="",$E109=""),"",ROUND($M109*IFERROR(IF(VLOOKUP($E109,Setup!$A$76:$C$87,3,FALSE)="",Setup!$B$15,VLOOKUP($E109,Setup!$A$76:$C$87,3,FALSE)),Setup!$B$15),2))</f>
        <v/>
      </c>
      <c r="P109" s="91" t="n"/>
      <c r="Q109" s="91" t="n"/>
      <c r="R109" s="91" t="n"/>
      <c r="S109" s="91" t="n"/>
      <c r="T109" s="91" t="n"/>
      <c r="U109" s="89">
        <f>IF($K109="","",SUM($R109:$T109))</f>
        <v/>
      </c>
      <c r="V109" s="89">
        <f>IF($K109="","",$M109-(N($N109)+N($O109)+IF($P109="",Setup!$B$17,$P109)+N($Q109))-N($U109))</f>
        <v/>
      </c>
      <c r="W109" s="86" t="n"/>
      <c r="X109" s="87" t="n"/>
      <c r="Z109" s="92">
        <f>IF($A109="","",DATE(YEAR($A109),MONTH($A109),1))</f>
        <v/>
      </c>
    </row>
    <row r="110">
      <c r="A110" s="93" t="n"/>
      <c r="B110" s="94" t="n"/>
      <c r="C110" s="94" t="n"/>
      <c r="D110" s="95" t="n"/>
      <c r="E110" s="95" t="n"/>
      <c r="F110" s="95" t="n"/>
      <c r="G110" s="95" t="n"/>
      <c r="H110" s="96" t="n"/>
      <c r="I110" s="89">
        <f>IF($G110="","",IF($F110="",IFERROR(INDEX(Setup!$C$21:$C$60,MATCH("|"&amp;UPPER(TRIM($G110)),Setup!$Q$21:$Q$60,0)),"NO RATE"),IFERROR(INDEX(Setup!$C$21:$C$60,MATCH(UPPER(TRIM($F110))&amp;"|"&amp;UPPER(TRIM($G110)),Setup!$P$21:$P$60,0)),IFERROR(INDEX(Setup!$C$21:$C$60,MATCH(UPPER(TRIM($G110))&amp;"|"&amp;UPPER(TRIM($F110)),Setup!$P$21:$P$60,0)),"NO RATE"))))</f>
        <v/>
      </c>
      <c r="J110" s="97" t="n"/>
      <c r="K110" s="89">
        <f>IF(OR($G110="",$H110="",NOT(ISNUMBER($I110))),"",ROUND($H110*$I110*(1+IF($J110="",Setup!$B$16,$J110)),2))</f>
        <v/>
      </c>
      <c r="L110" s="89">
        <f>IF($K110="","",ROUND($K110*Setup!$B$13,2))</f>
        <v/>
      </c>
      <c r="M110" s="89">
        <f>IF($K110="","",$K110-$L110)</f>
        <v/>
      </c>
      <c r="N110" s="89">
        <f>IF(OR($M110="",$D110=""),"",ROUND($M110*IFERROR(IF(VLOOKUP($D110,Setup!$A$76:$C$87,3,FALSE)="",Setup!$B$14,VLOOKUP($D110,Setup!$A$76:$C$87,3,FALSE)),Setup!$B$14),2))</f>
        <v/>
      </c>
      <c r="O110" s="89">
        <f>IF(OR($M110="",$E110=""),"",ROUND($M110*IFERROR(IF(VLOOKUP($E110,Setup!$A$76:$C$87,3,FALSE)="",Setup!$B$15,VLOOKUP($E110,Setup!$A$76:$C$87,3,FALSE)),Setup!$B$15),2))</f>
        <v/>
      </c>
      <c r="P110" s="98" t="n"/>
      <c r="Q110" s="98" t="n"/>
      <c r="R110" s="98" t="n"/>
      <c r="S110" s="98" t="n"/>
      <c r="T110" s="98" t="n"/>
      <c r="U110" s="89">
        <f>IF($K110="","",SUM($R110:$T110))</f>
        <v/>
      </c>
      <c r="V110" s="89">
        <f>IF($K110="","",$M110-(N($N110)+N($O110)+IF($P110="",Setup!$B$17,$P110)+N($Q110))-N($U110))</f>
        <v/>
      </c>
      <c r="W110" s="94" t="n"/>
      <c r="X110" s="95" t="n"/>
      <c r="Z110" s="92">
        <f>IF($A110="","",DATE(YEAR($A110),MONTH($A110),1))</f>
        <v/>
      </c>
    </row>
    <row r="111">
      <c r="A111" s="85" t="n"/>
      <c r="B111" s="86" t="n"/>
      <c r="C111" s="86" t="n"/>
      <c r="D111" s="87" t="n"/>
      <c r="E111" s="87" t="n"/>
      <c r="F111" s="87" t="n"/>
      <c r="G111" s="87" t="n"/>
      <c r="H111" s="88" t="n"/>
      <c r="I111" s="89">
        <f>IF($G111="","",IF($F111="",IFERROR(INDEX(Setup!$C$21:$C$60,MATCH("|"&amp;UPPER(TRIM($G111)),Setup!$Q$21:$Q$60,0)),"NO RATE"),IFERROR(INDEX(Setup!$C$21:$C$60,MATCH(UPPER(TRIM($F111))&amp;"|"&amp;UPPER(TRIM($G111)),Setup!$P$21:$P$60,0)),IFERROR(INDEX(Setup!$C$21:$C$60,MATCH(UPPER(TRIM($G111))&amp;"|"&amp;UPPER(TRIM($F111)),Setup!$P$21:$P$60,0)),"NO RATE"))))</f>
        <v/>
      </c>
      <c r="J111" s="90" t="n"/>
      <c r="K111" s="89">
        <f>IF(OR($G111="",$H111="",NOT(ISNUMBER($I111))),"",ROUND($H111*$I111*(1+IF($J111="",Setup!$B$16,$J111)),2))</f>
        <v/>
      </c>
      <c r="L111" s="89">
        <f>IF($K111="","",ROUND($K111*Setup!$B$13,2))</f>
        <v/>
      </c>
      <c r="M111" s="89">
        <f>IF($K111="","",$K111-$L111)</f>
        <v/>
      </c>
      <c r="N111" s="89">
        <f>IF(OR($M111="",$D111=""),"",ROUND($M111*IFERROR(IF(VLOOKUP($D111,Setup!$A$76:$C$87,3,FALSE)="",Setup!$B$14,VLOOKUP($D111,Setup!$A$76:$C$87,3,FALSE)),Setup!$B$14),2))</f>
        <v/>
      </c>
      <c r="O111" s="89">
        <f>IF(OR($M111="",$E111=""),"",ROUND($M111*IFERROR(IF(VLOOKUP($E111,Setup!$A$76:$C$87,3,FALSE)="",Setup!$B$15,VLOOKUP($E111,Setup!$A$76:$C$87,3,FALSE)),Setup!$B$15),2))</f>
        <v/>
      </c>
      <c r="P111" s="91" t="n"/>
      <c r="Q111" s="91" t="n"/>
      <c r="R111" s="91" t="n"/>
      <c r="S111" s="91" t="n"/>
      <c r="T111" s="91" t="n"/>
      <c r="U111" s="89">
        <f>IF($K111="","",SUM($R111:$T111))</f>
        <v/>
      </c>
      <c r="V111" s="89">
        <f>IF($K111="","",$M111-(N($N111)+N($O111)+IF($P111="",Setup!$B$17,$P111)+N($Q111))-N($U111))</f>
        <v/>
      </c>
      <c r="W111" s="86" t="n"/>
      <c r="X111" s="87" t="n"/>
      <c r="Z111" s="92">
        <f>IF($A111="","",DATE(YEAR($A111),MONTH($A111),1))</f>
        <v/>
      </c>
    </row>
    <row r="112">
      <c r="A112" s="93" t="n"/>
      <c r="B112" s="94" t="n"/>
      <c r="C112" s="94" t="n"/>
      <c r="D112" s="95" t="n"/>
      <c r="E112" s="95" t="n"/>
      <c r="F112" s="95" t="n"/>
      <c r="G112" s="95" t="n"/>
      <c r="H112" s="96" t="n"/>
      <c r="I112" s="89">
        <f>IF($G112="","",IF($F112="",IFERROR(INDEX(Setup!$C$21:$C$60,MATCH("|"&amp;UPPER(TRIM($G112)),Setup!$Q$21:$Q$60,0)),"NO RATE"),IFERROR(INDEX(Setup!$C$21:$C$60,MATCH(UPPER(TRIM($F112))&amp;"|"&amp;UPPER(TRIM($G112)),Setup!$P$21:$P$60,0)),IFERROR(INDEX(Setup!$C$21:$C$60,MATCH(UPPER(TRIM($G112))&amp;"|"&amp;UPPER(TRIM($F112)),Setup!$P$21:$P$60,0)),"NO RATE"))))</f>
        <v/>
      </c>
      <c r="J112" s="97" t="n"/>
      <c r="K112" s="89">
        <f>IF(OR($G112="",$H112="",NOT(ISNUMBER($I112))),"",ROUND($H112*$I112*(1+IF($J112="",Setup!$B$16,$J112)),2))</f>
        <v/>
      </c>
      <c r="L112" s="89">
        <f>IF($K112="","",ROUND($K112*Setup!$B$13,2))</f>
        <v/>
      </c>
      <c r="M112" s="89">
        <f>IF($K112="","",$K112-$L112)</f>
        <v/>
      </c>
      <c r="N112" s="89">
        <f>IF(OR($M112="",$D112=""),"",ROUND($M112*IFERROR(IF(VLOOKUP($D112,Setup!$A$76:$C$87,3,FALSE)="",Setup!$B$14,VLOOKUP($D112,Setup!$A$76:$C$87,3,FALSE)),Setup!$B$14),2))</f>
        <v/>
      </c>
      <c r="O112" s="89">
        <f>IF(OR($M112="",$E112=""),"",ROUND($M112*IFERROR(IF(VLOOKUP($E112,Setup!$A$76:$C$87,3,FALSE)="",Setup!$B$15,VLOOKUP($E112,Setup!$A$76:$C$87,3,FALSE)),Setup!$B$15),2))</f>
        <v/>
      </c>
      <c r="P112" s="98" t="n"/>
      <c r="Q112" s="98" t="n"/>
      <c r="R112" s="98" t="n"/>
      <c r="S112" s="98" t="n"/>
      <c r="T112" s="98" t="n"/>
      <c r="U112" s="89">
        <f>IF($K112="","",SUM($R112:$T112))</f>
        <v/>
      </c>
      <c r="V112" s="89">
        <f>IF($K112="","",$M112-(N($N112)+N($O112)+IF($P112="",Setup!$B$17,$P112)+N($Q112))-N($U112))</f>
        <v/>
      </c>
      <c r="W112" s="94" t="n"/>
      <c r="X112" s="95" t="n"/>
      <c r="Z112" s="92">
        <f>IF($A112="","",DATE(YEAR($A112),MONTH($A112),1))</f>
        <v/>
      </c>
    </row>
    <row r="113">
      <c r="A113" s="85" t="n"/>
      <c r="B113" s="86" t="n"/>
      <c r="C113" s="86" t="n"/>
      <c r="D113" s="87" t="n"/>
      <c r="E113" s="87" t="n"/>
      <c r="F113" s="87" t="n"/>
      <c r="G113" s="87" t="n"/>
      <c r="H113" s="88" t="n"/>
      <c r="I113" s="89">
        <f>IF($G113="","",IF($F113="",IFERROR(INDEX(Setup!$C$21:$C$60,MATCH("|"&amp;UPPER(TRIM($G113)),Setup!$Q$21:$Q$60,0)),"NO RATE"),IFERROR(INDEX(Setup!$C$21:$C$60,MATCH(UPPER(TRIM($F113))&amp;"|"&amp;UPPER(TRIM($G113)),Setup!$P$21:$P$60,0)),IFERROR(INDEX(Setup!$C$21:$C$60,MATCH(UPPER(TRIM($G113))&amp;"|"&amp;UPPER(TRIM($F113)),Setup!$P$21:$P$60,0)),"NO RATE"))))</f>
        <v/>
      </c>
      <c r="J113" s="90" t="n"/>
      <c r="K113" s="89">
        <f>IF(OR($G113="",$H113="",NOT(ISNUMBER($I113))),"",ROUND($H113*$I113*(1+IF($J113="",Setup!$B$16,$J113)),2))</f>
        <v/>
      </c>
      <c r="L113" s="89">
        <f>IF($K113="","",ROUND($K113*Setup!$B$13,2))</f>
        <v/>
      </c>
      <c r="M113" s="89">
        <f>IF($K113="","",$K113-$L113)</f>
        <v/>
      </c>
      <c r="N113" s="89">
        <f>IF(OR($M113="",$D113=""),"",ROUND($M113*IFERROR(IF(VLOOKUP($D113,Setup!$A$76:$C$87,3,FALSE)="",Setup!$B$14,VLOOKUP($D113,Setup!$A$76:$C$87,3,FALSE)),Setup!$B$14),2))</f>
        <v/>
      </c>
      <c r="O113" s="89">
        <f>IF(OR($M113="",$E113=""),"",ROUND($M113*IFERROR(IF(VLOOKUP($E113,Setup!$A$76:$C$87,3,FALSE)="",Setup!$B$15,VLOOKUP($E113,Setup!$A$76:$C$87,3,FALSE)),Setup!$B$15),2))</f>
        <v/>
      </c>
      <c r="P113" s="91" t="n"/>
      <c r="Q113" s="91" t="n"/>
      <c r="R113" s="91" t="n"/>
      <c r="S113" s="91" t="n"/>
      <c r="T113" s="91" t="n"/>
      <c r="U113" s="89">
        <f>IF($K113="","",SUM($R113:$T113))</f>
        <v/>
      </c>
      <c r="V113" s="89">
        <f>IF($K113="","",$M113-(N($N113)+N($O113)+IF($P113="",Setup!$B$17,$P113)+N($Q113))-N($U113))</f>
        <v/>
      </c>
      <c r="W113" s="86" t="n"/>
      <c r="X113" s="87" t="n"/>
      <c r="Z113" s="92">
        <f>IF($A113="","",DATE(YEAR($A113),MONTH($A113),1))</f>
        <v/>
      </c>
    </row>
    <row r="114">
      <c r="A114" s="93" t="n"/>
      <c r="B114" s="94" t="n"/>
      <c r="C114" s="94" t="n"/>
      <c r="D114" s="95" t="n"/>
      <c r="E114" s="95" t="n"/>
      <c r="F114" s="95" t="n"/>
      <c r="G114" s="95" t="n"/>
      <c r="H114" s="96" t="n"/>
      <c r="I114" s="89">
        <f>IF($G114="","",IF($F114="",IFERROR(INDEX(Setup!$C$21:$C$60,MATCH("|"&amp;UPPER(TRIM($G114)),Setup!$Q$21:$Q$60,0)),"NO RATE"),IFERROR(INDEX(Setup!$C$21:$C$60,MATCH(UPPER(TRIM($F114))&amp;"|"&amp;UPPER(TRIM($G114)),Setup!$P$21:$P$60,0)),IFERROR(INDEX(Setup!$C$21:$C$60,MATCH(UPPER(TRIM($G114))&amp;"|"&amp;UPPER(TRIM($F114)),Setup!$P$21:$P$60,0)),"NO RATE"))))</f>
        <v/>
      </c>
      <c r="J114" s="97" t="n"/>
      <c r="K114" s="89">
        <f>IF(OR($G114="",$H114="",NOT(ISNUMBER($I114))),"",ROUND($H114*$I114*(1+IF($J114="",Setup!$B$16,$J114)),2))</f>
        <v/>
      </c>
      <c r="L114" s="89">
        <f>IF($K114="","",ROUND($K114*Setup!$B$13,2))</f>
        <v/>
      </c>
      <c r="M114" s="89">
        <f>IF($K114="","",$K114-$L114)</f>
        <v/>
      </c>
      <c r="N114" s="89">
        <f>IF(OR($M114="",$D114=""),"",ROUND($M114*IFERROR(IF(VLOOKUP($D114,Setup!$A$76:$C$87,3,FALSE)="",Setup!$B$14,VLOOKUP($D114,Setup!$A$76:$C$87,3,FALSE)),Setup!$B$14),2))</f>
        <v/>
      </c>
      <c r="O114" s="89">
        <f>IF(OR($M114="",$E114=""),"",ROUND($M114*IFERROR(IF(VLOOKUP($E114,Setup!$A$76:$C$87,3,FALSE)="",Setup!$B$15,VLOOKUP($E114,Setup!$A$76:$C$87,3,FALSE)),Setup!$B$15),2))</f>
        <v/>
      </c>
      <c r="P114" s="98" t="n"/>
      <c r="Q114" s="98" t="n"/>
      <c r="R114" s="98" t="n"/>
      <c r="S114" s="98" t="n"/>
      <c r="T114" s="98" t="n"/>
      <c r="U114" s="89">
        <f>IF($K114="","",SUM($R114:$T114))</f>
        <v/>
      </c>
      <c r="V114" s="89">
        <f>IF($K114="","",$M114-(N($N114)+N($O114)+IF($P114="",Setup!$B$17,$P114)+N($Q114))-N($U114))</f>
        <v/>
      </c>
      <c r="W114" s="94" t="n"/>
      <c r="X114" s="95" t="n"/>
      <c r="Z114" s="92">
        <f>IF($A114="","",DATE(YEAR($A114),MONTH($A114),1))</f>
        <v/>
      </c>
    </row>
    <row r="115">
      <c r="A115" s="85" t="n"/>
      <c r="B115" s="86" t="n"/>
      <c r="C115" s="86" t="n"/>
      <c r="D115" s="87" t="n"/>
      <c r="E115" s="87" t="n"/>
      <c r="F115" s="87" t="n"/>
      <c r="G115" s="87" t="n"/>
      <c r="H115" s="88" t="n"/>
      <c r="I115" s="89">
        <f>IF($G115="","",IF($F115="",IFERROR(INDEX(Setup!$C$21:$C$60,MATCH("|"&amp;UPPER(TRIM($G115)),Setup!$Q$21:$Q$60,0)),"NO RATE"),IFERROR(INDEX(Setup!$C$21:$C$60,MATCH(UPPER(TRIM($F115))&amp;"|"&amp;UPPER(TRIM($G115)),Setup!$P$21:$P$60,0)),IFERROR(INDEX(Setup!$C$21:$C$60,MATCH(UPPER(TRIM($G115))&amp;"|"&amp;UPPER(TRIM($F115)),Setup!$P$21:$P$60,0)),"NO RATE"))))</f>
        <v/>
      </c>
      <c r="J115" s="90" t="n"/>
      <c r="K115" s="89">
        <f>IF(OR($G115="",$H115="",NOT(ISNUMBER($I115))),"",ROUND($H115*$I115*(1+IF($J115="",Setup!$B$16,$J115)),2))</f>
        <v/>
      </c>
      <c r="L115" s="89">
        <f>IF($K115="","",ROUND($K115*Setup!$B$13,2))</f>
        <v/>
      </c>
      <c r="M115" s="89">
        <f>IF($K115="","",$K115-$L115)</f>
        <v/>
      </c>
      <c r="N115" s="89">
        <f>IF(OR($M115="",$D115=""),"",ROUND($M115*IFERROR(IF(VLOOKUP($D115,Setup!$A$76:$C$87,3,FALSE)="",Setup!$B$14,VLOOKUP($D115,Setup!$A$76:$C$87,3,FALSE)),Setup!$B$14),2))</f>
        <v/>
      </c>
      <c r="O115" s="89">
        <f>IF(OR($M115="",$E115=""),"",ROUND($M115*IFERROR(IF(VLOOKUP($E115,Setup!$A$76:$C$87,3,FALSE)="",Setup!$B$15,VLOOKUP($E115,Setup!$A$76:$C$87,3,FALSE)),Setup!$B$15),2))</f>
        <v/>
      </c>
      <c r="P115" s="91" t="n"/>
      <c r="Q115" s="91" t="n"/>
      <c r="R115" s="91" t="n"/>
      <c r="S115" s="91" t="n"/>
      <c r="T115" s="91" t="n"/>
      <c r="U115" s="89">
        <f>IF($K115="","",SUM($R115:$T115))</f>
        <v/>
      </c>
      <c r="V115" s="89">
        <f>IF($K115="","",$M115-(N($N115)+N($O115)+IF($P115="",Setup!$B$17,$P115)+N($Q115))-N($U115))</f>
        <v/>
      </c>
      <c r="W115" s="86" t="n"/>
      <c r="X115" s="87" t="n"/>
      <c r="Z115" s="92">
        <f>IF($A115="","",DATE(YEAR($A115),MONTH($A115),1))</f>
        <v/>
      </c>
    </row>
    <row r="116">
      <c r="A116" s="93" t="n"/>
      <c r="B116" s="94" t="n"/>
      <c r="C116" s="94" t="n"/>
      <c r="D116" s="95" t="n"/>
      <c r="E116" s="95" t="n"/>
      <c r="F116" s="95" t="n"/>
      <c r="G116" s="95" t="n"/>
      <c r="H116" s="96" t="n"/>
      <c r="I116" s="89">
        <f>IF($G116="","",IF($F116="",IFERROR(INDEX(Setup!$C$21:$C$60,MATCH("|"&amp;UPPER(TRIM($G116)),Setup!$Q$21:$Q$60,0)),"NO RATE"),IFERROR(INDEX(Setup!$C$21:$C$60,MATCH(UPPER(TRIM($F116))&amp;"|"&amp;UPPER(TRIM($G116)),Setup!$P$21:$P$60,0)),IFERROR(INDEX(Setup!$C$21:$C$60,MATCH(UPPER(TRIM($G116))&amp;"|"&amp;UPPER(TRIM($F116)),Setup!$P$21:$P$60,0)),"NO RATE"))))</f>
        <v/>
      </c>
      <c r="J116" s="97" t="n"/>
      <c r="K116" s="89">
        <f>IF(OR($G116="",$H116="",NOT(ISNUMBER($I116))),"",ROUND($H116*$I116*(1+IF($J116="",Setup!$B$16,$J116)),2))</f>
        <v/>
      </c>
      <c r="L116" s="89">
        <f>IF($K116="","",ROUND($K116*Setup!$B$13,2))</f>
        <v/>
      </c>
      <c r="M116" s="89">
        <f>IF($K116="","",$K116-$L116)</f>
        <v/>
      </c>
      <c r="N116" s="89">
        <f>IF(OR($M116="",$D116=""),"",ROUND($M116*IFERROR(IF(VLOOKUP($D116,Setup!$A$76:$C$87,3,FALSE)="",Setup!$B$14,VLOOKUP($D116,Setup!$A$76:$C$87,3,FALSE)),Setup!$B$14),2))</f>
        <v/>
      </c>
      <c r="O116" s="89">
        <f>IF(OR($M116="",$E116=""),"",ROUND($M116*IFERROR(IF(VLOOKUP($E116,Setup!$A$76:$C$87,3,FALSE)="",Setup!$B$15,VLOOKUP($E116,Setup!$A$76:$C$87,3,FALSE)),Setup!$B$15),2))</f>
        <v/>
      </c>
      <c r="P116" s="98" t="n"/>
      <c r="Q116" s="98" t="n"/>
      <c r="R116" s="98" t="n"/>
      <c r="S116" s="98" t="n"/>
      <c r="T116" s="98" t="n"/>
      <c r="U116" s="89">
        <f>IF($K116="","",SUM($R116:$T116))</f>
        <v/>
      </c>
      <c r="V116" s="89">
        <f>IF($K116="","",$M116-(N($N116)+N($O116)+IF($P116="",Setup!$B$17,$P116)+N($Q116))-N($U116))</f>
        <v/>
      </c>
      <c r="W116" s="94" t="n"/>
      <c r="X116" s="95" t="n"/>
      <c r="Z116" s="92">
        <f>IF($A116="","",DATE(YEAR($A116),MONTH($A116),1))</f>
        <v/>
      </c>
    </row>
    <row r="117">
      <c r="A117" s="85" t="n"/>
      <c r="B117" s="86" t="n"/>
      <c r="C117" s="86" t="n"/>
      <c r="D117" s="87" t="n"/>
      <c r="E117" s="87" t="n"/>
      <c r="F117" s="87" t="n"/>
      <c r="G117" s="87" t="n"/>
      <c r="H117" s="88" t="n"/>
      <c r="I117" s="89">
        <f>IF($G117="","",IF($F117="",IFERROR(INDEX(Setup!$C$21:$C$60,MATCH("|"&amp;UPPER(TRIM($G117)),Setup!$Q$21:$Q$60,0)),"NO RATE"),IFERROR(INDEX(Setup!$C$21:$C$60,MATCH(UPPER(TRIM($F117))&amp;"|"&amp;UPPER(TRIM($G117)),Setup!$P$21:$P$60,0)),IFERROR(INDEX(Setup!$C$21:$C$60,MATCH(UPPER(TRIM($G117))&amp;"|"&amp;UPPER(TRIM($F117)),Setup!$P$21:$P$60,0)),"NO RATE"))))</f>
        <v/>
      </c>
      <c r="J117" s="90" t="n"/>
      <c r="K117" s="89">
        <f>IF(OR($G117="",$H117="",NOT(ISNUMBER($I117))),"",ROUND($H117*$I117*(1+IF($J117="",Setup!$B$16,$J117)),2))</f>
        <v/>
      </c>
      <c r="L117" s="89">
        <f>IF($K117="","",ROUND($K117*Setup!$B$13,2))</f>
        <v/>
      </c>
      <c r="M117" s="89">
        <f>IF($K117="","",$K117-$L117)</f>
        <v/>
      </c>
      <c r="N117" s="89">
        <f>IF(OR($M117="",$D117=""),"",ROUND($M117*IFERROR(IF(VLOOKUP($D117,Setup!$A$76:$C$87,3,FALSE)="",Setup!$B$14,VLOOKUP($D117,Setup!$A$76:$C$87,3,FALSE)),Setup!$B$14),2))</f>
        <v/>
      </c>
      <c r="O117" s="89">
        <f>IF(OR($M117="",$E117=""),"",ROUND($M117*IFERROR(IF(VLOOKUP($E117,Setup!$A$76:$C$87,3,FALSE)="",Setup!$B$15,VLOOKUP($E117,Setup!$A$76:$C$87,3,FALSE)),Setup!$B$15),2))</f>
        <v/>
      </c>
      <c r="P117" s="91" t="n"/>
      <c r="Q117" s="91" t="n"/>
      <c r="R117" s="91" t="n"/>
      <c r="S117" s="91" t="n"/>
      <c r="T117" s="91" t="n"/>
      <c r="U117" s="89">
        <f>IF($K117="","",SUM($R117:$T117))</f>
        <v/>
      </c>
      <c r="V117" s="89">
        <f>IF($K117="","",$M117-(N($N117)+N($O117)+IF($P117="",Setup!$B$17,$P117)+N($Q117))-N($U117))</f>
        <v/>
      </c>
      <c r="W117" s="86" t="n"/>
      <c r="X117" s="87" t="n"/>
      <c r="Z117" s="92">
        <f>IF($A117="","",DATE(YEAR($A117),MONTH($A117),1))</f>
        <v/>
      </c>
    </row>
    <row r="118">
      <c r="A118" s="93" t="n"/>
      <c r="B118" s="94" t="n"/>
      <c r="C118" s="94" t="n"/>
      <c r="D118" s="95" t="n"/>
      <c r="E118" s="95" t="n"/>
      <c r="F118" s="95" t="n"/>
      <c r="G118" s="95" t="n"/>
      <c r="H118" s="96" t="n"/>
      <c r="I118" s="89">
        <f>IF($G118="","",IF($F118="",IFERROR(INDEX(Setup!$C$21:$C$60,MATCH("|"&amp;UPPER(TRIM($G118)),Setup!$Q$21:$Q$60,0)),"NO RATE"),IFERROR(INDEX(Setup!$C$21:$C$60,MATCH(UPPER(TRIM($F118))&amp;"|"&amp;UPPER(TRIM($G118)),Setup!$P$21:$P$60,0)),IFERROR(INDEX(Setup!$C$21:$C$60,MATCH(UPPER(TRIM($G118))&amp;"|"&amp;UPPER(TRIM($F118)),Setup!$P$21:$P$60,0)),"NO RATE"))))</f>
        <v/>
      </c>
      <c r="J118" s="97" t="n"/>
      <c r="K118" s="89">
        <f>IF(OR($G118="",$H118="",NOT(ISNUMBER($I118))),"",ROUND($H118*$I118*(1+IF($J118="",Setup!$B$16,$J118)),2))</f>
        <v/>
      </c>
      <c r="L118" s="89">
        <f>IF($K118="","",ROUND($K118*Setup!$B$13,2))</f>
        <v/>
      </c>
      <c r="M118" s="89">
        <f>IF($K118="","",$K118-$L118)</f>
        <v/>
      </c>
      <c r="N118" s="89">
        <f>IF(OR($M118="",$D118=""),"",ROUND($M118*IFERROR(IF(VLOOKUP($D118,Setup!$A$76:$C$87,3,FALSE)="",Setup!$B$14,VLOOKUP($D118,Setup!$A$76:$C$87,3,FALSE)),Setup!$B$14),2))</f>
        <v/>
      </c>
      <c r="O118" s="89">
        <f>IF(OR($M118="",$E118=""),"",ROUND($M118*IFERROR(IF(VLOOKUP($E118,Setup!$A$76:$C$87,3,FALSE)="",Setup!$B$15,VLOOKUP($E118,Setup!$A$76:$C$87,3,FALSE)),Setup!$B$15),2))</f>
        <v/>
      </c>
      <c r="P118" s="98" t="n"/>
      <c r="Q118" s="98" t="n"/>
      <c r="R118" s="98" t="n"/>
      <c r="S118" s="98" t="n"/>
      <c r="T118" s="98" t="n"/>
      <c r="U118" s="89">
        <f>IF($K118="","",SUM($R118:$T118))</f>
        <v/>
      </c>
      <c r="V118" s="89">
        <f>IF($K118="","",$M118-(N($N118)+N($O118)+IF($P118="",Setup!$B$17,$P118)+N($Q118))-N($U118))</f>
        <v/>
      </c>
      <c r="W118" s="94" t="n"/>
      <c r="X118" s="95" t="n"/>
      <c r="Z118" s="92">
        <f>IF($A118="","",DATE(YEAR($A118),MONTH($A118),1))</f>
        <v/>
      </c>
    </row>
    <row r="119">
      <c r="A119" s="85" t="n"/>
      <c r="B119" s="86" t="n"/>
      <c r="C119" s="86" t="n"/>
      <c r="D119" s="87" t="n"/>
      <c r="E119" s="87" t="n"/>
      <c r="F119" s="87" t="n"/>
      <c r="G119" s="87" t="n"/>
      <c r="H119" s="88" t="n"/>
      <c r="I119" s="89">
        <f>IF($G119="","",IF($F119="",IFERROR(INDEX(Setup!$C$21:$C$60,MATCH("|"&amp;UPPER(TRIM($G119)),Setup!$Q$21:$Q$60,0)),"NO RATE"),IFERROR(INDEX(Setup!$C$21:$C$60,MATCH(UPPER(TRIM($F119))&amp;"|"&amp;UPPER(TRIM($G119)),Setup!$P$21:$P$60,0)),IFERROR(INDEX(Setup!$C$21:$C$60,MATCH(UPPER(TRIM($G119))&amp;"|"&amp;UPPER(TRIM($F119)),Setup!$P$21:$P$60,0)),"NO RATE"))))</f>
        <v/>
      </c>
      <c r="J119" s="90" t="n"/>
      <c r="K119" s="89">
        <f>IF(OR($G119="",$H119="",NOT(ISNUMBER($I119))),"",ROUND($H119*$I119*(1+IF($J119="",Setup!$B$16,$J119)),2))</f>
        <v/>
      </c>
      <c r="L119" s="89">
        <f>IF($K119="","",ROUND($K119*Setup!$B$13,2))</f>
        <v/>
      </c>
      <c r="M119" s="89">
        <f>IF($K119="","",$K119-$L119)</f>
        <v/>
      </c>
      <c r="N119" s="89">
        <f>IF(OR($M119="",$D119=""),"",ROUND($M119*IFERROR(IF(VLOOKUP($D119,Setup!$A$76:$C$87,3,FALSE)="",Setup!$B$14,VLOOKUP($D119,Setup!$A$76:$C$87,3,FALSE)),Setup!$B$14),2))</f>
        <v/>
      </c>
      <c r="O119" s="89">
        <f>IF(OR($M119="",$E119=""),"",ROUND($M119*IFERROR(IF(VLOOKUP($E119,Setup!$A$76:$C$87,3,FALSE)="",Setup!$B$15,VLOOKUP($E119,Setup!$A$76:$C$87,3,FALSE)),Setup!$B$15),2))</f>
        <v/>
      </c>
      <c r="P119" s="91" t="n"/>
      <c r="Q119" s="91" t="n"/>
      <c r="R119" s="91" t="n"/>
      <c r="S119" s="91" t="n"/>
      <c r="T119" s="91" t="n"/>
      <c r="U119" s="89">
        <f>IF($K119="","",SUM($R119:$T119))</f>
        <v/>
      </c>
      <c r="V119" s="89">
        <f>IF($K119="","",$M119-(N($N119)+N($O119)+IF($P119="",Setup!$B$17,$P119)+N($Q119))-N($U119))</f>
        <v/>
      </c>
      <c r="W119" s="86" t="n"/>
      <c r="X119" s="87" t="n"/>
      <c r="Z119" s="92">
        <f>IF($A119="","",DATE(YEAR($A119),MONTH($A119),1))</f>
        <v/>
      </c>
    </row>
    <row r="120">
      <c r="A120" s="93" t="n"/>
      <c r="B120" s="94" t="n"/>
      <c r="C120" s="94" t="n"/>
      <c r="D120" s="95" t="n"/>
      <c r="E120" s="95" t="n"/>
      <c r="F120" s="95" t="n"/>
      <c r="G120" s="95" t="n"/>
      <c r="H120" s="96" t="n"/>
      <c r="I120" s="89">
        <f>IF($G120="","",IF($F120="",IFERROR(INDEX(Setup!$C$21:$C$60,MATCH("|"&amp;UPPER(TRIM($G120)),Setup!$Q$21:$Q$60,0)),"NO RATE"),IFERROR(INDEX(Setup!$C$21:$C$60,MATCH(UPPER(TRIM($F120))&amp;"|"&amp;UPPER(TRIM($G120)),Setup!$P$21:$P$60,0)),IFERROR(INDEX(Setup!$C$21:$C$60,MATCH(UPPER(TRIM($G120))&amp;"|"&amp;UPPER(TRIM($F120)),Setup!$P$21:$P$60,0)),"NO RATE"))))</f>
        <v/>
      </c>
      <c r="J120" s="97" t="n"/>
      <c r="K120" s="89">
        <f>IF(OR($G120="",$H120="",NOT(ISNUMBER($I120))),"",ROUND($H120*$I120*(1+IF($J120="",Setup!$B$16,$J120)),2))</f>
        <v/>
      </c>
      <c r="L120" s="89">
        <f>IF($K120="","",ROUND($K120*Setup!$B$13,2))</f>
        <v/>
      </c>
      <c r="M120" s="89">
        <f>IF($K120="","",$K120-$L120)</f>
        <v/>
      </c>
      <c r="N120" s="89">
        <f>IF(OR($M120="",$D120=""),"",ROUND($M120*IFERROR(IF(VLOOKUP($D120,Setup!$A$76:$C$87,3,FALSE)="",Setup!$B$14,VLOOKUP($D120,Setup!$A$76:$C$87,3,FALSE)),Setup!$B$14),2))</f>
        <v/>
      </c>
      <c r="O120" s="89">
        <f>IF(OR($M120="",$E120=""),"",ROUND($M120*IFERROR(IF(VLOOKUP($E120,Setup!$A$76:$C$87,3,FALSE)="",Setup!$B$15,VLOOKUP($E120,Setup!$A$76:$C$87,3,FALSE)),Setup!$B$15),2))</f>
        <v/>
      </c>
      <c r="P120" s="98" t="n"/>
      <c r="Q120" s="98" t="n"/>
      <c r="R120" s="98" t="n"/>
      <c r="S120" s="98" t="n"/>
      <c r="T120" s="98" t="n"/>
      <c r="U120" s="89">
        <f>IF($K120="","",SUM($R120:$T120))</f>
        <v/>
      </c>
      <c r="V120" s="89">
        <f>IF($K120="","",$M120-(N($N120)+N($O120)+IF($P120="",Setup!$B$17,$P120)+N($Q120))-N($U120))</f>
        <v/>
      </c>
      <c r="W120" s="94" t="n"/>
      <c r="X120" s="95" t="n"/>
      <c r="Z120" s="92">
        <f>IF($A120="","",DATE(YEAR($A120),MONTH($A120),1))</f>
        <v/>
      </c>
    </row>
    <row r="121">
      <c r="A121" s="85" t="n"/>
      <c r="B121" s="86" t="n"/>
      <c r="C121" s="86" t="n"/>
      <c r="D121" s="87" t="n"/>
      <c r="E121" s="87" t="n"/>
      <c r="F121" s="87" t="n"/>
      <c r="G121" s="87" t="n"/>
      <c r="H121" s="88" t="n"/>
      <c r="I121" s="89">
        <f>IF($G121="","",IF($F121="",IFERROR(INDEX(Setup!$C$21:$C$60,MATCH("|"&amp;UPPER(TRIM($G121)),Setup!$Q$21:$Q$60,0)),"NO RATE"),IFERROR(INDEX(Setup!$C$21:$C$60,MATCH(UPPER(TRIM($F121))&amp;"|"&amp;UPPER(TRIM($G121)),Setup!$P$21:$P$60,0)),IFERROR(INDEX(Setup!$C$21:$C$60,MATCH(UPPER(TRIM($G121))&amp;"|"&amp;UPPER(TRIM($F121)),Setup!$P$21:$P$60,0)),"NO RATE"))))</f>
        <v/>
      </c>
      <c r="J121" s="90" t="n"/>
      <c r="K121" s="89">
        <f>IF(OR($G121="",$H121="",NOT(ISNUMBER($I121))),"",ROUND($H121*$I121*(1+IF($J121="",Setup!$B$16,$J121)),2))</f>
        <v/>
      </c>
      <c r="L121" s="89">
        <f>IF($K121="","",ROUND($K121*Setup!$B$13,2))</f>
        <v/>
      </c>
      <c r="M121" s="89">
        <f>IF($K121="","",$K121-$L121)</f>
        <v/>
      </c>
      <c r="N121" s="89">
        <f>IF(OR($M121="",$D121=""),"",ROUND($M121*IFERROR(IF(VLOOKUP($D121,Setup!$A$76:$C$87,3,FALSE)="",Setup!$B$14,VLOOKUP($D121,Setup!$A$76:$C$87,3,FALSE)),Setup!$B$14),2))</f>
        <v/>
      </c>
      <c r="O121" s="89">
        <f>IF(OR($M121="",$E121=""),"",ROUND($M121*IFERROR(IF(VLOOKUP($E121,Setup!$A$76:$C$87,3,FALSE)="",Setup!$B$15,VLOOKUP($E121,Setup!$A$76:$C$87,3,FALSE)),Setup!$B$15),2))</f>
        <v/>
      </c>
      <c r="P121" s="91" t="n"/>
      <c r="Q121" s="91" t="n"/>
      <c r="R121" s="91" t="n"/>
      <c r="S121" s="91" t="n"/>
      <c r="T121" s="91" t="n"/>
      <c r="U121" s="89">
        <f>IF($K121="","",SUM($R121:$T121))</f>
        <v/>
      </c>
      <c r="V121" s="89">
        <f>IF($K121="","",$M121-(N($N121)+N($O121)+IF($P121="",Setup!$B$17,$P121)+N($Q121))-N($U121))</f>
        <v/>
      </c>
      <c r="W121" s="86" t="n"/>
      <c r="X121" s="87" t="n"/>
      <c r="Z121" s="92">
        <f>IF($A121="","",DATE(YEAR($A121),MONTH($A121),1))</f>
        <v/>
      </c>
    </row>
    <row r="122">
      <c r="A122" s="93" t="n"/>
      <c r="B122" s="94" t="n"/>
      <c r="C122" s="94" t="n"/>
      <c r="D122" s="95" t="n"/>
      <c r="E122" s="95" t="n"/>
      <c r="F122" s="95" t="n"/>
      <c r="G122" s="95" t="n"/>
      <c r="H122" s="96" t="n"/>
      <c r="I122" s="89">
        <f>IF($G122="","",IF($F122="",IFERROR(INDEX(Setup!$C$21:$C$60,MATCH("|"&amp;UPPER(TRIM($G122)),Setup!$Q$21:$Q$60,0)),"NO RATE"),IFERROR(INDEX(Setup!$C$21:$C$60,MATCH(UPPER(TRIM($F122))&amp;"|"&amp;UPPER(TRIM($G122)),Setup!$P$21:$P$60,0)),IFERROR(INDEX(Setup!$C$21:$C$60,MATCH(UPPER(TRIM($G122))&amp;"|"&amp;UPPER(TRIM($F122)),Setup!$P$21:$P$60,0)),"NO RATE"))))</f>
        <v/>
      </c>
      <c r="J122" s="97" t="n"/>
      <c r="K122" s="89">
        <f>IF(OR($G122="",$H122="",NOT(ISNUMBER($I122))),"",ROUND($H122*$I122*(1+IF($J122="",Setup!$B$16,$J122)),2))</f>
        <v/>
      </c>
      <c r="L122" s="89">
        <f>IF($K122="","",ROUND($K122*Setup!$B$13,2))</f>
        <v/>
      </c>
      <c r="M122" s="89">
        <f>IF($K122="","",$K122-$L122)</f>
        <v/>
      </c>
      <c r="N122" s="89">
        <f>IF(OR($M122="",$D122=""),"",ROUND($M122*IFERROR(IF(VLOOKUP($D122,Setup!$A$76:$C$87,3,FALSE)="",Setup!$B$14,VLOOKUP($D122,Setup!$A$76:$C$87,3,FALSE)),Setup!$B$14),2))</f>
        <v/>
      </c>
      <c r="O122" s="89">
        <f>IF(OR($M122="",$E122=""),"",ROUND($M122*IFERROR(IF(VLOOKUP($E122,Setup!$A$76:$C$87,3,FALSE)="",Setup!$B$15,VLOOKUP($E122,Setup!$A$76:$C$87,3,FALSE)),Setup!$B$15),2))</f>
        <v/>
      </c>
      <c r="P122" s="98" t="n"/>
      <c r="Q122" s="98" t="n"/>
      <c r="R122" s="98" t="n"/>
      <c r="S122" s="98" t="n"/>
      <c r="T122" s="98" t="n"/>
      <c r="U122" s="89">
        <f>IF($K122="","",SUM($R122:$T122))</f>
        <v/>
      </c>
      <c r="V122" s="89">
        <f>IF($K122="","",$M122-(N($N122)+N($O122)+IF($P122="",Setup!$B$17,$P122)+N($Q122))-N($U122))</f>
        <v/>
      </c>
      <c r="W122" s="94" t="n"/>
      <c r="X122" s="95" t="n"/>
      <c r="Z122" s="92">
        <f>IF($A122="","",DATE(YEAR($A122),MONTH($A122),1))</f>
        <v/>
      </c>
    </row>
    <row r="123">
      <c r="A123" s="85" t="n"/>
      <c r="B123" s="86" t="n"/>
      <c r="C123" s="86" t="n"/>
      <c r="D123" s="87" t="n"/>
      <c r="E123" s="87" t="n"/>
      <c r="F123" s="87" t="n"/>
      <c r="G123" s="87" t="n"/>
      <c r="H123" s="88" t="n"/>
      <c r="I123" s="89">
        <f>IF($G123="","",IF($F123="",IFERROR(INDEX(Setup!$C$21:$C$60,MATCH("|"&amp;UPPER(TRIM($G123)),Setup!$Q$21:$Q$60,0)),"NO RATE"),IFERROR(INDEX(Setup!$C$21:$C$60,MATCH(UPPER(TRIM($F123))&amp;"|"&amp;UPPER(TRIM($G123)),Setup!$P$21:$P$60,0)),IFERROR(INDEX(Setup!$C$21:$C$60,MATCH(UPPER(TRIM($G123))&amp;"|"&amp;UPPER(TRIM($F123)),Setup!$P$21:$P$60,0)),"NO RATE"))))</f>
        <v/>
      </c>
      <c r="J123" s="90" t="n"/>
      <c r="K123" s="89">
        <f>IF(OR($G123="",$H123="",NOT(ISNUMBER($I123))),"",ROUND($H123*$I123*(1+IF($J123="",Setup!$B$16,$J123)),2))</f>
        <v/>
      </c>
      <c r="L123" s="89">
        <f>IF($K123="","",ROUND($K123*Setup!$B$13,2))</f>
        <v/>
      </c>
      <c r="M123" s="89">
        <f>IF($K123="","",$K123-$L123)</f>
        <v/>
      </c>
      <c r="N123" s="89">
        <f>IF(OR($M123="",$D123=""),"",ROUND($M123*IFERROR(IF(VLOOKUP($D123,Setup!$A$76:$C$87,3,FALSE)="",Setup!$B$14,VLOOKUP($D123,Setup!$A$76:$C$87,3,FALSE)),Setup!$B$14),2))</f>
        <v/>
      </c>
      <c r="O123" s="89">
        <f>IF(OR($M123="",$E123=""),"",ROUND($M123*IFERROR(IF(VLOOKUP($E123,Setup!$A$76:$C$87,3,FALSE)="",Setup!$B$15,VLOOKUP($E123,Setup!$A$76:$C$87,3,FALSE)),Setup!$B$15),2))</f>
        <v/>
      </c>
      <c r="P123" s="91" t="n"/>
      <c r="Q123" s="91" t="n"/>
      <c r="R123" s="91" t="n"/>
      <c r="S123" s="91" t="n"/>
      <c r="T123" s="91" t="n"/>
      <c r="U123" s="89">
        <f>IF($K123="","",SUM($R123:$T123))</f>
        <v/>
      </c>
      <c r="V123" s="89">
        <f>IF($K123="","",$M123-(N($N123)+N($O123)+IF($P123="",Setup!$B$17,$P123)+N($Q123))-N($U123))</f>
        <v/>
      </c>
      <c r="W123" s="86" t="n"/>
      <c r="X123" s="87" t="n"/>
      <c r="Z123" s="92">
        <f>IF($A123="","",DATE(YEAR($A123),MONTH($A123),1))</f>
        <v/>
      </c>
    </row>
    <row r="124">
      <c r="A124" s="93" t="n"/>
      <c r="B124" s="94" t="n"/>
      <c r="C124" s="94" t="n"/>
      <c r="D124" s="95" t="n"/>
      <c r="E124" s="95" t="n"/>
      <c r="F124" s="95" t="n"/>
      <c r="G124" s="95" t="n"/>
      <c r="H124" s="96" t="n"/>
      <c r="I124" s="89">
        <f>IF($G124="","",IF($F124="",IFERROR(INDEX(Setup!$C$21:$C$60,MATCH("|"&amp;UPPER(TRIM($G124)),Setup!$Q$21:$Q$60,0)),"NO RATE"),IFERROR(INDEX(Setup!$C$21:$C$60,MATCH(UPPER(TRIM($F124))&amp;"|"&amp;UPPER(TRIM($G124)),Setup!$P$21:$P$60,0)),IFERROR(INDEX(Setup!$C$21:$C$60,MATCH(UPPER(TRIM($G124))&amp;"|"&amp;UPPER(TRIM($F124)),Setup!$P$21:$P$60,0)),"NO RATE"))))</f>
        <v/>
      </c>
      <c r="J124" s="97" t="n"/>
      <c r="K124" s="89">
        <f>IF(OR($G124="",$H124="",NOT(ISNUMBER($I124))),"",ROUND($H124*$I124*(1+IF($J124="",Setup!$B$16,$J124)),2))</f>
        <v/>
      </c>
      <c r="L124" s="89">
        <f>IF($K124="","",ROUND($K124*Setup!$B$13,2))</f>
        <v/>
      </c>
      <c r="M124" s="89">
        <f>IF($K124="","",$K124-$L124)</f>
        <v/>
      </c>
      <c r="N124" s="89">
        <f>IF(OR($M124="",$D124=""),"",ROUND($M124*IFERROR(IF(VLOOKUP($D124,Setup!$A$76:$C$87,3,FALSE)="",Setup!$B$14,VLOOKUP($D124,Setup!$A$76:$C$87,3,FALSE)),Setup!$B$14),2))</f>
        <v/>
      </c>
      <c r="O124" s="89">
        <f>IF(OR($M124="",$E124=""),"",ROUND($M124*IFERROR(IF(VLOOKUP($E124,Setup!$A$76:$C$87,3,FALSE)="",Setup!$B$15,VLOOKUP($E124,Setup!$A$76:$C$87,3,FALSE)),Setup!$B$15),2))</f>
        <v/>
      </c>
      <c r="P124" s="98" t="n"/>
      <c r="Q124" s="98" t="n"/>
      <c r="R124" s="98" t="n"/>
      <c r="S124" s="98" t="n"/>
      <c r="T124" s="98" t="n"/>
      <c r="U124" s="89">
        <f>IF($K124="","",SUM($R124:$T124))</f>
        <v/>
      </c>
      <c r="V124" s="89">
        <f>IF($K124="","",$M124-(N($N124)+N($O124)+IF($P124="",Setup!$B$17,$P124)+N($Q124))-N($U124))</f>
        <v/>
      </c>
      <c r="W124" s="94" t="n"/>
      <c r="X124" s="95" t="n"/>
      <c r="Z124" s="92">
        <f>IF($A124="","",DATE(YEAR($A124),MONTH($A124),1))</f>
        <v/>
      </c>
    </row>
    <row r="125">
      <c r="A125" s="85" t="n"/>
      <c r="B125" s="86" t="n"/>
      <c r="C125" s="86" t="n"/>
      <c r="D125" s="87" t="n"/>
      <c r="E125" s="87" t="n"/>
      <c r="F125" s="87" t="n"/>
      <c r="G125" s="87" t="n"/>
      <c r="H125" s="88" t="n"/>
      <c r="I125" s="89">
        <f>IF($G125="","",IF($F125="",IFERROR(INDEX(Setup!$C$21:$C$60,MATCH("|"&amp;UPPER(TRIM($G125)),Setup!$Q$21:$Q$60,0)),"NO RATE"),IFERROR(INDEX(Setup!$C$21:$C$60,MATCH(UPPER(TRIM($F125))&amp;"|"&amp;UPPER(TRIM($G125)),Setup!$P$21:$P$60,0)),IFERROR(INDEX(Setup!$C$21:$C$60,MATCH(UPPER(TRIM($G125))&amp;"|"&amp;UPPER(TRIM($F125)),Setup!$P$21:$P$60,0)),"NO RATE"))))</f>
        <v/>
      </c>
      <c r="J125" s="90" t="n"/>
      <c r="K125" s="89">
        <f>IF(OR($G125="",$H125="",NOT(ISNUMBER($I125))),"",ROUND($H125*$I125*(1+IF($J125="",Setup!$B$16,$J125)),2))</f>
        <v/>
      </c>
      <c r="L125" s="89">
        <f>IF($K125="","",ROUND($K125*Setup!$B$13,2))</f>
        <v/>
      </c>
      <c r="M125" s="89">
        <f>IF($K125="","",$K125-$L125)</f>
        <v/>
      </c>
      <c r="N125" s="89">
        <f>IF(OR($M125="",$D125=""),"",ROUND($M125*IFERROR(IF(VLOOKUP($D125,Setup!$A$76:$C$87,3,FALSE)="",Setup!$B$14,VLOOKUP($D125,Setup!$A$76:$C$87,3,FALSE)),Setup!$B$14),2))</f>
        <v/>
      </c>
      <c r="O125" s="89">
        <f>IF(OR($M125="",$E125=""),"",ROUND($M125*IFERROR(IF(VLOOKUP($E125,Setup!$A$76:$C$87,3,FALSE)="",Setup!$B$15,VLOOKUP($E125,Setup!$A$76:$C$87,3,FALSE)),Setup!$B$15),2))</f>
        <v/>
      </c>
      <c r="P125" s="91" t="n"/>
      <c r="Q125" s="91" t="n"/>
      <c r="R125" s="91" t="n"/>
      <c r="S125" s="91" t="n"/>
      <c r="T125" s="91" t="n"/>
      <c r="U125" s="89">
        <f>IF($K125="","",SUM($R125:$T125))</f>
        <v/>
      </c>
      <c r="V125" s="89">
        <f>IF($K125="","",$M125-(N($N125)+N($O125)+IF($P125="",Setup!$B$17,$P125)+N($Q125))-N($U125))</f>
        <v/>
      </c>
      <c r="W125" s="86" t="n"/>
      <c r="X125" s="87" t="n"/>
      <c r="Z125" s="92">
        <f>IF($A125="","",DATE(YEAR($A125),MONTH($A125),1))</f>
        <v/>
      </c>
    </row>
    <row r="126">
      <c r="A126" s="93" t="n"/>
      <c r="B126" s="94" t="n"/>
      <c r="C126" s="94" t="n"/>
      <c r="D126" s="95" t="n"/>
      <c r="E126" s="95" t="n"/>
      <c r="F126" s="95" t="n"/>
      <c r="G126" s="95" t="n"/>
      <c r="H126" s="96" t="n"/>
      <c r="I126" s="89">
        <f>IF($G126="","",IF($F126="",IFERROR(INDEX(Setup!$C$21:$C$60,MATCH("|"&amp;UPPER(TRIM($G126)),Setup!$Q$21:$Q$60,0)),"NO RATE"),IFERROR(INDEX(Setup!$C$21:$C$60,MATCH(UPPER(TRIM($F126))&amp;"|"&amp;UPPER(TRIM($G126)),Setup!$P$21:$P$60,0)),IFERROR(INDEX(Setup!$C$21:$C$60,MATCH(UPPER(TRIM($G126))&amp;"|"&amp;UPPER(TRIM($F126)),Setup!$P$21:$P$60,0)),"NO RATE"))))</f>
        <v/>
      </c>
      <c r="J126" s="97" t="n"/>
      <c r="K126" s="89">
        <f>IF(OR($G126="",$H126="",NOT(ISNUMBER($I126))),"",ROUND($H126*$I126*(1+IF($J126="",Setup!$B$16,$J126)),2))</f>
        <v/>
      </c>
      <c r="L126" s="89">
        <f>IF($K126="","",ROUND($K126*Setup!$B$13,2))</f>
        <v/>
      </c>
      <c r="M126" s="89">
        <f>IF($K126="","",$K126-$L126)</f>
        <v/>
      </c>
      <c r="N126" s="89">
        <f>IF(OR($M126="",$D126=""),"",ROUND($M126*IFERROR(IF(VLOOKUP($D126,Setup!$A$76:$C$87,3,FALSE)="",Setup!$B$14,VLOOKUP($D126,Setup!$A$76:$C$87,3,FALSE)),Setup!$B$14),2))</f>
        <v/>
      </c>
      <c r="O126" s="89">
        <f>IF(OR($M126="",$E126=""),"",ROUND($M126*IFERROR(IF(VLOOKUP($E126,Setup!$A$76:$C$87,3,FALSE)="",Setup!$B$15,VLOOKUP($E126,Setup!$A$76:$C$87,3,FALSE)),Setup!$B$15),2))</f>
        <v/>
      </c>
      <c r="P126" s="98" t="n"/>
      <c r="Q126" s="98" t="n"/>
      <c r="R126" s="98" t="n"/>
      <c r="S126" s="98" t="n"/>
      <c r="T126" s="98" t="n"/>
      <c r="U126" s="89">
        <f>IF($K126="","",SUM($R126:$T126))</f>
        <v/>
      </c>
      <c r="V126" s="89">
        <f>IF($K126="","",$M126-(N($N126)+N($O126)+IF($P126="",Setup!$B$17,$P126)+N($Q126))-N($U126))</f>
        <v/>
      </c>
      <c r="W126" s="94" t="n"/>
      <c r="X126" s="95" t="n"/>
      <c r="Z126" s="92">
        <f>IF($A126="","",DATE(YEAR($A126),MONTH($A126),1))</f>
        <v/>
      </c>
    </row>
    <row r="127">
      <c r="A127" s="85" t="n"/>
      <c r="B127" s="86" t="n"/>
      <c r="C127" s="86" t="n"/>
      <c r="D127" s="87" t="n"/>
      <c r="E127" s="87" t="n"/>
      <c r="F127" s="87" t="n"/>
      <c r="G127" s="87" t="n"/>
      <c r="H127" s="88" t="n"/>
      <c r="I127" s="89">
        <f>IF($G127="","",IF($F127="",IFERROR(INDEX(Setup!$C$21:$C$60,MATCH("|"&amp;UPPER(TRIM($G127)),Setup!$Q$21:$Q$60,0)),"NO RATE"),IFERROR(INDEX(Setup!$C$21:$C$60,MATCH(UPPER(TRIM($F127))&amp;"|"&amp;UPPER(TRIM($G127)),Setup!$P$21:$P$60,0)),IFERROR(INDEX(Setup!$C$21:$C$60,MATCH(UPPER(TRIM($G127))&amp;"|"&amp;UPPER(TRIM($F127)),Setup!$P$21:$P$60,0)),"NO RATE"))))</f>
        <v/>
      </c>
      <c r="J127" s="90" t="n"/>
      <c r="K127" s="89">
        <f>IF(OR($G127="",$H127="",NOT(ISNUMBER($I127))),"",ROUND($H127*$I127*(1+IF($J127="",Setup!$B$16,$J127)),2))</f>
        <v/>
      </c>
      <c r="L127" s="89">
        <f>IF($K127="","",ROUND($K127*Setup!$B$13,2))</f>
        <v/>
      </c>
      <c r="M127" s="89">
        <f>IF($K127="","",$K127-$L127)</f>
        <v/>
      </c>
      <c r="N127" s="89">
        <f>IF(OR($M127="",$D127=""),"",ROUND($M127*IFERROR(IF(VLOOKUP($D127,Setup!$A$76:$C$87,3,FALSE)="",Setup!$B$14,VLOOKUP($D127,Setup!$A$76:$C$87,3,FALSE)),Setup!$B$14),2))</f>
        <v/>
      </c>
      <c r="O127" s="89">
        <f>IF(OR($M127="",$E127=""),"",ROUND($M127*IFERROR(IF(VLOOKUP($E127,Setup!$A$76:$C$87,3,FALSE)="",Setup!$B$15,VLOOKUP($E127,Setup!$A$76:$C$87,3,FALSE)),Setup!$B$15),2))</f>
        <v/>
      </c>
      <c r="P127" s="91" t="n"/>
      <c r="Q127" s="91" t="n"/>
      <c r="R127" s="91" t="n"/>
      <c r="S127" s="91" t="n"/>
      <c r="T127" s="91" t="n"/>
      <c r="U127" s="89">
        <f>IF($K127="","",SUM($R127:$T127))</f>
        <v/>
      </c>
      <c r="V127" s="89">
        <f>IF($K127="","",$M127-(N($N127)+N($O127)+IF($P127="",Setup!$B$17,$P127)+N($Q127))-N($U127))</f>
        <v/>
      </c>
      <c r="W127" s="86" t="n"/>
      <c r="X127" s="87" t="n"/>
      <c r="Z127" s="92">
        <f>IF($A127="","",DATE(YEAR($A127),MONTH($A127),1))</f>
        <v/>
      </c>
    </row>
    <row r="128">
      <c r="A128" s="93" t="n"/>
      <c r="B128" s="94" t="n"/>
      <c r="C128" s="94" t="n"/>
      <c r="D128" s="95" t="n"/>
      <c r="E128" s="95" t="n"/>
      <c r="F128" s="95" t="n"/>
      <c r="G128" s="95" t="n"/>
      <c r="H128" s="96" t="n"/>
      <c r="I128" s="89">
        <f>IF($G128="","",IF($F128="",IFERROR(INDEX(Setup!$C$21:$C$60,MATCH("|"&amp;UPPER(TRIM($G128)),Setup!$Q$21:$Q$60,0)),"NO RATE"),IFERROR(INDEX(Setup!$C$21:$C$60,MATCH(UPPER(TRIM($F128))&amp;"|"&amp;UPPER(TRIM($G128)),Setup!$P$21:$P$60,0)),IFERROR(INDEX(Setup!$C$21:$C$60,MATCH(UPPER(TRIM($G128))&amp;"|"&amp;UPPER(TRIM($F128)),Setup!$P$21:$P$60,0)),"NO RATE"))))</f>
        <v/>
      </c>
      <c r="J128" s="97" t="n"/>
      <c r="K128" s="89">
        <f>IF(OR($G128="",$H128="",NOT(ISNUMBER($I128))),"",ROUND($H128*$I128*(1+IF($J128="",Setup!$B$16,$J128)),2))</f>
        <v/>
      </c>
      <c r="L128" s="89">
        <f>IF($K128="","",ROUND($K128*Setup!$B$13,2))</f>
        <v/>
      </c>
      <c r="M128" s="89">
        <f>IF($K128="","",$K128-$L128)</f>
        <v/>
      </c>
      <c r="N128" s="89">
        <f>IF(OR($M128="",$D128=""),"",ROUND($M128*IFERROR(IF(VLOOKUP($D128,Setup!$A$76:$C$87,3,FALSE)="",Setup!$B$14,VLOOKUP($D128,Setup!$A$76:$C$87,3,FALSE)),Setup!$B$14),2))</f>
        <v/>
      </c>
      <c r="O128" s="89">
        <f>IF(OR($M128="",$E128=""),"",ROUND($M128*IFERROR(IF(VLOOKUP($E128,Setup!$A$76:$C$87,3,FALSE)="",Setup!$B$15,VLOOKUP($E128,Setup!$A$76:$C$87,3,FALSE)),Setup!$B$15),2))</f>
        <v/>
      </c>
      <c r="P128" s="98" t="n"/>
      <c r="Q128" s="98" t="n"/>
      <c r="R128" s="98" t="n"/>
      <c r="S128" s="98" t="n"/>
      <c r="T128" s="98" t="n"/>
      <c r="U128" s="89">
        <f>IF($K128="","",SUM($R128:$T128))</f>
        <v/>
      </c>
      <c r="V128" s="89">
        <f>IF($K128="","",$M128-(N($N128)+N($O128)+IF($P128="",Setup!$B$17,$P128)+N($Q128))-N($U128))</f>
        <v/>
      </c>
      <c r="W128" s="94" t="n"/>
      <c r="X128" s="95" t="n"/>
      <c r="Z128" s="92">
        <f>IF($A128="","",DATE(YEAR($A128),MONTH($A128),1))</f>
        <v/>
      </c>
    </row>
    <row r="129">
      <c r="A129" s="85" t="n"/>
      <c r="B129" s="86" t="n"/>
      <c r="C129" s="86" t="n"/>
      <c r="D129" s="87" t="n"/>
      <c r="E129" s="87" t="n"/>
      <c r="F129" s="87" t="n"/>
      <c r="G129" s="87" t="n"/>
      <c r="H129" s="88" t="n"/>
      <c r="I129" s="89">
        <f>IF($G129="","",IF($F129="",IFERROR(INDEX(Setup!$C$21:$C$60,MATCH("|"&amp;UPPER(TRIM($G129)),Setup!$Q$21:$Q$60,0)),"NO RATE"),IFERROR(INDEX(Setup!$C$21:$C$60,MATCH(UPPER(TRIM($F129))&amp;"|"&amp;UPPER(TRIM($G129)),Setup!$P$21:$P$60,0)),IFERROR(INDEX(Setup!$C$21:$C$60,MATCH(UPPER(TRIM($G129))&amp;"|"&amp;UPPER(TRIM($F129)),Setup!$P$21:$P$60,0)),"NO RATE"))))</f>
        <v/>
      </c>
      <c r="J129" s="90" t="n"/>
      <c r="K129" s="89">
        <f>IF(OR($G129="",$H129="",NOT(ISNUMBER($I129))),"",ROUND($H129*$I129*(1+IF($J129="",Setup!$B$16,$J129)),2))</f>
        <v/>
      </c>
      <c r="L129" s="89">
        <f>IF($K129="","",ROUND($K129*Setup!$B$13,2))</f>
        <v/>
      </c>
      <c r="M129" s="89">
        <f>IF($K129="","",$K129-$L129)</f>
        <v/>
      </c>
      <c r="N129" s="89">
        <f>IF(OR($M129="",$D129=""),"",ROUND($M129*IFERROR(IF(VLOOKUP($D129,Setup!$A$76:$C$87,3,FALSE)="",Setup!$B$14,VLOOKUP($D129,Setup!$A$76:$C$87,3,FALSE)),Setup!$B$14),2))</f>
        <v/>
      </c>
      <c r="O129" s="89">
        <f>IF(OR($M129="",$E129=""),"",ROUND($M129*IFERROR(IF(VLOOKUP($E129,Setup!$A$76:$C$87,3,FALSE)="",Setup!$B$15,VLOOKUP($E129,Setup!$A$76:$C$87,3,FALSE)),Setup!$B$15),2))</f>
        <v/>
      </c>
      <c r="P129" s="91" t="n"/>
      <c r="Q129" s="91" t="n"/>
      <c r="R129" s="91" t="n"/>
      <c r="S129" s="91" t="n"/>
      <c r="T129" s="91" t="n"/>
      <c r="U129" s="89">
        <f>IF($K129="","",SUM($R129:$T129))</f>
        <v/>
      </c>
      <c r="V129" s="89">
        <f>IF($K129="","",$M129-(N($N129)+N($O129)+IF($P129="",Setup!$B$17,$P129)+N($Q129))-N($U129))</f>
        <v/>
      </c>
      <c r="W129" s="86" t="n"/>
      <c r="X129" s="87" t="n"/>
      <c r="Z129" s="92">
        <f>IF($A129="","",DATE(YEAR($A129),MONTH($A129),1))</f>
        <v/>
      </c>
    </row>
    <row r="130">
      <c r="A130" s="93" t="n"/>
      <c r="B130" s="94" t="n"/>
      <c r="C130" s="94" t="n"/>
      <c r="D130" s="95" t="n"/>
      <c r="E130" s="95" t="n"/>
      <c r="F130" s="95" t="n"/>
      <c r="G130" s="95" t="n"/>
      <c r="H130" s="96" t="n"/>
      <c r="I130" s="89">
        <f>IF($G130="","",IF($F130="",IFERROR(INDEX(Setup!$C$21:$C$60,MATCH("|"&amp;UPPER(TRIM($G130)),Setup!$Q$21:$Q$60,0)),"NO RATE"),IFERROR(INDEX(Setup!$C$21:$C$60,MATCH(UPPER(TRIM($F130))&amp;"|"&amp;UPPER(TRIM($G130)),Setup!$P$21:$P$60,0)),IFERROR(INDEX(Setup!$C$21:$C$60,MATCH(UPPER(TRIM($G130))&amp;"|"&amp;UPPER(TRIM($F130)),Setup!$P$21:$P$60,0)),"NO RATE"))))</f>
        <v/>
      </c>
      <c r="J130" s="97" t="n"/>
      <c r="K130" s="89">
        <f>IF(OR($G130="",$H130="",NOT(ISNUMBER($I130))),"",ROUND($H130*$I130*(1+IF($J130="",Setup!$B$16,$J130)),2))</f>
        <v/>
      </c>
      <c r="L130" s="89">
        <f>IF($K130="","",ROUND($K130*Setup!$B$13,2))</f>
        <v/>
      </c>
      <c r="M130" s="89">
        <f>IF($K130="","",$K130-$L130)</f>
        <v/>
      </c>
      <c r="N130" s="89">
        <f>IF(OR($M130="",$D130=""),"",ROUND($M130*IFERROR(IF(VLOOKUP($D130,Setup!$A$76:$C$87,3,FALSE)="",Setup!$B$14,VLOOKUP($D130,Setup!$A$76:$C$87,3,FALSE)),Setup!$B$14),2))</f>
        <v/>
      </c>
      <c r="O130" s="89">
        <f>IF(OR($M130="",$E130=""),"",ROUND($M130*IFERROR(IF(VLOOKUP($E130,Setup!$A$76:$C$87,3,FALSE)="",Setup!$B$15,VLOOKUP($E130,Setup!$A$76:$C$87,3,FALSE)),Setup!$B$15),2))</f>
        <v/>
      </c>
      <c r="P130" s="98" t="n"/>
      <c r="Q130" s="98" t="n"/>
      <c r="R130" s="98" t="n"/>
      <c r="S130" s="98" t="n"/>
      <c r="T130" s="98" t="n"/>
      <c r="U130" s="89">
        <f>IF($K130="","",SUM($R130:$T130))</f>
        <v/>
      </c>
      <c r="V130" s="89">
        <f>IF($K130="","",$M130-(N($N130)+N($O130)+IF($P130="",Setup!$B$17,$P130)+N($Q130))-N($U130))</f>
        <v/>
      </c>
      <c r="W130" s="94" t="n"/>
      <c r="X130" s="95" t="n"/>
      <c r="Z130" s="92">
        <f>IF($A130="","",DATE(YEAR($A130),MONTH($A130),1))</f>
        <v/>
      </c>
    </row>
    <row r="131">
      <c r="A131" s="85" t="n"/>
      <c r="B131" s="86" t="n"/>
      <c r="C131" s="86" t="n"/>
      <c r="D131" s="87" t="n"/>
      <c r="E131" s="87" t="n"/>
      <c r="F131" s="87" t="n"/>
      <c r="G131" s="87" t="n"/>
      <c r="H131" s="88" t="n"/>
      <c r="I131" s="89">
        <f>IF($G131="","",IF($F131="",IFERROR(INDEX(Setup!$C$21:$C$60,MATCH("|"&amp;UPPER(TRIM($G131)),Setup!$Q$21:$Q$60,0)),"NO RATE"),IFERROR(INDEX(Setup!$C$21:$C$60,MATCH(UPPER(TRIM($F131))&amp;"|"&amp;UPPER(TRIM($G131)),Setup!$P$21:$P$60,0)),IFERROR(INDEX(Setup!$C$21:$C$60,MATCH(UPPER(TRIM($G131))&amp;"|"&amp;UPPER(TRIM($F131)),Setup!$P$21:$P$60,0)),"NO RATE"))))</f>
        <v/>
      </c>
      <c r="J131" s="90" t="n"/>
      <c r="K131" s="89">
        <f>IF(OR($G131="",$H131="",NOT(ISNUMBER($I131))),"",ROUND($H131*$I131*(1+IF($J131="",Setup!$B$16,$J131)),2))</f>
        <v/>
      </c>
      <c r="L131" s="89">
        <f>IF($K131="","",ROUND($K131*Setup!$B$13,2))</f>
        <v/>
      </c>
      <c r="M131" s="89">
        <f>IF($K131="","",$K131-$L131)</f>
        <v/>
      </c>
      <c r="N131" s="89">
        <f>IF(OR($M131="",$D131=""),"",ROUND($M131*IFERROR(IF(VLOOKUP($D131,Setup!$A$76:$C$87,3,FALSE)="",Setup!$B$14,VLOOKUP($D131,Setup!$A$76:$C$87,3,FALSE)),Setup!$B$14),2))</f>
        <v/>
      </c>
      <c r="O131" s="89">
        <f>IF(OR($M131="",$E131=""),"",ROUND($M131*IFERROR(IF(VLOOKUP($E131,Setup!$A$76:$C$87,3,FALSE)="",Setup!$B$15,VLOOKUP($E131,Setup!$A$76:$C$87,3,FALSE)),Setup!$B$15),2))</f>
        <v/>
      </c>
      <c r="P131" s="91" t="n"/>
      <c r="Q131" s="91" t="n"/>
      <c r="R131" s="91" t="n"/>
      <c r="S131" s="91" t="n"/>
      <c r="T131" s="91" t="n"/>
      <c r="U131" s="89">
        <f>IF($K131="","",SUM($R131:$T131))</f>
        <v/>
      </c>
      <c r="V131" s="89">
        <f>IF($K131="","",$M131-(N($N131)+N($O131)+IF($P131="",Setup!$B$17,$P131)+N($Q131))-N($U131))</f>
        <v/>
      </c>
      <c r="W131" s="86" t="n"/>
      <c r="X131" s="87" t="n"/>
      <c r="Z131" s="92">
        <f>IF($A131="","",DATE(YEAR($A131),MONTH($A131),1))</f>
        <v/>
      </c>
    </row>
    <row r="132">
      <c r="A132" s="93" t="n"/>
      <c r="B132" s="94" t="n"/>
      <c r="C132" s="94" t="n"/>
      <c r="D132" s="95" t="n"/>
      <c r="E132" s="95" t="n"/>
      <c r="F132" s="95" t="n"/>
      <c r="G132" s="95" t="n"/>
      <c r="H132" s="96" t="n"/>
      <c r="I132" s="89">
        <f>IF($G132="","",IF($F132="",IFERROR(INDEX(Setup!$C$21:$C$60,MATCH("|"&amp;UPPER(TRIM($G132)),Setup!$Q$21:$Q$60,0)),"NO RATE"),IFERROR(INDEX(Setup!$C$21:$C$60,MATCH(UPPER(TRIM($F132))&amp;"|"&amp;UPPER(TRIM($G132)),Setup!$P$21:$P$60,0)),IFERROR(INDEX(Setup!$C$21:$C$60,MATCH(UPPER(TRIM($G132))&amp;"|"&amp;UPPER(TRIM($F132)),Setup!$P$21:$P$60,0)),"NO RATE"))))</f>
        <v/>
      </c>
      <c r="J132" s="97" t="n"/>
      <c r="K132" s="89">
        <f>IF(OR($G132="",$H132="",NOT(ISNUMBER($I132))),"",ROUND($H132*$I132*(1+IF($J132="",Setup!$B$16,$J132)),2))</f>
        <v/>
      </c>
      <c r="L132" s="89">
        <f>IF($K132="","",ROUND($K132*Setup!$B$13,2))</f>
        <v/>
      </c>
      <c r="M132" s="89">
        <f>IF($K132="","",$K132-$L132)</f>
        <v/>
      </c>
      <c r="N132" s="89">
        <f>IF(OR($M132="",$D132=""),"",ROUND($M132*IFERROR(IF(VLOOKUP($D132,Setup!$A$76:$C$87,3,FALSE)="",Setup!$B$14,VLOOKUP($D132,Setup!$A$76:$C$87,3,FALSE)),Setup!$B$14),2))</f>
        <v/>
      </c>
      <c r="O132" s="89">
        <f>IF(OR($M132="",$E132=""),"",ROUND($M132*IFERROR(IF(VLOOKUP($E132,Setup!$A$76:$C$87,3,FALSE)="",Setup!$B$15,VLOOKUP($E132,Setup!$A$76:$C$87,3,FALSE)),Setup!$B$15),2))</f>
        <v/>
      </c>
      <c r="P132" s="98" t="n"/>
      <c r="Q132" s="98" t="n"/>
      <c r="R132" s="98" t="n"/>
      <c r="S132" s="98" t="n"/>
      <c r="T132" s="98" t="n"/>
      <c r="U132" s="89">
        <f>IF($K132="","",SUM($R132:$T132))</f>
        <v/>
      </c>
      <c r="V132" s="89">
        <f>IF($K132="","",$M132-(N($N132)+N($O132)+IF($P132="",Setup!$B$17,$P132)+N($Q132))-N($U132))</f>
        <v/>
      </c>
      <c r="W132" s="94" t="n"/>
      <c r="X132" s="95" t="n"/>
      <c r="Z132" s="92">
        <f>IF($A132="","",DATE(YEAR($A132),MONTH($A132),1))</f>
        <v/>
      </c>
    </row>
    <row r="133">
      <c r="A133" s="85" t="n"/>
      <c r="B133" s="86" t="n"/>
      <c r="C133" s="86" t="n"/>
      <c r="D133" s="87" t="n"/>
      <c r="E133" s="87" t="n"/>
      <c r="F133" s="87" t="n"/>
      <c r="G133" s="87" t="n"/>
      <c r="H133" s="88" t="n"/>
      <c r="I133" s="89">
        <f>IF($G133="","",IF($F133="",IFERROR(INDEX(Setup!$C$21:$C$60,MATCH("|"&amp;UPPER(TRIM($G133)),Setup!$Q$21:$Q$60,0)),"NO RATE"),IFERROR(INDEX(Setup!$C$21:$C$60,MATCH(UPPER(TRIM($F133))&amp;"|"&amp;UPPER(TRIM($G133)),Setup!$P$21:$P$60,0)),IFERROR(INDEX(Setup!$C$21:$C$60,MATCH(UPPER(TRIM($G133))&amp;"|"&amp;UPPER(TRIM($F133)),Setup!$P$21:$P$60,0)),"NO RATE"))))</f>
        <v/>
      </c>
      <c r="J133" s="90" t="n"/>
      <c r="K133" s="89">
        <f>IF(OR($G133="",$H133="",NOT(ISNUMBER($I133))),"",ROUND($H133*$I133*(1+IF($J133="",Setup!$B$16,$J133)),2))</f>
        <v/>
      </c>
      <c r="L133" s="89">
        <f>IF($K133="","",ROUND($K133*Setup!$B$13,2))</f>
        <v/>
      </c>
      <c r="M133" s="89">
        <f>IF($K133="","",$K133-$L133)</f>
        <v/>
      </c>
      <c r="N133" s="89">
        <f>IF(OR($M133="",$D133=""),"",ROUND($M133*IFERROR(IF(VLOOKUP($D133,Setup!$A$76:$C$87,3,FALSE)="",Setup!$B$14,VLOOKUP($D133,Setup!$A$76:$C$87,3,FALSE)),Setup!$B$14),2))</f>
        <v/>
      </c>
      <c r="O133" s="89">
        <f>IF(OR($M133="",$E133=""),"",ROUND($M133*IFERROR(IF(VLOOKUP($E133,Setup!$A$76:$C$87,3,FALSE)="",Setup!$B$15,VLOOKUP($E133,Setup!$A$76:$C$87,3,FALSE)),Setup!$B$15),2))</f>
        <v/>
      </c>
      <c r="P133" s="91" t="n"/>
      <c r="Q133" s="91" t="n"/>
      <c r="R133" s="91" t="n"/>
      <c r="S133" s="91" t="n"/>
      <c r="T133" s="91" t="n"/>
      <c r="U133" s="89">
        <f>IF($K133="","",SUM($R133:$T133))</f>
        <v/>
      </c>
      <c r="V133" s="89">
        <f>IF($K133="","",$M133-(N($N133)+N($O133)+IF($P133="",Setup!$B$17,$P133)+N($Q133))-N($U133))</f>
        <v/>
      </c>
      <c r="W133" s="86" t="n"/>
      <c r="X133" s="87" t="n"/>
      <c r="Z133" s="92">
        <f>IF($A133="","",DATE(YEAR($A133),MONTH($A133),1))</f>
        <v/>
      </c>
    </row>
    <row r="134">
      <c r="A134" s="93" t="n"/>
      <c r="B134" s="94" t="n"/>
      <c r="C134" s="94" t="n"/>
      <c r="D134" s="95" t="n"/>
      <c r="E134" s="95" t="n"/>
      <c r="F134" s="95" t="n"/>
      <c r="G134" s="95" t="n"/>
      <c r="H134" s="96" t="n"/>
      <c r="I134" s="89">
        <f>IF($G134="","",IF($F134="",IFERROR(INDEX(Setup!$C$21:$C$60,MATCH("|"&amp;UPPER(TRIM($G134)),Setup!$Q$21:$Q$60,0)),"NO RATE"),IFERROR(INDEX(Setup!$C$21:$C$60,MATCH(UPPER(TRIM($F134))&amp;"|"&amp;UPPER(TRIM($G134)),Setup!$P$21:$P$60,0)),IFERROR(INDEX(Setup!$C$21:$C$60,MATCH(UPPER(TRIM($G134))&amp;"|"&amp;UPPER(TRIM($F134)),Setup!$P$21:$P$60,0)),"NO RATE"))))</f>
        <v/>
      </c>
      <c r="J134" s="97" t="n"/>
      <c r="K134" s="89">
        <f>IF(OR($G134="",$H134="",NOT(ISNUMBER($I134))),"",ROUND($H134*$I134*(1+IF($J134="",Setup!$B$16,$J134)),2))</f>
        <v/>
      </c>
      <c r="L134" s="89">
        <f>IF($K134="","",ROUND($K134*Setup!$B$13,2))</f>
        <v/>
      </c>
      <c r="M134" s="89">
        <f>IF($K134="","",$K134-$L134)</f>
        <v/>
      </c>
      <c r="N134" s="89">
        <f>IF(OR($M134="",$D134=""),"",ROUND($M134*IFERROR(IF(VLOOKUP($D134,Setup!$A$76:$C$87,3,FALSE)="",Setup!$B$14,VLOOKUP($D134,Setup!$A$76:$C$87,3,FALSE)),Setup!$B$14),2))</f>
        <v/>
      </c>
      <c r="O134" s="89">
        <f>IF(OR($M134="",$E134=""),"",ROUND($M134*IFERROR(IF(VLOOKUP($E134,Setup!$A$76:$C$87,3,FALSE)="",Setup!$B$15,VLOOKUP($E134,Setup!$A$76:$C$87,3,FALSE)),Setup!$B$15),2))</f>
        <v/>
      </c>
      <c r="P134" s="98" t="n"/>
      <c r="Q134" s="98" t="n"/>
      <c r="R134" s="98" t="n"/>
      <c r="S134" s="98" t="n"/>
      <c r="T134" s="98" t="n"/>
      <c r="U134" s="89">
        <f>IF($K134="","",SUM($R134:$T134))</f>
        <v/>
      </c>
      <c r="V134" s="89">
        <f>IF($K134="","",$M134-(N($N134)+N($O134)+IF($P134="",Setup!$B$17,$P134)+N($Q134))-N($U134))</f>
        <v/>
      </c>
      <c r="W134" s="94" t="n"/>
      <c r="X134" s="95" t="n"/>
      <c r="Z134" s="92">
        <f>IF($A134="","",DATE(YEAR($A134),MONTH($A134),1))</f>
        <v/>
      </c>
    </row>
    <row r="135">
      <c r="A135" s="85" t="n"/>
      <c r="B135" s="86" t="n"/>
      <c r="C135" s="86" t="n"/>
      <c r="D135" s="87" t="n"/>
      <c r="E135" s="87" t="n"/>
      <c r="F135" s="87" t="n"/>
      <c r="G135" s="87" t="n"/>
      <c r="H135" s="88" t="n"/>
      <c r="I135" s="89">
        <f>IF($G135="","",IF($F135="",IFERROR(INDEX(Setup!$C$21:$C$60,MATCH("|"&amp;UPPER(TRIM($G135)),Setup!$Q$21:$Q$60,0)),"NO RATE"),IFERROR(INDEX(Setup!$C$21:$C$60,MATCH(UPPER(TRIM($F135))&amp;"|"&amp;UPPER(TRIM($G135)),Setup!$P$21:$P$60,0)),IFERROR(INDEX(Setup!$C$21:$C$60,MATCH(UPPER(TRIM($G135))&amp;"|"&amp;UPPER(TRIM($F135)),Setup!$P$21:$P$60,0)),"NO RATE"))))</f>
        <v/>
      </c>
      <c r="J135" s="90" t="n"/>
      <c r="K135" s="89">
        <f>IF(OR($G135="",$H135="",NOT(ISNUMBER($I135))),"",ROUND($H135*$I135*(1+IF($J135="",Setup!$B$16,$J135)),2))</f>
        <v/>
      </c>
      <c r="L135" s="89">
        <f>IF($K135="","",ROUND($K135*Setup!$B$13,2))</f>
        <v/>
      </c>
      <c r="M135" s="89">
        <f>IF($K135="","",$K135-$L135)</f>
        <v/>
      </c>
      <c r="N135" s="89">
        <f>IF(OR($M135="",$D135=""),"",ROUND($M135*IFERROR(IF(VLOOKUP($D135,Setup!$A$76:$C$87,3,FALSE)="",Setup!$B$14,VLOOKUP($D135,Setup!$A$76:$C$87,3,FALSE)),Setup!$B$14),2))</f>
        <v/>
      </c>
      <c r="O135" s="89">
        <f>IF(OR($M135="",$E135=""),"",ROUND($M135*IFERROR(IF(VLOOKUP($E135,Setup!$A$76:$C$87,3,FALSE)="",Setup!$B$15,VLOOKUP($E135,Setup!$A$76:$C$87,3,FALSE)),Setup!$B$15),2))</f>
        <v/>
      </c>
      <c r="P135" s="91" t="n"/>
      <c r="Q135" s="91" t="n"/>
      <c r="R135" s="91" t="n"/>
      <c r="S135" s="91" t="n"/>
      <c r="T135" s="91" t="n"/>
      <c r="U135" s="89">
        <f>IF($K135="","",SUM($R135:$T135))</f>
        <v/>
      </c>
      <c r="V135" s="89">
        <f>IF($K135="","",$M135-(N($N135)+N($O135)+IF($P135="",Setup!$B$17,$P135)+N($Q135))-N($U135))</f>
        <v/>
      </c>
      <c r="W135" s="86" t="n"/>
      <c r="X135" s="87" t="n"/>
      <c r="Z135" s="92">
        <f>IF($A135="","",DATE(YEAR($A135),MONTH($A135),1))</f>
        <v/>
      </c>
    </row>
    <row r="136">
      <c r="A136" s="93" t="n"/>
      <c r="B136" s="94" t="n"/>
      <c r="C136" s="94" t="n"/>
      <c r="D136" s="95" t="n"/>
      <c r="E136" s="95" t="n"/>
      <c r="F136" s="95" t="n"/>
      <c r="G136" s="95" t="n"/>
      <c r="H136" s="96" t="n"/>
      <c r="I136" s="89">
        <f>IF($G136="","",IF($F136="",IFERROR(INDEX(Setup!$C$21:$C$60,MATCH("|"&amp;UPPER(TRIM($G136)),Setup!$Q$21:$Q$60,0)),"NO RATE"),IFERROR(INDEX(Setup!$C$21:$C$60,MATCH(UPPER(TRIM($F136))&amp;"|"&amp;UPPER(TRIM($G136)),Setup!$P$21:$P$60,0)),IFERROR(INDEX(Setup!$C$21:$C$60,MATCH(UPPER(TRIM($G136))&amp;"|"&amp;UPPER(TRIM($F136)),Setup!$P$21:$P$60,0)),"NO RATE"))))</f>
        <v/>
      </c>
      <c r="J136" s="97" t="n"/>
      <c r="K136" s="89">
        <f>IF(OR($G136="",$H136="",NOT(ISNUMBER($I136))),"",ROUND($H136*$I136*(1+IF($J136="",Setup!$B$16,$J136)),2))</f>
        <v/>
      </c>
      <c r="L136" s="89">
        <f>IF($K136="","",ROUND($K136*Setup!$B$13,2))</f>
        <v/>
      </c>
      <c r="M136" s="89">
        <f>IF($K136="","",$K136-$L136)</f>
        <v/>
      </c>
      <c r="N136" s="89">
        <f>IF(OR($M136="",$D136=""),"",ROUND($M136*IFERROR(IF(VLOOKUP($D136,Setup!$A$76:$C$87,3,FALSE)="",Setup!$B$14,VLOOKUP($D136,Setup!$A$76:$C$87,3,FALSE)),Setup!$B$14),2))</f>
        <v/>
      </c>
      <c r="O136" s="89">
        <f>IF(OR($M136="",$E136=""),"",ROUND($M136*IFERROR(IF(VLOOKUP($E136,Setup!$A$76:$C$87,3,FALSE)="",Setup!$B$15,VLOOKUP($E136,Setup!$A$76:$C$87,3,FALSE)),Setup!$B$15),2))</f>
        <v/>
      </c>
      <c r="P136" s="98" t="n"/>
      <c r="Q136" s="98" t="n"/>
      <c r="R136" s="98" t="n"/>
      <c r="S136" s="98" t="n"/>
      <c r="T136" s="98" t="n"/>
      <c r="U136" s="89">
        <f>IF($K136="","",SUM($R136:$T136))</f>
        <v/>
      </c>
      <c r="V136" s="89">
        <f>IF($K136="","",$M136-(N($N136)+N($O136)+IF($P136="",Setup!$B$17,$P136)+N($Q136))-N($U136))</f>
        <v/>
      </c>
      <c r="W136" s="94" t="n"/>
      <c r="X136" s="95" t="n"/>
      <c r="Z136" s="92">
        <f>IF($A136="","",DATE(YEAR($A136),MONTH($A136),1))</f>
        <v/>
      </c>
    </row>
    <row r="137">
      <c r="A137" s="85" t="n"/>
      <c r="B137" s="86" t="n"/>
      <c r="C137" s="86" t="n"/>
      <c r="D137" s="87" t="n"/>
      <c r="E137" s="87" t="n"/>
      <c r="F137" s="87" t="n"/>
      <c r="G137" s="87" t="n"/>
      <c r="H137" s="88" t="n"/>
      <c r="I137" s="89">
        <f>IF($G137="","",IF($F137="",IFERROR(INDEX(Setup!$C$21:$C$60,MATCH("|"&amp;UPPER(TRIM($G137)),Setup!$Q$21:$Q$60,0)),"NO RATE"),IFERROR(INDEX(Setup!$C$21:$C$60,MATCH(UPPER(TRIM($F137))&amp;"|"&amp;UPPER(TRIM($G137)),Setup!$P$21:$P$60,0)),IFERROR(INDEX(Setup!$C$21:$C$60,MATCH(UPPER(TRIM($G137))&amp;"|"&amp;UPPER(TRIM($F137)),Setup!$P$21:$P$60,0)),"NO RATE"))))</f>
        <v/>
      </c>
      <c r="J137" s="90" t="n"/>
      <c r="K137" s="89">
        <f>IF(OR($G137="",$H137="",NOT(ISNUMBER($I137))),"",ROUND($H137*$I137*(1+IF($J137="",Setup!$B$16,$J137)),2))</f>
        <v/>
      </c>
      <c r="L137" s="89">
        <f>IF($K137="","",ROUND($K137*Setup!$B$13,2))</f>
        <v/>
      </c>
      <c r="M137" s="89">
        <f>IF($K137="","",$K137-$L137)</f>
        <v/>
      </c>
      <c r="N137" s="89">
        <f>IF(OR($M137="",$D137=""),"",ROUND($M137*IFERROR(IF(VLOOKUP($D137,Setup!$A$76:$C$87,3,FALSE)="",Setup!$B$14,VLOOKUP($D137,Setup!$A$76:$C$87,3,FALSE)),Setup!$B$14),2))</f>
        <v/>
      </c>
      <c r="O137" s="89">
        <f>IF(OR($M137="",$E137=""),"",ROUND($M137*IFERROR(IF(VLOOKUP($E137,Setup!$A$76:$C$87,3,FALSE)="",Setup!$B$15,VLOOKUP($E137,Setup!$A$76:$C$87,3,FALSE)),Setup!$B$15),2))</f>
        <v/>
      </c>
      <c r="P137" s="91" t="n"/>
      <c r="Q137" s="91" t="n"/>
      <c r="R137" s="91" t="n"/>
      <c r="S137" s="91" t="n"/>
      <c r="T137" s="91" t="n"/>
      <c r="U137" s="89">
        <f>IF($K137="","",SUM($R137:$T137))</f>
        <v/>
      </c>
      <c r="V137" s="89">
        <f>IF($K137="","",$M137-(N($N137)+N($O137)+IF($P137="",Setup!$B$17,$P137)+N($Q137))-N($U137))</f>
        <v/>
      </c>
      <c r="W137" s="86" t="n"/>
      <c r="X137" s="87" t="n"/>
      <c r="Z137" s="92">
        <f>IF($A137="","",DATE(YEAR($A137),MONTH($A137),1))</f>
        <v/>
      </c>
    </row>
    <row r="138">
      <c r="A138" s="93" t="n"/>
      <c r="B138" s="94" t="n"/>
      <c r="C138" s="94" t="n"/>
      <c r="D138" s="95" t="n"/>
      <c r="E138" s="95" t="n"/>
      <c r="F138" s="95" t="n"/>
      <c r="G138" s="95" t="n"/>
      <c r="H138" s="96" t="n"/>
      <c r="I138" s="89">
        <f>IF($G138="","",IF($F138="",IFERROR(INDEX(Setup!$C$21:$C$60,MATCH("|"&amp;UPPER(TRIM($G138)),Setup!$Q$21:$Q$60,0)),"NO RATE"),IFERROR(INDEX(Setup!$C$21:$C$60,MATCH(UPPER(TRIM($F138))&amp;"|"&amp;UPPER(TRIM($G138)),Setup!$P$21:$P$60,0)),IFERROR(INDEX(Setup!$C$21:$C$60,MATCH(UPPER(TRIM($G138))&amp;"|"&amp;UPPER(TRIM($F138)),Setup!$P$21:$P$60,0)),"NO RATE"))))</f>
        <v/>
      </c>
      <c r="J138" s="97" t="n"/>
      <c r="K138" s="89">
        <f>IF(OR($G138="",$H138="",NOT(ISNUMBER($I138))),"",ROUND($H138*$I138*(1+IF($J138="",Setup!$B$16,$J138)),2))</f>
        <v/>
      </c>
      <c r="L138" s="89">
        <f>IF($K138="","",ROUND($K138*Setup!$B$13,2))</f>
        <v/>
      </c>
      <c r="M138" s="89">
        <f>IF($K138="","",$K138-$L138)</f>
        <v/>
      </c>
      <c r="N138" s="89">
        <f>IF(OR($M138="",$D138=""),"",ROUND($M138*IFERROR(IF(VLOOKUP($D138,Setup!$A$76:$C$87,3,FALSE)="",Setup!$B$14,VLOOKUP($D138,Setup!$A$76:$C$87,3,FALSE)),Setup!$B$14),2))</f>
        <v/>
      </c>
      <c r="O138" s="89">
        <f>IF(OR($M138="",$E138=""),"",ROUND($M138*IFERROR(IF(VLOOKUP($E138,Setup!$A$76:$C$87,3,FALSE)="",Setup!$B$15,VLOOKUP($E138,Setup!$A$76:$C$87,3,FALSE)),Setup!$B$15),2))</f>
        <v/>
      </c>
      <c r="P138" s="98" t="n"/>
      <c r="Q138" s="98" t="n"/>
      <c r="R138" s="98" t="n"/>
      <c r="S138" s="98" t="n"/>
      <c r="T138" s="98" t="n"/>
      <c r="U138" s="89">
        <f>IF($K138="","",SUM($R138:$T138))</f>
        <v/>
      </c>
      <c r="V138" s="89">
        <f>IF($K138="","",$M138-(N($N138)+N($O138)+IF($P138="",Setup!$B$17,$P138)+N($Q138))-N($U138))</f>
        <v/>
      </c>
      <c r="W138" s="94" t="n"/>
      <c r="X138" s="95" t="n"/>
      <c r="Z138" s="92">
        <f>IF($A138="","",DATE(YEAR($A138),MONTH($A138),1))</f>
        <v/>
      </c>
    </row>
    <row r="139">
      <c r="A139" s="85" t="n"/>
      <c r="B139" s="86" t="n"/>
      <c r="C139" s="86" t="n"/>
      <c r="D139" s="87" t="n"/>
      <c r="E139" s="87" t="n"/>
      <c r="F139" s="87" t="n"/>
      <c r="G139" s="87" t="n"/>
      <c r="H139" s="88" t="n"/>
      <c r="I139" s="89">
        <f>IF($G139="","",IF($F139="",IFERROR(INDEX(Setup!$C$21:$C$60,MATCH("|"&amp;UPPER(TRIM($G139)),Setup!$Q$21:$Q$60,0)),"NO RATE"),IFERROR(INDEX(Setup!$C$21:$C$60,MATCH(UPPER(TRIM($F139))&amp;"|"&amp;UPPER(TRIM($G139)),Setup!$P$21:$P$60,0)),IFERROR(INDEX(Setup!$C$21:$C$60,MATCH(UPPER(TRIM($G139))&amp;"|"&amp;UPPER(TRIM($F139)),Setup!$P$21:$P$60,0)),"NO RATE"))))</f>
        <v/>
      </c>
      <c r="J139" s="90" t="n"/>
      <c r="K139" s="89">
        <f>IF(OR($G139="",$H139="",NOT(ISNUMBER($I139))),"",ROUND($H139*$I139*(1+IF($J139="",Setup!$B$16,$J139)),2))</f>
        <v/>
      </c>
      <c r="L139" s="89">
        <f>IF($K139="","",ROUND($K139*Setup!$B$13,2))</f>
        <v/>
      </c>
      <c r="M139" s="89">
        <f>IF($K139="","",$K139-$L139)</f>
        <v/>
      </c>
      <c r="N139" s="89">
        <f>IF(OR($M139="",$D139=""),"",ROUND($M139*IFERROR(IF(VLOOKUP($D139,Setup!$A$76:$C$87,3,FALSE)="",Setup!$B$14,VLOOKUP($D139,Setup!$A$76:$C$87,3,FALSE)),Setup!$B$14),2))</f>
        <v/>
      </c>
      <c r="O139" s="89">
        <f>IF(OR($M139="",$E139=""),"",ROUND($M139*IFERROR(IF(VLOOKUP($E139,Setup!$A$76:$C$87,3,FALSE)="",Setup!$B$15,VLOOKUP($E139,Setup!$A$76:$C$87,3,FALSE)),Setup!$B$15),2))</f>
        <v/>
      </c>
      <c r="P139" s="91" t="n"/>
      <c r="Q139" s="91" t="n"/>
      <c r="R139" s="91" t="n"/>
      <c r="S139" s="91" t="n"/>
      <c r="T139" s="91" t="n"/>
      <c r="U139" s="89">
        <f>IF($K139="","",SUM($R139:$T139))</f>
        <v/>
      </c>
      <c r="V139" s="89">
        <f>IF($K139="","",$M139-(N($N139)+N($O139)+IF($P139="",Setup!$B$17,$P139)+N($Q139))-N($U139))</f>
        <v/>
      </c>
      <c r="W139" s="86" t="n"/>
      <c r="X139" s="87" t="n"/>
      <c r="Z139" s="92">
        <f>IF($A139="","",DATE(YEAR($A139),MONTH($A139),1))</f>
        <v/>
      </c>
    </row>
    <row r="140">
      <c r="A140" s="93" t="n"/>
      <c r="B140" s="94" t="n"/>
      <c r="C140" s="94" t="n"/>
      <c r="D140" s="95" t="n"/>
      <c r="E140" s="95" t="n"/>
      <c r="F140" s="95" t="n"/>
      <c r="G140" s="95" t="n"/>
      <c r="H140" s="96" t="n"/>
      <c r="I140" s="89">
        <f>IF($G140="","",IF($F140="",IFERROR(INDEX(Setup!$C$21:$C$60,MATCH("|"&amp;UPPER(TRIM($G140)),Setup!$Q$21:$Q$60,0)),"NO RATE"),IFERROR(INDEX(Setup!$C$21:$C$60,MATCH(UPPER(TRIM($F140))&amp;"|"&amp;UPPER(TRIM($G140)),Setup!$P$21:$P$60,0)),IFERROR(INDEX(Setup!$C$21:$C$60,MATCH(UPPER(TRIM($G140))&amp;"|"&amp;UPPER(TRIM($F140)),Setup!$P$21:$P$60,0)),"NO RATE"))))</f>
        <v/>
      </c>
      <c r="J140" s="97" t="n"/>
      <c r="K140" s="89">
        <f>IF(OR($G140="",$H140="",NOT(ISNUMBER($I140))),"",ROUND($H140*$I140*(1+IF($J140="",Setup!$B$16,$J140)),2))</f>
        <v/>
      </c>
      <c r="L140" s="89">
        <f>IF($K140="","",ROUND($K140*Setup!$B$13,2))</f>
        <v/>
      </c>
      <c r="M140" s="89">
        <f>IF($K140="","",$K140-$L140)</f>
        <v/>
      </c>
      <c r="N140" s="89">
        <f>IF(OR($M140="",$D140=""),"",ROUND($M140*IFERROR(IF(VLOOKUP($D140,Setup!$A$76:$C$87,3,FALSE)="",Setup!$B$14,VLOOKUP($D140,Setup!$A$76:$C$87,3,FALSE)),Setup!$B$14),2))</f>
        <v/>
      </c>
      <c r="O140" s="89">
        <f>IF(OR($M140="",$E140=""),"",ROUND($M140*IFERROR(IF(VLOOKUP($E140,Setup!$A$76:$C$87,3,FALSE)="",Setup!$B$15,VLOOKUP($E140,Setup!$A$76:$C$87,3,FALSE)),Setup!$B$15),2))</f>
        <v/>
      </c>
      <c r="P140" s="98" t="n"/>
      <c r="Q140" s="98" t="n"/>
      <c r="R140" s="98" t="n"/>
      <c r="S140" s="98" t="n"/>
      <c r="T140" s="98" t="n"/>
      <c r="U140" s="89">
        <f>IF($K140="","",SUM($R140:$T140))</f>
        <v/>
      </c>
      <c r="V140" s="89">
        <f>IF($K140="","",$M140-(N($N140)+N($O140)+IF($P140="",Setup!$B$17,$P140)+N($Q140))-N($U140))</f>
        <v/>
      </c>
      <c r="W140" s="94" t="n"/>
      <c r="X140" s="95" t="n"/>
      <c r="Z140" s="92">
        <f>IF($A140="","",DATE(YEAR($A140),MONTH($A140),1))</f>
        <v/>
      </c>
    </row>
    <row r="141">
      <c r="A141" s="85" t="n"/>
      <c r="B141" s="86" t="n"/>
      <c r="C141" s="86" t="n"/>
      <c r="D141" s="87" t="n"/>
      <c r="E141" s="87" t="n"/>
      <c r="F141" s="87" t="n"/>
      <c r="G141" s="87" t="n"/>
      <c r="H141" s="88" t="n"/>
      <c r="I141" s="89">
        <f>IF($G141="","",IF($F141="",IFERROR(INDEX(Setup!$C$21:$C$60,MATCH("|"&amp;UPPER(TRIM($G141)),Setup!$Q$21:$Q$60,0)),"NO RATE"),IFERROR(INDEX(Setup!$C$21:$C$60,MATCH(UPPER(TRIM($F141))&amp;"|"&amp;UPPER(TRIM($G141)),Setup!$P$21:$P$60,0)),IFERROR(INDEX(Setup!$C$21:$C$60,MATCH(UPPER(TRIM($G141))&amp;"|"&amp;UPPER(TRIM($F141)),Setup!$P$21:$P$60,0)),"NO RATE"))))</f>
        <v/>
      </c>
      <c r="J141" s="90" t="n"/>
      <c r="K141" s="89">
        <f>IF(OR($G141="",$H141="",NOT(ISNUMBER($I141))),"",ROUND($H141*$I141*(1+IF($J141="",Setup!$B$16,$J141)),2))</f>
        <v/>
      </c>
      <c r="L141" s="89">
        <f>IF($K141="","",ROUND($K141*Setup!$B$13,2))</f>
        <v/>
      </c>
      <c r="M141" s="89">
        <f>IF($K141="","",$K141-$L141)</f>
        <v/>
      </c>
      <c r="N141" s="89">
        <f>IF(OR($M141="",$D141=""),"",ROUND($M141*IFERROR(IF(VLOOKUP($D141,Setup!$A$76:$C$87,3,FALSE)="",Setup!$B$14,VLOOKUP($D141,Setup!$A$76:$C$87,3,FALSE)),Setup!$B$14),2))</f>
        <v/>
      </c>
      <c r="O141" s="89">
        <f>IF(OR($M141="",$E141=""),"",ROUND($M141*IFERROR(IF(VLOOKUP($E141,Setup!$A$76:$C$87,3,FALSE)="",Setup!$B$15,VLOOKUP($E141,Setup!$A$76:$C$87,3,FALSE)),Setup!$B$15),2))</f>
        <v/>
      </c>
      <c r="P141" s="91" t="n"/>
      <c r="Q141" s="91" t="n"/>
      <c r="R141" s="91" t="n"/>
      <c r="S141" s="91" t="n"/>
      <c r="T141" s="91" t="n"/>
      <c r="U141" s="89">
        <f>IF($K141="","",SUM($R141:$T141))</f>
        <v/>
      </c>
      <c r="V141" s="89">
        <f>IF($K141="","",$M141-(N($N141)+N($O141)+IF($P141="",Setup!$B$17,$P141)+N($Q141))-N($U141))</f>
        <v/>
      </c>
      <c r="W141" s="86" t="n"/>
      <c r="X141" s="87" t="n"/>
      <c r="Z141" s="92">
        <f>IF($A141="","",DATE(YEAR($A141),MONTH($A141),1))</f>
        <v/>
      </c>
    </row>
    <row r="142">
      <c r="A142" s="93" t="n"/>
      <c r="B142" s="94" t="n"/>
      <c r="C142" s="94" t="n"/>
      <c r="D142" s="95" t="n"/>
      <c r="E142" s="95" t="n"/>
      <c r="F142" s="95" t="n"/>
      <c r="G142" s="95" t="n"/>
      <c r="H142" s="96" t="n"/>
      <c r="I142" s="89">
        <f>IF($G142="","",IF($F142="",IFERROR(INDEX(Setup!$C$21:$C$60,MATCH("|"&amp;UPPER(TRIM($G142)),Setup!$Q$21:$Q$60,0)),"NO RATE"),IFERROR(INDEX(Setup!$C$21:$C$60,MATCH(UPPER(TRIM($F142))&amp;"|"&amp;UPPER(TRIM($G142)),Setup!$P$21:$P$60,0)),IFERROR(INDEX(Setup!$C$21:$C$60,MATCH(UPPER(TRIM($G142))&amp;"|"&amp;UPPER(TRIM($F142)),Setup!$P$21:$P$60,0)),"NO RATE"))))</f>
        <v/>
      </c>
      <c r="J142" s="97" t="n"/>
      <c r="K142" s="89">
        <f>IF(OR($G142="",$H142="",NOT(ISNUMBER($I142))),"",ROUND($H142*$I142*(1+IF($J142="",Setup!$B$16,$J142)),2))</f>
        <v/>
      </c>
      <c r="L142" s="89">
        <f>IF($K142="","",ROUND($K142*Setup!$B$13,2))</f>
        <v/>
      </c>
      <c r="M142" s="89">
        <f>IF($K142="","",$K142-$L142)</f>
        <v/>
      </c>
      <c r="N142" s="89">
        <f>IF(OR($M142="",$D142=""),"",ROUND($M142*IFERROR(IF(VLOOKUP($D142,Setup!$A$76:$C$87,3,FALSE)="",Setup!$B$14,VLOOKUP($D142,Setup!$A$76:$C$87,3,FALSE)),Setup!$B$14),2))</f>
        <v/>
      </c>
      <c r="O142" s="89">
        <f>IF(OR($M142="",$E142=""),"",ROUND($M142*IFERROR(IF(VLOOKUP($E142,Setup!$A$76:$C$87,3,FALSE)="",Setup!$B$15,VLOOKUP($E142,Setup!$A$76:$C$87,3,FALSE)),Setup!$B$15),2))</f>
        <v/>
      </c>
      <c r="P142" s="98" t="n"/>
      <c r="Q142" s="98" t="n"/>
      <c r="R142" s="98" t="n"/>
      <c r="S142" s="98" t="n"/>
      <c r="T142" s="98" t="n"/>
      <c r="U142" s="89">
        <f>IF($K142="","",SUM($R142:$T142))</f>
        <v/>
      </c>
      <c r="V142" s="89">
        <f>IF($K142="","",$M142-(N($N142)+N($O142)+IF($P142="",Setup!$B$17,$P142)+N($Q142))-N($U142))</f>
        <v/>
      </c>
      <c r="W142" s="94" t="n"/>
      <c r="X142" s="95" t="n"/>
      <c r="Z142" s="92">
        <f>IF($A142="","",DATE(YEAR($A142),MONTH($A142),1))</f>
        <v/>
      </c>
    </row>
    <row r="143">
      <c r="A143" s="85" t="n"/>
      <c r="B143" s="86" t="n"/>
      <c r="C143" s="86" t="n"/>
      <c r="D143" s="87" t="n"/>
      <c r="E143" s="87" t="n"/>
      <c r="F143" s="87" t="n"/>
      <c r="G143" s="87" t="n"/>
      <c r="H143" s="88" t="n"/>
      <c r="I143" s="89">
        <f>IF($G143="","",IF($F143="",IFERROR(INDEX(Setup!$C$21:$C$60,MATCH("|"&amp;UPPER(TRIM($G143)),Setup!$Q$21:$Q$60,0)),"NO RATE"),IFERROR(INDEX(Setup!$C$21:$C$60,MATCH(UPPER(TRIM($F143))&amp;"|"&amp;UPPER(TRIM($G143)),Setup!$P$21:$P$60,0)),IFERROR(INDEX(Setup!$C$21:$C$60,MATCH(UPPER(TRIM($G143))&amp;"|"&amp;UPPER(TRIM($F143)),Setup!$P$21:$P$60,0)),"NO RATE"))))</f>
        <v/>
      </c>
      <c r="J143" s="90" t="n"/>
      <c r="K143" s="89">
        <f>IF(OR($G143="",$H143="",NOT(ISNUMBER($I143))),"",ROUND($H143*$I143*(1+IF($J143="",Setup!$B$16,$J143)),2))</f>
        <v/>
      </c>
      <c r="L143" s="89">
        <f>IF($K143="","",ROUND($K143*Setup!$B$13,2))</f>
        <v/>
      </c>
      <c r="M143" s="89">
        <f>IF($K143="","",$K143-$L143)</f>
        <v/>
      </c>
      <c r="N143" s="89">
        <f>IF(OR($M143="",$D143=""),"",ROUND($M143*IFERROR(IF(VLOOKUP($D143,Setup!$A$76:$C$87,3,FALSE)="",Setup!$B$14,VLOOKUP($D143,Setup!$A$76:$C$87,3,FALSE)),Setup!$B$14),2))</f>
        <v/>
      </c>
      <c r="O143" s="89">
        <f>IF(OR($M143="",$E143=""),"",ROUND($M143*IFERROR(IF(VLOOKUP($E143,Setup!$A$76:$C$87,3,FALSE)="",Setup!$B$15,VLOOKUP($E143,Setup!$A$76:$C$87,3,FALSE)),Setup!$B$15),2))</f>
        <v/>
      </c>
      <c r="P143" s="91" t="n"/>
      <c r="Q143" s="91" t="n"/>
      <c r="R143" s="91" t="n"/>
      <c r="S143" s="91" t="n"/>
      <c r="T143" s="91" t="n"/>
      <c r="U143" s="89">
        <f>IF($K143="","",SUM($R143:$T143))</f>
        <v/>
      </c>
      <c r="V143" s="89">
        <f>IF($K143="","",$M143-(N($N143)+N($O143)+IF($P143="",Setup!$B$17,$P143)+N($Q143))-N($U143))</f>
        <v/>
      </c>
      <c r="W143" s="86" t="n"/>
      <c r="X143" s="87" t="n"/>
      <c r="Z143" s="92">
        <f>IF($A143="","",DATE(YEAR($A143),MONTH($A143),1))</f>
        <v/>
      </c>
    </row>
    <row r="144">
      <c r="A144" s="93" t="n"/>
      <c r="B144" s="94" t="n"/>
      <c r="C144" s="94" t="n"/>
      <c r="D144" s="95" t="n"/>
      <c r="E144" s="95" t="n"/>
      <c r="F144" s="95" t="n"/>
      <c r="G144" s="95" t="n"/>
      <c r="H144" s="96" t="n"/>
      <c r="I144" s="89">
        <f>IF($G144="","",IF($F144="",IFERROR(INDEX(Setup!$C$21:$C$60,MATCH("|"&amp;UPPER(TRIM($G144)),Setup!$Q$21:$Q$60,0)),"NO RATE"),IFERROR(INDEX(Setup!$C$21:$C$60,MATCH(UPPER(TRIM($F144))&amp;"|"&amp;UPPER(TRIM($G144)),Setup!$P$21:$P$60,0)),IFERROR(INDEX(Setup!$C$21:$C$60,MATCH(UPPER(TRIM($G144))&amp;"|"&amp;UPPER(TRIM($F144)),Setup!$P$21:$P$60,0)),"NO RATE"))))</f>
        <v/>
      </c>
      <c r="J144" s="97" t="n"/>
      <c r="K144" s="89">
        <f>IF(OR($G144="",$H144="",NOT(ISNUMBER($I144))),"",ROUND($H144*$I144*(1+IF($J144="",Setup!$B$16,$J144)),2))</f>
        <v/>
      </c>
      <c r="L144" s="89">
        <f>IF($K144="","",ROUND($K144*Setup!$B$13,2))</f>
        <v/>
      </c>
      <c r="M144" s="89">
        <f>IF($K144="","",$K144-$L144)</f>
        <v/>
      </c>
      <c r="N144" s="89">
        <f>IF(OR($M144="",$D144=""),"",ROUND($M144*IFERROR(IF(VLOOKUP($D144,Setup!$A$76:$C$87,3,FALSE)="",Setup!$B$14,VLOOKUP($D144,Setup!$A$76:$C$87,3,FALSE)),Setup!$B$14),2))</f>
        <v/>
      </c>
      <c r="O144" s="89">
        <f>IF(OR($M144="",$E144=""),"",ROUND($M144*IFERROR(IF(VLOOKUP($E144,Setup!$A$76:$C$87,3,FALSE)="",Setup!$B$15,VLOOKUP($E144,Setup!$A$76:$C$87,3,FALSE)),Setup!$B$15),2))</f>
        <v/>
      </c>
      <c r="P144" s="98" t="n"/>
      <c r="Q144" s="98" t="n"/>
      <c r="R144" s="98" t="n"/>
      <c r="S144" s="98" t="n"/>
      <c r="T144" s="98" t="n"/>
      <c r="U144" s="89">
        <f>IF($K144="","",SUM($R144:$T144))</f>
        <v/>
      </c>
      <c r="V144" s="89">
        <f>IF($K144="","",$M144-(N($N144)+N($O144)+IF($P144="",Setup!$B$17,$P144)+N($Q144))-N($U144))</f>
        <v/>
      </c>
      <c r="W144" s="94" t="n"/>
      <c r="X144" s="95" t="n"/>
      <c r="Z144" s="92">
        <f>IF($A144="","",DATE(YEAR($A144),MONTH($A144),1))</f>
        <v/>
      </c>
    </row>
    <row r="145">
      <c r="A145" s="85" t="n"/>
      <c r="B145" s="86" t="n"/>
      <c r="C145" s="86" t="n"/>
      <c r="D145" s="87" t="n"/>
      <c r="E145" s="87" t="n"/>
      <c r="F145" s="87" t="n"/>
      <c r="G145" s="87" t="n"/>
      <c r="H145" s="88" t="n"/>
      <c r="I145" s="89">
        <f>IF($G145="","",IF($F145="",IFERROR(INDEX(Setup!$C$21:$C$60,MATCH("|"&amp;UPPER(TRIM($G145)),Setup!$Q$21:$Q$60,0)),"NO RATE"),IFERROR(INDEX(Setup!$C$21:$C$60,MATCH(UPPER(TRIM($F145))&amp;"|"&amp;UPPER(TRIM($G145)),Setup!$P$21:$P$60,0)),IFERROR(INDEX(Setup!$C$21:$C$60,MATCH(UPPER(TRIM($G145))&amp;"|"&amp;UPPER(TRIM($F145)),Setup!$P$21:$P$60,0)),"NO RATE"))))</f>
        <v/>
      </c>
      <c r="J145" s="90" t="n"/>
      <c r="K145" s="89">
        <f>IF(OR($G145="",$H145="",NOT(ISNUMBER($I145))),"",ROUND($H145*$I145*(1+IF($J145="",Setup!$B$16,$J145)),2))</f>
        <v/>
      </c>
      <c r="L145" s="89">
        <f>IF($K145="","",ROUND($K145*Setup!$B$13,2))</f>
        <v/>
      </c>
      <c r="M145" s="89">
        <f>IF($K145="","",$K145-$L145)</f>
        <v/>
      </c>
      <c r="N145" s="89">
        <f>IF(OR($M145="",$D145=""),"",ROUND($M145*IFERROR(IF(VLOOKUP($D145,Setup!$A$76:$C$87,3,FALSE)="",Setup!$B$14,VLOOKUP($D145,Setup!$A$76:$C$87,3,FALSE)),Setup!$B$14),2))</f>
        <v/>
      </c>
      <c r="O145" s="89">
        <f>IF(OR($M145="",$E145=""),"",ROUND($M145*IFERROR(IF(VLOOKUP($E145,Setup!$A$76:$C$87,3,FALSE)="",Setup!$B$15,VLOOKUP($E145,Setup!$A$76:$C$87,3,FALSE)),Setup!$B$15),2))</f>
        <v/>
      </c>
      <c r="P145" s="91" t="n"/>
      <c r="Q145" s="91" t="n"/>
      <c r="R145" s="91" t="n"/>
      <c r="S145" s="91" t="n"/>
      <c r="T145" s="91" t="n"/>
      <c r="U145" s="89">
        <f>IF($K145="","",SUM($R145:$T145))</f>
        <v/>
      </c>
      <c r="V145" s="89">
        <f>IF($K145="","",$M145-(N($N145)+N($O145)+IF($P145="",Setup!$B$17,$P145)+N($Q145))-N($U145))</f>
        <v/>
      </c>
      <c r="W145" s="86" t="n"/>
      <c r="X145" s="87" t="n"/>
      <c r="Z145" s="92">
        <f>IF($A145="","",DATE(YEAR($A145),MONTH($A145),1))</f>
        <v/>
      </c>
    </row>
    <row r="146">
      <c r="A146" s="93" t="n"/>
      <c r="B146" s="94" t="n"/>
      <c r="C146" s="94" t="n"/>
      <c r="D146" s="95" t="n"/>
      <c r="E146" s="95" t="n"/>
      <c r="F146" s="95" t="n"/>
      <c r="G146" s="95" t="n"/>
      <c r="H146" s="96" t="n"/>
      <c r="I146" s="89">
        <f>IF($G146="","",IF($F146="",IFERROR(INDEX(Setup!$C$21:$C$60,MATCH("|"&amp;UPPER(TRIM($G146)),Setup!$Q$21:$Q$60,0)),"NO RATE"),IFERROR(INDEX(Setup!$C$21:$C$60,MATCH(UPPER(TRIM($F146))&amp;"|"&amp;UPPER(TRIM($G146)),Setup!$P$21:$P$60,0)),IFERROR(INDEX(Setup!$C$21:$C$60,MATCH(UPPER(TRIM($G146))&amp;"|"&amp;UPPER(TRIM($F146)),Setup!$P$21:$P$60,0)),"NO RATE"))))</f>
        <v/>
      </c>
      <c r="J146" s="97" t="n"/>
      <c r="K146" s="89">
        <f>IF(OR($G146="",$H146="",NOT(ISNUMBER($I146))),"",ROUND($H146*$I146*(1+IF($J146="",Setup!$B$16,$J146)),2))</f>
        <v/>
      </c>
      <c r="L146" s="89">
        <f>IF($K146="","",ROUND($K146*Setup!$B$13,2))</f>
        <v/>
      </c>
      <c r="M146" s="89">
        <f>IF($K146="","",$K146-$L146)</f>
        <v/>
      </c>
      <c r="N146" s="89">
        <f>IF(OR($M146="",$D146=""),"",ROUND($M146*IFERROR(IF(VLOOKUP($D146,Setup!$A$76:$C$87,3,FALSE)="",Setup!$B$14,VLOOKUP($D146,Setup!$A$76:$C$87,3,FALSE)),Setup!$B$14),2))</f>
        <v/>
      </c>
      <c r="O146" s="89">
        <f>IF(OR($M146="",$E146=""),"",ROUND($M146*IFERROR(IF(VLOOKUP($E146,Setup!$A$76:$C$87,3,FALSE)="",Setup!$B$15,VLOOKUP($E146,Setup!$A$76:$C$87,3,FALSE)),Setup!$B$15),2))</f>
        <v/>
      </c>
      <c r="P146" s="98" t="n"/>
      <c r="Q146" s="98" t="n"/>
      <c r="R146" s="98" t="n"/>
      <c r="S146" s="98" t="n"/>
      <c r="T146" s="98" t="n"/>
      <c r="U146" s="89">
        <f>IF($K146="","",SUM($R146:$T146))</f>
        <v/>
      </c>
      <c r="V146" s="89">
        <f>IF($K146="","",$M146-(N($N146)+N($O146)+IF($P146="",Setup!$B$17,$P146)+N($Q146))-N($U146))</f>
        <v/>
      </c>
      <c r="W146" s="94" t="n"/>
      <c r="X146" s="95" t="n"/>
      <c r="Z146" s="92">
        <f>IF($A146="","",DATE(YEAR($A146),MONTH($A146),1))</f>
        <v/>
      </c>
    </row>
    <row r="147">
      <c r="A147" s="85" t="n"/>
      <c r="B147" s="86" t="n"/>
      <c r="C147" s="86" t="n"/>
      <c r="D147" s="87" t="n"/>
      <c r="E147" s="87" t="n"/>
      <c r="F147" s="87" t="n"/>
      <c r="G147" s="87" t="n"/>
      <c r="H147" s="88" t="n"/>
      <c r="I147" s="89">
        <f>IF($G147="","",IF($F147="",IFERROR(INDEX(Setup!$C$21:$C$60,MATCH("|"&amp;UPPER(TRIM($G147)),Setup!$Q$21:$Q$60,0)),"NO RATE"),IFERROR(INDEX(Setup!$C$21:$C$60,MATCH(UPPER(TRIM($F147))&amp;"|"&amp;UPPER(TRIM($G147)),Setup!$P$21:$P$60,0)),IFERROR(INDEX(Setup!$C$21:$C$60,MATCH(UPPER(TRIM($G147))&amp;"|"&amp;UPPER(TRIM($F147)),Setup!$P$21:$P$60,0)),"NO RATE"))))</f>
        <v/>
      </c>
      <c r="J147" s="90" t="n"/>
      <c r="K147" s="89">
        <f>IF(OR($G147="",$H147="",NOT(ISNUMBER($I147))),"",ROUND($H147*$I147*(1+IF($J147="",Setup!$B$16,$J147)),2))</f>
        <v/>
      </c>
      <c r="L147" s="89">
        <f>IF($K147="","",ROUND($K147*Setup!$B$13,2))</f>
        <v/>
      </c>
      <c r="M147" s="89">
        <f>IF($K147="","",$K147-$L147)</f>
        <v/>
      </c>
      <c r="N147" s="89">
        <f>IF(OR($M147="",$D147=""),"",ROUND($M147*IFERROR(IF(VLOOKUP($D147,Setup!$A$76:$C$87,3,FALSE)="",Setup!$B$14,VLOOKUP($D147,Setup!$A$76:$C$87,3,FALSE)),Setup!$B$14),2))</f>
        <v/>
      </c>
      <c r="O147" s="89">
        <f>IF(OR($M147="",$E147=""),"",ROUND($M147*IFERROR(IF(VLOOKUP($E147,Setup!$A$76:$C$87,3,FALSE)="",Setup!$B$15,VLOOKUP($E147,Setup!$A$76:$C$87,3,FALSE)),Setup!$B$15),2))</f>
        <v/>
      </c>
      <c r="P147" s="91" t="n"/>
      <c r="Q147" s="91" t="n"/>
      <c r="R147" s="91" t="n"/>
      <c r="S147" s="91" t="n"/>
      <c r="T147" s="91" t="n"/>
      <c r="U147" s="89">
        <f>IF($K147="","",SUM($R147:$T147))</f>
        <v/>
      </c>
      <c r="V147" s="89">
        <f>IF($K147="","",$M147-(N($N147)+N($O147)+IF($P147="",Setup!$B$17,$P147)+N($Q147))-N($U147))</f>
        <v/>
      </c>
      <c r="W147" s="86" t="n"/>
      <c r="X147" s="87" t="n"/>
      <c r="Z147" s="92">
        <f>IF($A147="","",DATE(YEAR($A147),MONTH($A147),1))</f>
        <v/>
      </c>
    </row>
    <row r="148">
      <c r="A148" s="93" t="n"/>
      <c r="B148" s="94" t="n"/>
      <c r="C148" s="94" t="n"/>
      <c r="D148" s="95" t="n"/>
      <c r="E148" s="95" t="n"/>
      <c r="F148" s="95" t="n"/>
      <c r="G148" s="95" t="n"/>
      <c r="H148" s="96" t="n"/>
      <c r="I148" s="89">
        <f>IF($G148="","",IF($F148="",IFERROR(INDEX(Setup!$C$21:$C$60,MATCH("|"&amp;UPPER(TRIM($G148)),Setup!$Q$21:$Q$60,0)),"NO RATE"),IFERROR(INDEX(Setup!$C$21:$C$60,MATCH(UPPER(TRIM($F148))&amp;"|"&amp;UPPER(TRIM($G148)),Setup!$P$21:$P$60,0)),IFERROR(INDEX(Setup!$C$21:$C$60,MATCH(UPPER(TRIM($G148))&amp;"|"&amp;UPPER(TRIM($F148)),Setup!$P$21:$P$60,0)),"NO RATE"))))</f>
        <v/>
      </c>
      <c r="J148" s="97" t="n"/>
      <c r="K148" s="89">
        <f>IF(OR($G148="",$H148="",NOT(ISNUMBER($I148))),"",ROUND($H148*$I148*(1+IF($J148="",Setup!$B$16,$J148)),2))</f>
        <v/>
      </c>
      <c r="L148" s="89">
        <f>IF($K148="","",ROUND($K148*Setup!$B$13,2))</f>
        <v/>
      </c>
      <c r="M148" s="89">
        <f>IF($K148="","",$K148-$L148)</f>
        <v/>
      </c>
      <c r="N148" s="89">
        <f>IF(OR($M148="",$D148=""),"",ROUND($M148*IFERROR(IF(VLOOKUP($D148,Setup!$A$76:$C$87,3,FALSE)="",Setup!$B$14,VLOOKUP($D148,Setup!$A$76:$C$87,3,FALSE)),Setup!$B$14),2))</f>
        <v/>
      </c>
      <c r="O148" s="89">
        <f>IF(OR($M148="",$E148=""),"",ROUND($M148*IFERROR(IF(VLOOKUP($E148,Setup!$A$76:$C$87,3,FALSE)="",Setup!$B$15,VLOOKUP($E148,Setup!$A$76:$C$87,3,FALSE)),Setup!$B$15),2))</f>
        <v/>
      </c>
      <c r="P148" s="98" t="n"/>
      <c r="Q148" s="98" t="n"/>
      <c r="R148" s="98" t="n"/>
      <c r="S148" s="98" t="n"/>
      <c r="T148" s="98" t="n"/>
      <c r="U148" s="89">
        <f>IF($K148="","",SUM($R148:$T148))</f>
        <v/>
      </c>
      <c r="V148" s="89">
        <f>IF($K148="","",$M148-(N($N148)+N($O148)+IF($P148="",Setup!$B$17,$P148)+N($Q148))-N($U148))</f>
        <v/>
      </c>
      <c r="W148" s="94" t="n"/>
      <c r="X148" s="95" t="n"/>
      <c r="Z148" s="92">
        <f>IF($A148="","",DATE(YEAR($A148),MONTH($A148),1))</f>
        <v/>
      </c>
    </row>
    <row r="149">
      <c r="A149" s="85" t="n"/>
      <c r="B149" s="86" t="n"/>
      <c r="C149" s="86" t="n"/>
      <c r="D149" s="87" t="n"/>
      <c r="E149" s="87" t="n"/>
      <c r="F149" s="87" t="n"/>
      <c r="G149" s="87" t="n"/>
      <c r="H149" s="88" t="n"/>
      <c r="I149" s="89">
        <f>IF($G149="","",IF($F149="",IFERROR(INDEX(Setup!$C$21:$C$60,MATCH("|"&amp;UPPER(TRIM($G149)),Setup!$Q$21:$Q$60,0)),"NO RATE"),IFERROR(INDEX(Setup!$C$21:$C$60,MATCH(UPPER(TRIM($F149))&amp;"|"&amp;UPPER(TRIM($G149)),Setup!$P$21:$P$60,0)),IFERROR(INDEX(Setup!$C$21:$C$60,MATCH(UPPER(TRIM($G149))&amp;"|"&amp;UPPER(TRIM($F149)),Setup!$P$21:$P$60,0)),"NO RATE"))))</f>
        <v/>
      </c>
      <c r="J149" s="90" t="n"/>
      <c r="K149" s="89">
        <f>IF(OR($G149="",$H149="",NOT(ISNUMBER($I149))),"",ROUND($H149*$I149*(1+IF($J149="",Setup!$B$16,$J149)),2))</f>
        <v/>
      </c>
      <c r="L149" s="89">
        <f>IF($K149="","",ROUND($K149*Setup!$B$13,2))</f>
        <v/>
      </c>
      <c r="M149" s="89">
        <f>IF($K149="","",$K149-$L149)</f>
        <v/>
      </c>
      <c r="N149" s="89">
        <f>IF(OR($M149="",$D149=""),"",ROUND($M149*IFERROR(IF(VLOOKUP($D149,Setup!$A$76:$C$87,3,FALSE)="",Setup!$B$14,VLOOKUP($D149,Setup!$A$76:$C$87,3,FALSE)),Setup!$B$14),2))</f>
        <v/>
      </c>
      <c r="O149" s="89">
        <f>IF(OR($M149="",$E149=""),"",ROUND($M149*IFERROR(IF(VLOOKUP($E149,Setup!$A$76:$C$87,3,FALSE)="",Setup!$B$15,VLOOKUP($E149,Setup!$A$76:$C$87,3,FALSE)),Setup!$B$15),2))</f>
        <v/>
      </c>
      <c r="P149" s="91" t="n"/>
      <c r="Q149" s="91" t="n"/>
      <c r="R149" s="91" t="n"/>
      <c r="S149" s="91" t="n"/>
      <c r="T149" s="91" t="n"/>
      <c r="U149" s="89">
        <f>IF($K149="","",SUM($R149:$T149))</f>
        <v/>
      </c>
      <c r="V149" s="89">
        <f>IF($K149="","",$M149-(N($N149)+N($O149)+IF($P149="",Setup!$B$17,$P149)+N($Q149))-N($U149))</f>
        <v/>
      </c>
      <c r="W149" s="86" t="n"/>
      <c r="X149" s="87" t="n"/>
      <c r="Z149" s="92">
        <f>IF($A149="","",DATE(YEAR($A149),MONTH($A149),1))</f>
        <v/>
      </c>
    </row>
    <row r="150">
      <c r="A150" s="93" t="n"/>
      <c r="B150" s="94" t="n"/>
      <c r="C150" s="94" t="n"/>
      <c r="D150" s="95" t="n"/>
      <c r="E150" s="95" t="n"/>
      <c r="F150" s="95" t="n"/>
      <c r="G150" s="95" t="n"/>
      <c r="H150" s="96" t="n"/>
      <c r="I150" s="89">
        <f>IF($G150="","",IF($F150="",IFERROR(INDEX(Setup!$C$21:$C$60,MATCH("|"&amp;UPPER(TRIM($G150)),Setup!$Q$21:$Q$60,0)),"NO RATE"),IFERROR(INDEX(Setup!$C$21:$C$60,MATCH(UPPER(TRIM($F150))&amp;"|"&amp;UPPER(TRIM($G150)),Setup!$P$21:$P$60,0)),IFERROR(INDEX(Setup!$C$21:$C$60,MATCH(UPPER(TRIM($G150))&amp;"|"&amp;UPPER(TRIM($F150)),Setup!$P$21:$P$60,0)),"NO RATE"))))</f>
        <v/>
      </c>
      <c r="J150" s="97" t="n"/>
      <c r="K150" s="89">
        <f>IF(OR($G150="",$H150="",NOT(ISNUMBER($I150))),"",ROUND($H150*$I150*(1+IF($J150="",Setup!$B$16,$J150)),2))</f>
        <v/>
      </c>
      <c r="L150" s="89">
        <f>IF($K150="","",ROUND($K150*Setup!$B$13,2))</f>
        <v/>
      </c>
      <c r="M150" s="89">
        <f>IF($K150="","",$K150-$L150)</f>
        <v/>
      </c>
      <c r="N150" s="89">
        <f>IF(OR($M150="",$D150=""),"",ROUND($M150*IFERROR(IF(VLOOKUP($D150,Setup!$A$76:$C$87,3,FALSE)="",Setup!$B$14,VLOOKUP($D150,Setup!$A$76:$C$87,3,FALSE)),Setup!$B$14),2))</f>
        <v/>
      </c>
      <c r="O150" s="89">
        <f>IF(OR($M150="",$E150=""),"",ROUND($M150*IFERROR(IF(VLOOKUP($E150,Setup!$A$76:$C$87,3,FALSE)="",Setup!$B$15,VLOOKUP($E150,Setup!$A$76:$C$87,3,FALSE)),Setup!$B$15),2))</f>
        <v/>
      </c>
      <c r="P150" s="98" t="n"/>
      <c r="Q150" s="98" t="n"/>
      <c r="R150" s="98" t="n"/>
      <c r="S150" s="98" t="n"/>
      <c r="T150" s="98" t="n"/>
      <c r="U150" s="89">
        <f>IF($K150="","",SUM($R150:$T150))</f>
        <v/>
      </c>
      <c r="V150" s="89">
        <f>IF($K150="","",$M150-(N($N150)+N($O150)+IF($P150="",Setup!$B$17,$P150)+N($Q150))-N($U150))</f>
        <v/>
      </c>
      <c r="W150" s="94" t="n"/>
      <c r="X150" s="95" t="n"/>
      <c r="Z150" s="92">
        <f>IF($A150="","",DATE(YEAR($A150),MONTH($A150),1))</f>
        <v/>
      </c>
    </row>
    <row r="151">
      <c r="A151" s="85" t="n"/>
      <c r="B151" s="86" t="n"/>
      <c r="C151" s="86" t="n"/>
      <c r="D151" s="87" t="n"/>
      <c r="E151" s="87" t="n"/>
      <c r="F151" s="87" t="n"/>
      <c r="G151" s="87" t="n"/>
      <c r="H151" s="88" t="n"/>
      <c r="I151" s="89">
        <f>IF($G151="","",IF($F151="",IFERROR(INDEX(Setup!$C$21:$C$60,MATCH("|"&amp;UPPER(TRIM($G151)),Setup!$Q$21:$Q$60,0)),"NO RATE"),IFERROR(INDEX(Setup!$C$21:$C$60,MATCH(UPPER(TRIM($F151))&amp;"|"&amp;UPPER(TRIM($G151)),Setup!$P$21:$P$60,0)),IFERROR(INDEX(Setup!$C$21:$C$60,MATCH(UPPER(TRIM($G151))&amp;"|"&amp;UPPER(TRIM($F151)),Setup!$P$21:$P$60,0)),"NO RATE"))))</f>
        <v/>
      </c>
      <c r="J151" s="90" t="n"/>
      <c r="K151" s="89">
        <f>IF(OR($G151="",$H151="",NOT(ISNUMBER($I151))),"",ROUND($H151*$I151*(1+IF($J151="",Setup!$B$16,$J151)),2))</f>
        <v/>
      </c>
      <c r="L151" s="89">
        <f>IF($K151="","",ROUND($K151*Setup!$B$13,2))</f>
        <v/>
      </c>
      <c r="M151" s="89">
        <f>IF($K151="","",$K151-$L151)</f>
        <v/>
      </c>
      <c r="N151" s="89">
        <f>IF(OR($M151="",$D151=""),"",ROUND($M151*IFERROR(IF(VLOOKUP($D151,Setup!$A$76:$C$87,3,FALSE)="",Setup!$B$14,VLOOKUP($D151,Setup!$A$76:$C$87,3,FALSE)),Setup!$B$14),2))</f>
        <v/>
      </c>
      <c r="O151" s="89">
        <f>IF(OR($M151="",$E151=""),"",ROUND($M151*IFERROR(IF(VLOOKUP($E151,Setup!$A$76:$C$87,3,FALSE)="",Setup!$B$15,VLOOKUP($E151,Setup!$A$76:$C$87,3,FALSE)),Setup!$B$15),2))</f>
        <v/>
      </c>
      <c r="P151" s="91" t="n"/>
      <c r="Q151" s="91" t="n"/>
      <c r="R151" s="91" t="n"/>
      <c r="S151" s="91" t="n"/>
      <c r="T151" s="91" t="n"/>
      <c r="U151" s="89">
        <f>IF($K151="","",SUM($R151:$T151))</f>
        <v/>
      </c>
      <c r="V151" s="89">
        <f>IF($K151="","",$M151-(N($N151)+N($O151)+IF($P151="",Setup!$B$17,$P151)+N($Q151))-N($U151))</f>
        <v/>
      </c>
      <c r="W151" s="86" t="n"/>
      <c r="X151" s="87" t="n"/>
      <c r="Z151" s="92">
        <f>IF($A151="","",DATE(YEAR($A151),MONTH($A151),1))</f>
        <v/>
      </c>
    </row>
    <row r="152">
      <c r="A152" s="93" t="n"/>
      <c r="B152" s="94" t="n"/>
      <c r="C152" s="94" t="n"/>
      <c r="D152" s="95" t="n"/>
      <c r="E152" s="95" t="n"/>
      <c r="F152" s="95" t="n"/>
      <c r="G152" s="95" t="n"/>
      <c r="H152" s="96" t="n"/>
      <c r="I152" s="89">
        <f>IF($G152="","",IF($F152="",IFERROR(INDEX(Setup!$C$21:$C$60,MATCH("|"&amp;UPPER(TRIM($G152)),Setup!$Q$21:$Q$60,0)),"NO RATE"),IFERROR(INDEX(Setup!$C$21:$C$60,MATCH(UPPER(TRIM($F152))&amp;"|"&amp;UPPER(TRIM($G152)),Setup!$P$21:$P$60,0)),IFERROR(INDEX(Setup!$C$21:$C$60,MATCH(UPPER(TRIM($G152))&amp;"|"&amp;UPPER(TRIM($F152)),Setup!$P$21:$P$60,0)),"NO RATE"))))</f>
        <v/>
      </c>
      <c r="J152" s="97" t="n"/>
      <c r="K152" s="89">
        <f>IF(OR($G152="",$H152="",NOT(ISNUMBER($I152))),"",ROUND($H152*$I152*(1+IF($J152="",Setup!$B$16,$J152)),2))</f>
        <v/>
      </c>
      <c r="L152" s="89">
        <f>IF($K152="","",ROUND($K152*Setup!$B$13,2))</f>
        <v/>
      </c>
      <c r="M152" s="89">
        <f>IF($K152="","",$K152-$L152)</f>
        <v/>
      </c>
      <c r="N152" s="89">
        <f>IF(OR($M152="",$D152=""),"",ROUND($M152*IFERROR(IF(VLOOKUP($D152,Setup!$A$76:$C$87,3,FALSE)="",Setup!$B$14,VLOOKUP($D152,Setup!$A$76:$C$87,3,FALSE)),Setup!$B$14),2))</f>
        <v/>
      </c>
      <c r="O152" s="89">
        <f>IF(OR($M152="",$E152=""),"",ROUND($M152*IFERROR(IF(VLOOKUP($E152,Setup!$A$76:$C$87,3,FALSE)="",Setup!$B$15,VLOOKUP($E152,Setup!$A$76:$C$87,3,FALSE)),Setup!$B$15),2))</f>
        <v/>
      </c>
      <c r="P152" s="98" t="n"/>
      <c r="Q152" s="98" t="n"/>
      <c r="R152" s="98" t="n"/>
      <c r="S152" s="98" t="n"/>
      <c r="T152" s="98" t="n"/>
      <c r="U152" s="89">
        <f>IF($K152="","",SUM($R152:$T152))</f>
        <v/>
      </c>
      <c r="V152" s="89">
        <f>IF($K152="","",$M152-(N($N152)+N($O152)+IF($P152="",Setup!$B$17,$P152)+N($Q152))-N($U152))</f>
        <v/>
      </c>
      <c r="W152" s="94" t="n"/>
      <c r="X152" s="95" t="n"/>
      <c r="Z152" s="92">
        <f>IF($A152="","",DATE(YEAR($A152),MONTH($A152),1))</f>
        <v/>
      </c>
    </row>
    <row r="153">
      <c r="A153" s="85" t="n"/>
      <c r="B153" s="86" t="n"/>
      <c r="C153" s="86" t="n"/>
      <c r="D153" s="87" t="n"/>
      <c r="E153" s="87" t="n"/>
      <c r="F153" s="87" t="n"/>
      <c r="G153" s="87" t="n"/>
      <c r="H153" s="88" t="n"/>
      <c r="I153" s="89">
        <f>IF($G153="","",IF($F153="",IFERROR(INDEX(Setup!$C$21:$C$60,MATCH("|"&amp;UPPER(TRIM($G153)),Setup!$Q$21:$Q$60,0)),"NO RATE"),IFERROR(INDEX(Setup!$C$21:$C$60,MATCH(UPPER(TRIM($F153))&amp;"|"&amp;UPPER(TRIM($G153)),Setup!$P$21:$P$60,0)),IFERROR(INDEX(Setup!$C$21:$C$60,MATCH(UPPER(TRIM($G153))&amp;"|"&amp;UPPER(TRIM($F153)),Setup!$P$21:$P$60,0)),"NO RATE"))))</f>
        <v/>
      </c>
      <c r="J153" s="90" t="n"/>
      <c r="K153" s="89">
        <f>IF(OR($G153="",$H153="",NOT(ISNUMBER($I153))),"",ROUND($H153*$I153*(1+IF($J153="",Setup!$B$16,$J153)),2))</f>
        <v/>
      </c>
      <c r="L153" s="89">
        <f>IF($K153="","",ROUND($K153*Setup!$B$13,2))</f>
        <v/>
      </c>
      <c r="M153" s="89">
        <f>IF($K153="","",$K153-$L153)</f>
        <v/>
      </c>
      <c r="N153" s="89">
        <f>IF(OR($M153="",$D153=""),"",ROUND($M153*IFERROR(IF(VLOOKUP($D153,Setup!$A$76:$C$87,3,FALSE)="",Setup!$B$14,VLOOKUP($D153,Setup!$A$76:$C$87,3,FALSE)),Setup!$B$14),2))</f>
        <v/>
      </c>
      <c r="O153" s="89">
        <f>IF(OR($M153="",$E153=""),"",ROUND($M153*IFERROR(IF(VLOOKUP($E153,Setup!$A$76:$C$87,3,FALSE)="",Setup!$B$15,VLOOKUP($E153,Setup!$A$76:$C$87,3,FALSE)),Setup!$B$15),2))</f>
        <v/>
      </c>
      <c r="P153" s="91" t="n"/>
      <c r="Q153" s="91" t="n"/>
      <c r="R153" s="91" t="n"/>
      <c r="S153" s="91" t="n"/>
      <c r="T153" s="91" t="n"/>
      <c r="U153" s="89">
        <f>IF($K153="","",SUM($R153:$T153))</f>
        <v/>
      </c>
      <c r="V153" s="89">
        <f>IF($K153="","",$M153-(N($N153)+N($O153)+IF($P153="",Setup!$B$17,$P153)+N($Q153))-N($U153))</f>
        <v/>
      </c>
      <c r="W153" s="86" t="n"/>
      <c r="X153" s="87" t="n"/>
      <c r="Z153" s="92">
        <f>IF($A153="","",DATE(YEAR($A153),MONTH($A153),1))</f>
        <v/>
      </c>
    </row>
    <row r="154">
      <c r="A154" s="93" t="n"/>
      <c r="B154" s="94" t="n"/>
      <c r="C154" s="94" t="n"/>
      <c r="D154" s="95" t="n"/>
      <c r="E154" s="95" t="n"/>
      <c r="F154" s="95" t="n"/>
      <c r="G154" s="95" t="n"/>
      <c r="H154" s="96" t="n"/>
      <c r="I154" s="89">
        <f>IF($G154="","",IF($F154="",IFERROR(INDEX(Setup!$C$21:$C$60,MATCH("|"&amp;UPPER(TRIM($G154)),Setup!$Q$21:$Q$60,0)),"NO RATE"),IFERROR(INDEX(Setup!$C$21:$C$60,MATCH(UPPER(TRIM($F154))&amp;"|"&amp;UPPER(TRIM($G154)),Setup!$P$21:$P$60,0)),IFERROR(INDEX(Setup!$C$21:$C$60,MATCH(UPPER(TRIM($G154))&amp;"|"&amp;UPPER(TRIM($F154)),Setup!$P$21:$P$60,0)),"NO RATE"))))</f>
        <v/>
      </c>
      <c r="J154" s="97" t="n"/>
      <c r="K154" s="89">
        <f>IF(OR($G154="",$H154="",NOT(ISNUMBER($I154))),"",ROUND($H154*$I154*(1+IF($J154="",Setup!$B$16,$J154)),2))</f>
        <v/>
      </c>
      <c r="L154" s="89">
        <f>IF($K154="","",ROUND($K154*Setup!$B$13,2))</f>
        <v/>
      </c>
      <c r="M154" s="89">
        <f>IF($K154="","",$K154-$L154)</f>
        <v/>
      </c>
      <c r="N154" s="89">
        <f>IF(OR($M154="",$D154=""),"",ROUND($M154*IFERROR(IF(VLOOKUP($D154,Setup!$A$76:$C$87,3,FALSE)="",Setup!$B$14,VLOOKUP($D154,Setup!$A$76:$C$87,3,FALSE)),Setup!$B$14),2))</f>
        <v/>
      </c>
      <c r="O154" s="89">
        <f>IF(OR($M154="",$E154=""),"",ROUND($M154*IFERROR(IF(VLOOKUP($E154,Setup!$A$76:$C$87,3,FALSE)="",Setup!$B$15,VLOOKUP($E154,Setup!$A$76:$C$87,3,FALSE)),Setup!$B$15),2))</f>
        <v/>
      </c>
      <c r="P154" s="98" t="n"/>
      <c r="Q154" s="98" t="n"/>
      <c r="R154" s="98" t="n"/>
      <c r="S154" s="98" t="n"/>
      <c r="T154" s="98" t="n"/>
      <c r="U154" s="89">
        <f>IF($K154="","",SUM($R154:$T154))</f>
        <v/>
      </c>
      <c r="V154" s="89">
        <f>IF($K154="","",$M154-(N($N154)+N($O154)+IF($P154="",Setup!$B$17,$P154)+N($Q154))-N($U154))</f>
        <v/>
      </c>
      <c r="W154" s="94" t="n"/>
      <c r="X154" s="95" t="n"/>
      <c r="Z154" s="92">
        <f>IF($A154="","",DATE(YEAR($A154),MONTH($A154),1))</f>
        <v/>
      </c>
    </row>
    <row r="155">
      <c r="A155" s="85" t="n"/>
      <c r="B155" s="86" t="n"/>
      <c r="C155" s="86" t="n"/>
      <c r="D155" s="87" t="n"/>
      <c r="E155" s="87" t="n"/>
      <c r="F155" s="87" t="n"/>
      <c r="G155" s="87" t="n"/>
      <c r="H155" s="88" t="n"/>
      <c r="I155" s="89">
        <f>IF($G155="","",IF($F155="",IFERROR(INDEX(Setup!$C$21:$C$60,MATCH("|"&amp;UPPER(TRIM($G155)),Setup!$Q$21:$Q$60,0)),"NO RATE"),IFERROR(INDEX(Setup!$C$21:$C$60,MATCH(UPPER(TRIM($F155))&amp;"|"&amp;UPPER(TRIM($G155)),Setup!$P$21:$P$60,0)),IFERROR(INDEX(Setup!$C$21:$C$60,MATCH(UPPER(TRIM($G155))&amp;"|"&amp;UPPER(TRIM($F155)),Setup!$P$21:$P$60,0)),"NO RATE"))))</f>
        <v/>
      </c>
      <c r="J155" s="90" t="n"/>
      <c r="K155" s="89">
        <f>IF(OR($G155="",$H155="",NOT(ISNUMBER($I155))),"",ROUND($H155*$I155*(1+IF($J155="",Setup!$B$16,$J155)),2))</f>
        <v/>
      </c>
      <c r="L155" s="89">
        <f>IF($K155="","",ROUND($K155*Setup!$B$13,2))</f>
        <v/>
      </c>
      <c r="M155" s="89">
        <f>IF($K155="","",$K155-$L155)</f>
        <v/>
      </c>
      <c r="N155" s="89">
        <f>IF(OR($M155="",$D155=""),"",ROUND($M155*IFERROR(IF(VLOOKUP($D155,Setup!$A$76:$C$87,3,FALSE)="",Setup!$B$14,VLOOKUP($D155,Setup!$A$76:$C$87,3,FALSE)),Setup!$B$14),2))</f>
        <v/>
      </c>
      <c r="O155" s="89">
        <f>IF(OR($M155="",$E155=""),"",ROUND($M155*IFERROR(IF(VLOOKUP($E155,Setup!$A$76:$C$87,3,FALSE)="",Setup!$B$15,VLOOKUP($E155,Setup!$A$76:$C$87,3,FALSE)),Setup!$B$15),2))</f>
        <v/>
      </c>
      <c r="P155" s="91" t="n"/>
      <c r="Q155" s="91" t="n"/>
      <c r="R155" s="91" t="n"/>
      <c r="S155" s="91" t="n"/>
      <c r="T155" s="91" t="n"/>
      <c r="U155" s="89">
        <f>IF($K155="","",SUM($R155:$T155))</f>
        <v/>
      </c>
      <c r="V155" s="89">
        <f>IF($K155="","",$M155-(N($N155)+N($O155)+IF($P155="",Setup!$B$17,$P155)+N($Q155))-N($U155))</f>
        <v/>
      </c>
      <c r="W155" s="86" t="n"/>
      <c r="X155" s="87" t="n"/>
      <c r="Z155" s="92">
        <f>IF($A155="","",DATE(YEAR($A155),MONTH($A155),1))</f>
        <v/>
      </c>
    </row>
    <row r="156">
      <c r="A156" s="93" t="n"/>
      <c r="B156" s="94" t="n"/>
      <c r="C156" s="94" t="n"/>
      <c r="D156" s="95" t="n"/>
      <c r="E156" s="95" t="n"/>
      <c r="F156" s="95" t="n"/>
      <c r="G156" s="95" t="n"/>
      <c r="H156" s="96" t="n"/>
      <c r="I156" s="89">
        <f>IF($G156="","",IF($F156="",IFERROR(INDEX(Setup!$C$21:$C$60,MATCH("|"&amp;UPPER(TRIM($G156)),Setup!$Q$21:$Q$60,0)),"NO RATE"),IFERROR(INDEX(Setup!$C$21:$C$60,MATCH(UPPER(TRIM($F156))&amp;"|"&amp;UPPER(TRIM($G156)),Setup!$P$21:$P$60,0)),IFERROR(INDEX(Setup!$C$21:$C$60,MATCH(UPPER(TRIM($G156))&amp;"|"&amp;UPPER(TRIM($F156)),Setup!$P$21:$P$60,0)),"NO RATE"))))</f>
        <v/>
      </c>
      <c r="J156" s="97" t="n"/>
      <c r="K156" s="89">
        <f>IF(OR($G156="",$H156="",NOT(ISNUMBER($I156))),"",ROUND($H156*$I156*(1+IF($J156="",Setup!$B$16,$J156)),2))</f>
        <v/>
      </c>
      <c r="L156" s="89">
        <f>IF($K156="","",ROUND($K156*Setup!$B$13,2))</f>
        <v/>
      </c>
      <c r="M156" s="89">
        <f>IF($K156="","",$K156-$L156)</f>
        <v/>
      </c>
      <c r="N156" s="89">
        <f>IF(OR($M156="",$D156=""),"",ROUND($M156*IFERROR(IF(VLOOKUP($D156,Setup!$A$76:$C$87,3,FALSE)="",Setup!$B$14,VLOOKUP($D156,Setup!$A$76:$C$87,3,FALSE)),Setup!$B$14),2))</f>
        <v/>
      </c>
      <c r="O156" s="89">
        <f>IF(OR($M156="",$E156=""),"",ROUND($M156*IFERROR(IF(VLOOKUP($E156,Setup!$A$76:$C$87,3,FALSE)="",Setup!$B$15,VLOOKUP($E156,Setup!$A$76:$C$87,3,FALSE)),Setup!$B$15),2))</f>
        <v/>
      </c>
      <c r="P156" s="98" t="n"/>
      <c r="Q156" s="98" t="n"/>
      <c r="R156" s="98" t="n"/>
      <c r="S156" s="98" t="n"/>
      <c r="T156" s="98" t="n"/>
      <c r="U156" s="89">
        <f>IF($K156="","",SUM($R156:$T156))</f>
        <v/>
      </c>
      <c r="V156" s="89">
        <f>IF($K156="","",$M156-(N($N156)+N($O156)+IF($P156="",Setup!$B$17,$P156)+N($Q156))-N($U156))</f>
        <v/>
      </c>
      <c r="W156" s="94" t="n"/>
      <c r="X156" s="95" t="n"/>
      <c r="Z156" s="92">
        <f>IF($A156="","",DATE(YEAR($A156),MONTH($A156),1))</f>
        <v/>
      </c>
    </row>
    <row r="157">
      <c r="A157" s="85" t="n"/>
      <c r="B157" s="86" t="n"/>
      <c r="C157" s="86" t="n"/>
      <c r="D157" s="87" t="n"/>
      <c r="E157" s="87" t="n"/>
      <c r="F157" s="87" t="n"/>
      <c r="G157" s="87" t="n"/>
      <c r="H157" s="88" t="n"/>
      <c r="I157" s="89">
        <f>IF($G157="","",IF($F157="",IFERROR(INDEX(Setup!$C$21:$C$60,MATCH("|"&amp;UPPER(TRIM($G157)),Setup!$Q$21:$Q$60,0)),"NO RATE"),IFERROR(INDEX(Setup!$C$21:$C$60,MATCH(UPPER(TRIM($F157))&amp;"|"&amp;UPPER(TRIM($G157)),Setup!$P$21:$P$60,0)),IFERROR(INDEX(Setup!$C$21:$C$60,MATCH(UPPER(TRIM($G157))&amp;"|"&amp;UPPER(TRIM($F157)),Setup!$P$21:$P$60,0)),"NO RATE"))))</f>
        <v/>
      </c>
      <c r="J157" s="90" t="n"/>
      <c r="K157" s="89">
        <f>IF(OR($G157="",$H157="",NOT(ISNUMBER($I157))),"",ROUND($H157*$I157*(1+IF($J157="",Setup!$B$16,$J157)),2))</f>
        <v/>
      </c>
      <c r="L157" s="89">
        <f>IF($K157="","",ROUND($K157*Setup!$B$13,2))</f>
        <v/>
      </c>
      <c r="M157" s="89">
        <f>IF($K157="","",$K157-$L157)</f>
        <v/>
      </c>
      <c r="N157" s="89">
        <f>IF(OR($M157="",$D157=""),"",ROUND($M157*IFERROR(IF(VLOOKUP($D157,Setup!$A$76:$C$87,3,FALSE)="",Setup!$B$14,VLOOKUP($D157,Setup!$A$76:$C$87,3,FALSE)),Setup!$B$14),2))</f>
        <v/>
      </c>
      <c r="O157" s="89">
        <f>IF(OR($M157="",$E157=""),"",ROUND($M157*IFERROR(IF(VLOOKUP($E157,Setup!$A$76:$C$87,3,FALSE)="",Setup!$B$15,VLOOKUP($E157,Setup!$A$76:$C$87,3,FALSE)),Setup!$B$15),2))</f>
        <v/>
      </c>
      <c r="P157" s="91" t="n"/>
      <c r="Q157" s="91" t="n"/>
      <c r="R157" s="91" t="n"/>
      <c r="S157" s="91" t="n"/>
      <c r="T157" s="91" t="n"/>
      <c r="U157" s="89">
        <f>IF($K157="","",SUM($R157:$T157))</f>
        <v/>
      </c>
      <c r="V157" s="89">
        <f>IF($K157="","",$M157-(N($N157)+N($O157)+IF($P157="",Setup!$B$17,$P157)+N($Q157))-N($U157))</f>
        <v/>
      </c>
      <c r="W157" s="86" t="n"/>
      <c r="X157" s="87" t="n"/>
      <c r="Z157" s="92">
        <f>IF($A157="","",DATE(YEAR($A157),MONTH($A157),1))</f>
        <v/>
      </c>
    </row>
    <row r="158">
      <c r="A158" s="93" t="n"/>
      <c r="B158" s="94" t="n"/>
      <c r="C158" s="94" t="n"/>
      <c r="D158" s="95" t="n"/>
      <c r="E158" s="95" t="n"/>
      <c r="F158" s="95" t="n"/>
      <c r="G158" s="95" t="n"/>
      <c r="H158" s="96" t="n"/>
      <c r="I158" s="89">
        <f>IF($G158="","",IF($F158="",IFERROR(INDEX(Setup!$C$21:$C$60,MATCH("|"&amp;UPPER(TRIM($G158)),Setup!$Q$21:$Q$60,0)),"NO RATE"),IFERROR(INDEX(Setup!$C$21:$C$60,MATCH(UPPER(TRIM($F158))&amp;"|"&amp;UPPER(TRIM($G158)),Setup!$P$21:$P$60,0)),IFERROR(INDEX(Setup!$C$21:$C$60,MATCH(UPPER(TRIM($G158))&amp;"|"&amp;UPPER(TRIM($F158)),Setup!$P$21:$P$60,0)),"NO RATE"))))</f>
        <v/>
      </c>
      <c r="J158" s="97" t="n"/>
      <c r="K158" s="89">
        <f>IF(OR($G158="",$H158="",NOT(ISNUMBER($I158))),"",ROUND($H158*$I158*(1+IF($J158="",Setup!$B$16,$J158)),2))</f>
        <v/>
      </c>
      <c r="L158" s="89">
        <f>IF($K158="","",ROUND($K158*Setup!$B$13,2))</f>
        <v/>
      </c>
      <c r="M158" s="89">
        <f>IF($K158="","",$K158-$L158)</f>
        <v/>
      </c>
      <c r="N158" s="89">
        <f>IF(OR($M158="",$D158=""),"",ROUND($M158*IFERROR(IF(VLOOKUP($D158,Setup!$A$76:$C$87,3,FALSE)="",Setup!$B$14,VLOOKUP($D158,Setup!$A$76:$C$87,3,FALSE)),Setup!$B$14),2))</f>
        <v/>
      </c>
      <c r="O158" s="89">
        <f>IF(OR($M158="",$E158=""),"",ROUND($M158*IFERROR(IF(VLOOKUP($E158,Setup!$A$76:$C$87,3,FALSE)="",Setup!$B$15,VLOOKUP($E158,Setup!$A$76:$C$87,3,FALSE)),Setup!$B$15),2))</f>
        <v/>
      </c>
      <c r="P158" s="98" t="n"/>
      <c r="Q158" s="98" t="n"/>
      <c r="R158" s="98" t="n"/>
      <c r="S158" s="98" t="n"/>
      <c r="T158" s="98" t="n"/>
      <c r="U158" s="89">
        <f>IF($K158="","",SUM($R158:$T158))</f>
        <v/>
      </c>
      <c r="V158" s="89">
        <f>IF($K158="","",$M158-(N($N158)+N($O158)+IF($P158="",Setup!$B$17,$P158)+N($Q158))-N($U158))</f>
        <v/>
      </c>
      <c r="W158" s="94" t="n"/>
      <c r="X158" s="95" t="n"/>
      <c r="Z158" s="92">
        <f>IF($A158="","",DATE(YEAR($A158),MONTH($A158),1))</f>
        <v/>
      </c>
    </row>
    <row r="159">
      <c r="A159" s="85" t="n"/>
      <c r="B159" s="86" t="n"/>
      <c r="C159" s="86" t="n"/>
      <c r="D159" s="87" t="n"/>
      <c r="E159" s="87" t="n"/>
      <c r="F159" s="87" t="n"/>
      <c r="G159" s="87" t="n"/>
      <c r="H159" s="88" t="n"/>
      <c r="I159" s="89">
        <f>IF($G159="","",IF($F159="",IFERROR(INDEX(Setup!$C$21:$C$60,MATCH("|"&amp;UPPER(TRIM($G159)),Setup!$Q$21:$Q$60,0)),"NO RATE"),IFERROR(INDEX(Setup!$C$21:$C$60,MATCH(UPPER(TRIM($F159))&amp;"|"&amp;UPPER(TRIM($G159)),Setup!$P$21:$P$60,0)),IFERROR(INDEX(Setup!$C$21:$C$60,MATCH(UPPER(TRIM($G159))&amp;"|"&amp;UPPER(TRIM($F159)),Setup!$P$21:$P$60,0)),"NO RATE"))))</f>
        <v/>
      </c>
      <c r="J159" s="90" t="n"/>
      <c r="K159" s="89">
        <f>IF(OR($G159="",$H159="",NOT(ISNUMBER($I159))),"",ROUND($H159*$I159*(1+IF($J159="",Setup!$B$16,$J159)),2))</f>
        <v/>
      </c>
      <c r="L159" s="89">
        <f>IF($K159="","",ROUND($K159*Setup!$B$13,2))</f>
        <v/>
      </c>
      <c r="M159" s="89">
        <f>IF($K159="","",$K159-$L159)</f>
        <v/>
      </c>
      <c r="N159" s="89">
        <f>IF(OR($M159="",$D159=""),"",ROUND($M159*IFERROR(IF(VLOOKUP($D159,Setup!$A$76:$C$87,3,FALSE)="",Setup!$B$14,VLOOKUP($D159,Setup!$A$76:$C$87,3,FALSE)),Setup!$B$14),2))</f>
        <v/>
      </c>
      <c r="O159" s="89">
        <f>IF(OR($M159="",$E159=""),"",ROUND($M159*IFERROR(IF(VLOOKUP($E159,Setup!$A$76:$C$87,3,FALSE)="",Setup!$B$15,VLOOKUP($E159,Setup!$A$76:$C$87,3,FALSE)),Setup!$B$15),2))</f>
        <v/>
      </c>
      <c r="P159" s="91" t="n"/>
      <c r="Q159" s="91" t="n"/>
      <c r="R159" s="91" t="n"/>
      <c r="S159" s="91" t="n"/>
      <c r="T159" s="91" t="n"/>
      <c r="U159" s="89">
        <f>IF($K159="","",SUM($R159:$T159))</f>
        <v/>
      </c>
      <c r="V159" s="89">
        <f>IF($K159="","",$M159-(N($N159)+N($O159)+IF($P159="",Setup!$B$17,$P159)+N($Q159))-N($U159))</f>
        <v/>
      </c>
      <c r="W159" s="86" t="n"/>
      <c r="X159" s="87" t="n"/>
      <c r="Z159" s="92">
        <f>IF($A159="","",DATE(YEAR($A159),MONTH($A159),1))</f>
        <v/>
      </c>
    </row>
    <row r="160">
      <c r="A160" s="93" t="n"/>
      <c r="B160" s="94" t="n"/>
      <c r="C160" s="94" t="n"/>
      <c r="D160" s="95" t="n"/>
      <c r="E160" s="95" t="n"/>
      <c r="F160" s="95" t="n"/>
      <c r="G160" s="95" t="n"/>
      <c r="H160" s="96" t="n"/>
      <c r="I160" s="89">
        <f>IF($G160="","",IF($F160="",IFERROR(INDEX(Setup!$C$21:$C$60,MATCH("|"&amp;UPPER(TRIM($G160)),Setup!$Q$21:$Q$60,0)),"NO RATE"),IFERROR(INDEX(Setup!$C$21:$C$60,MATCH(UPPER(TRIM($F160))&amp;"|"&amp;UPPER(TRIM($G160)),Setup!$P$21:$P$60,0)),IFERROR(INDEX(Setup!$C$21:$C$60,MATCH(UPPER(TRIM($G160))&amp;"|"&amp;UPPER(TRIM($F160)),Setup!$P$21:$P$60,0)),"NO RATE"))))</f>
        <v/>
      </c>
      <c r="J160" s="97" t="n"/>
      <c r="K160" s="89">
        <f>IF(OR($G160="",$H160="",NOT(ISNUMBER($I160))),"",ROUND($H160*$I160*(1+IF($J160="",Setup!$B$16,$J160)),2))</f>
        <v/>
      </c>
      <c r="L160" s="89">
        <f>IF($K160="","",ROUND($K160*Setup!$B$13,2))</f>
        <v/>
      </c>
      <c r="M160" s="89">
        <f>IF($K160="","",$K160-$L160)</f>
        <v/>
      </c>
      <c r="N160" s="89">
        <f>IF(OR($M160="",$D160=""),"",ROUND($M160*IFERROR(IF(VLOOKUP($D160,Setup!$A$76:$C$87,3,FALSE)="",Setup!$B$14,VLOOKUP($D160,Setup!$A$76:$C$87,3,FALSE)),Setup!$B$14),2))</f>
        <v/>
      </c>
      <c r="O160" s="89">
        <f>IF(OR($M160="",$E160=""),"",ROUND($M160*IFERROR(IF(VLOOKUP($E160,Setup!$A$76:$C$87,3,FALSE)="",Setup!$B$15,VLOOKUP($E160,Setup!$A$76:$C$87,3,FALSE)),Setup!$B$15),2))</f>
        <v/>
      </c>
      <c r="P160" s="98" t="n"/>
      <c r="Q160" s="98" t="n"/>
      <c r="R160" s="98" t="n"/>
      <c r="S160" s="98" t="n"/>
      <c r="T160" s="98" t="n"/>
      <c r="U160" s="89">
        <f>IF($K160="","",SUM($R160:$T160))</f>
        <v/>
      </c>
      <c r="V160" s="89">
        <f>IF($K160="","",$M160-(N($N160)+N($O160)+IF($P160="",Setup!$B$17,$P160)+N($Q160))-N($U160))</f>
        <v/>
      </c>
      <c r="W160" s="94" t="n"/>
      <c r="X160" s="95" t="n"/>
      <c r="Z160" s="92">
        <f>IF($A160="","",DATE(YEAR($A160),MONTH($A160),1))</f>
        <v/>
      </c>
    </row>
    <row r="161">
      <c r="A161" s="85" t="n"/>
      <c r="B161" s="86" t="n"/>
      <c r="C161" s="86" t="n"/>
      <c r="D161" s="87" t="n"/>
      <c r="E161" s="87" t="n"/>
      <c r="F161" s="87" t="n"/>
      <c r="G161" s="87" t="n"/>
      <c r="H161" s="88" t="n"/>
      <c r="I161" s="89">
        <f>IF($G161="","",IF($F161="",IFERROR(INDEX(Setup!$C$21:$C$60,MATCH("|"&amp;UPPER(TRIM($G161)),Setup!$Q$21:$Q$60,0)),"NO RATE"),IFERROR(INDEX(Setup!$C$21:$C$60,MATCH(UPPER(TRIM($F161))&amp;"|"&amp;UPPER(TRIM($G161)),Setup!$P$21:$P$60,0)),IFERROR(INDEX(Setup!$C$21:$C$60,MATCH(UPPER(TRIM($G161))&amp;"|"&amp;UPPER(TRIM($F161)),Setup!$P$21:$P$60,0)),"NO RATE"))))</f>
        <v/>
      </c>
      <c r="J161" s="90" t="n"/>
      <c r="K161" s="89">
        <f>IF(OR($G161="",$H161="",NOT(ISNUMBER($I161))),"",ROUND($H161*$I161*(1+IF($J161="",Setup!$B$16,$J161)),2))</f>
        <v/>
      </c>
      <c r="L161" s="89">
        <f>IF($K161="","",ROUND($K161*Setup!$B$13,2))</f>
        <v/>
      </c>
      <c r="M161" s="89">
        <f>IF($K161="","",$K161-$L161)</f>
        <v/>
      </c>
      <c r="N161" s="89">
        <f>IF(OR($M161="",$D161=""),"",ROUND($M161*IFERROR(IF(VLOOKUP($D161,Setup!$A$76:$C$87,3,FALSE)="",Setup!$B$14,VLOOKUP($D161,Setup!$A$76:$C$87,3,FALSE)),Setup!$B$14),2))</f>
        <v/>
      </c>
      <c r="O161" s="89">
        <f>IF(OR($M161="",$E161=""),"",ROUND($M161*IFERROR(IF(VLOOKUP($E161,Setup!$A$76:$C$87,3,FALSE)="",Setup!$B$15,VLOOKUP($E161,Setup!$A$76:$C$87,3,FALSE)),Setup!$B$15),2))</f>
        <v/>
      </c>
      <c r="P161" s="91" t="n"/>
      <c r="Q161" s="91" t="n"/>
      <c r="R161" s="91" t="n"/>
      <c r="S161" s="91" t="n"/>
      <c r="T161" s="91" t="n"/>
      <c r="U161" s="89">
        <f>IF($K161="","",SUM($R161:$T161))</f>
        <v/>
      </c>
      <c r="V161" s="89">
        <f>IF($K161="","",$M161-(N($N161)+N($O161)+IF($P161="",Setup!$B$17,$P161)+N($Q161))-N($U161))</f>
        <v/>
      </c>
      <c r="W161" s="86" t="n"/>
      <c r="X161" s="87" t="n"/>
      <c r="Z161" s="92">
        <f>IF($A161="","",DATE(YEAR($A161),MONTH($A161),1))</f>
        <v/>
      </c>
    </row>
    <row r="162">
      <c r="A162" s="93" t="n"/>
      <c r="B162" s="94" t="n"/>
      <c r="C162" s="94" t="n"/>
      <c r="D162" s="95" t="n"/>
      <c r="E162" s="95" t="n"/>
      <c r="F162" s="95" t="n"/>
      <c r="G162" s="95" t="n"/>
      <c r="H162" s="96" t="n"/>
      <c r="I162" s="89">
        <f>IF($G162="","",IF($F162="",IFERROR(INDEX(Setup!$C$21:$C$60,MATCH("|"&amp;UPPER(TRIM($G162)),Setup!$Q$21:$Q$60,0)),"NO RATE"),IFERROR(INDEX(Setup!$C$21:$C$60,MATCH(UPPER(TRIM($F162))&amp;"|"&amp;UPPER(TRIM($G162)),Setup!$P$21:$P$60,0)),IFERROR(INDEX(Setup!$C$21:$C$60,MATCH(UPPER(TRIM($G162))&amp;"|"&amp;UPPER(TRIM($F162)),Setup!$P$21:$P$60,0)),"NO RATE"))))</f>
        <v/>
      </c>
      <c r="J162" s="97" t="n"/>
      <c r="K162" s="89">
        <f>IF(OR($G162="",$H162="",NOT(ISNUMBER($I162))),"",ROUND($H162*$I162*(1+IF($J162="",Setup!$B$16,$J162)),2))</f>
        <v/>
      </c>
      <c r="L162" s="89">
        <f>IF($K162="","",ROUND($K162*Setup!$B$13,2))</f>
        <v/>
      </c>
      <c r="M162" s="89">
        <f>IF($K162="","",$K162-$L162)</f>
        <v/>
      </c>
      <c r="N162" s="89">
        <f>IF(OR($M162="",$D162=""),"",ROUND($M162*IFERROR(IF(VLOOKUP($D162,Setup!$A$76:$C$87,3,FALSE)="",Setup!$B$14,VLOOKUP($D162,Setup!$A$76:$C$87,3,FALSE)),Setup!$B$14),2))</f>
        <v/>
      </c>
      <c r="O162" s="89">
        <f>IF(OR($M162="",$E162=""),"",ROUND($M162*IFERROR(IF(VLOOKUP($E162,Setup!$A$76:$C$87,3,FALSE)="",Setup!$B$15,VLOOKUP($E162,Setup!$A$76:$C$87,3,FALSE)),Setup!$B$15),2))</f>
        <v/>
      </c>
      <c r="P162" s="98" t="n"/>
      <c r="Q162" s="98" t="n"/>
      <c r="R162" s="98" t="n"/>
      <c r="S162" s="98" t="n"/>
      <c r="T162" s="98" t="n"/>
      <c r="U162" s="89">
        <f>IF($K162="","",SUM($R162:$T162))</f>
        <v/>
      </c>
      <c r="V162" s="89">
        <f>IF($K162="","",$M162-(N($N162)+N($O162)+IF($P162="",Setup!$B$17,$P162)+N($Q162))-N($U162))</f>
        <v/>
      </c>
      <c r="W162" s="94" t="n"/>
      <c r="X162" s="95" t="n"/>
      <c r="Z162" s="92">
        <f>IF($A162="","",DATE(YEAR($A162),MONTH($A162),1))</f>
        <v/>
      </c>
    </row>
    <row r="163">
      <c r="A163" s="85" t="n"/>
      <c r="B163" s="86" t="n"/>
      <c r="C163" s="86" t="n"/>
      <c r="D163" s="87" t="n"/>
      <c r="E163" s="87" t="n"/>
      <c r="F163" s="87" t="n"/>
      <c r="G163" s="87" t="n"/>
      <c r="H163" s="88" t="n"/>
      <c r="I163" s="89">
        <f>IF($G163="","",IF($F163="",IFERROR(INDEX(Setup!$C$21:$C$60,MATCH("|"&amp;UPPER(TRIM($G163)),Setup!$Q$21:$Q$60,0)),"NO RATE"),IFERROR(INDEX(Setup!$C$21:$C$60,MATCH(UPPER(TRIM($F163))&amp;"|"&amp;UPPER(TRIM($G163)),Setup!$P$21:$P$60,0)),IFERROR(INDEX(Setup!$C$21:$C$60,MATCH(UPPER(TRIM($G163))&amp;"|"&amp;UPPER(TRIM($F163)),Setup!$P$21:$P$60,0)),"NO RATE"))))</f>
        <v/>
      </c>
      <c r="J163" s="90" t="n"/>
      <c r="K163" s="89">
        <f>IF(OR($G163="",$H163="",NOT(ISNUMBER($I163))),"",ROUND($H163*$I163*(1+IF($J163="",Setup!$B$16,$J163)),2))</f>
        <v/>
      </c>
      <c r="L163" s="89">
        <f>IF($K163="","",ROUND($K163*Setup!$B$13,2))</f>
        <v/>
      </c>
      <c r="M163" s="89">
        <f>IF($K163="","",$K163-$L163)</f>
        <v/>
      </c>
      <c r="N163" s="89">
        <f>IF(OR($M163="",$D163=""),"",ROUND($M163*IFERROR(IF(VLOOKUP($D163,Setup!$A$76:$C$87,3,FALSE)="",Setup!$B$14,VLOOKUP($D163,Setup!$A$76:$C$87,3,FALSE)),Setup!$B$14),2))</f>
        <v/>
      </c>
      <c r="O163" s="89">
        <f>IF(OR($M163="",$E163=""),"",ROUND($M163*IFERROR(IF(VLOOKUP($E163,Setup!$A$76:$C$87,3,FALSE)="",Setup!$B$15,VLOOKUP($E163,Setup!$A$76:$C$87,3,FALSE)),Setup!$B$15),2))</f>
        <v/>
      </c>
      <c r="P163" s="91" t="n"/>
      <c r="Q163" s="91" t="n"/>
      <c r="R163" s="91" t="n"/>
      <c r="S163" s="91" t="n"/>
      <c r="T163" s="91" t="n"/>
      <c r="U163" s="89">
        <f>IF($K163="","",SUM($R163:$T163))</f>
        <v/>
      </c>
      <c r="V163" s="89">
        <f>IF($K163="","",$M163-(N($N163)+N($O163)+IF($P163="",Setup!$B$17,$P163)+N($Q163))-N($U163))</f>
        <v/>
      </c>
      <c r="W163" s="86" t="n"/>
      <c r="X163" s="87" t="n"/>
      <c r="Z163" s="92">
        <f>IF($A163="","",DATE(YEAR($A163),MONTH($A163),1))</f>
        <v/>
      </c>
    </row>
    <row r="164">
      <c r="A164" s="93" t="n"/>
      <c r="B164" s="94" t="n"/>
      <c r="C164" s="94" t="n"/>
      <c r="D164" s="95" t="n"/>
      <c r="E164" s="95" t="n"/>
      <c r="F164" s="95" t="n"/>
      <c r="G164" s="95" t="n"/>
      <c r="H164" s="96" t="n"/>
      <c r="I164" s="89">
        <f>IF($G164="","",IF($F164="",IFERROR(INDEX(Setup!$C$21:$C$60,MATCH("|"&amp;UPPER(TRIM($G164)),Setup!$Q$21:$Q$60,0)),"NO RATE"),IFERROR(INDEX(Setup!$C$21:$C$60,MATCH(UPPER(TRIM($F164))&amp;"|"&amp;UPPER(TRIM($G164)),Setup!$P$21:$P$60,0)),IFERROR(INDEX(Setup!$C$21:$C$60,MATCH(UPPER(TRIM($G164))&amp;"|"&amp;UPPER(TRIM($F164)),Setup!$P$21:$P$60,0)),"NO RATE"))))</f>
        <v/>
      </c>
      <c r="J164" s="97" t="n"/>
      <c r="K164" s="89">
        <f>IF(OR($G164="",$H164="",NOT(ISNUMBER($I164))),"",ROUND($H164*$I164*(1+IF($J164="",Setup!$B$16,$J164)),2))</f>
        <v/>
      </c>
      <c r="L164" s="89">
        <f>IF($K164="","",ROUND($K164*Setup!$B$13,2))</f>
        <v/>
      </c>
      <c r="M164" s="89">
        <f>IF($K164="","",$K164-$L164)</f>
        <v/>
      </c>
      <c r="N164" s="89">
        <f>IF(OR($M164="",$D164=""),"",ROUND($M164*IFERROR(IF(VLOOKUP($D164,Setup!$A$76:$C$87,3,FALSE)="",Setup!$B$14,VLOOKUP($D164,Setup!$A$76:$C$87,3,FALSE)),Setup!$B$14),2))</f>
        <v/>
      </c>
      <c r="O164" s="89">
        <f>IF(OR($M164="",$E164=""),"",ROUND($M164*IFERROR(IF(VLOOKUP($E164,Setup!$A$76:$C$87,3,FALSE)="",Setup!$B$15,VLOOKUP($E164,Setup!$A$76:$C$87,3,FALSE)),Setup!$B$15),2))</f>
        <v/>
      </c>
      <c r="P164" s="98" t="n"/>
      <c r="Q164" s="98" t="n"/>
      <c r="R164" s="98" t="n"/>
      <c r="S164" s="98" t="n"/>
      <c r="T164" s="98" t="n"/>
      <c r="U164" s="89">
        <f>IF($K164="","",SUM($R164:$T164))</f>
        <v/>
      </c>
      <c r="V164" s="89">
        <f>IF($K164="","",$M164-(N($N164)+N($O164)+IF($P164="",Setup!$B$17,$P164)+N($Q164))-N($U164))</f>
        <v/>
      </c>
      <c r="W164" s="94" t="n"/>
      <c r="X164" s="95" t="n"/>
      <c r="Z164" s="92">
        <f>IF($A164="","",DATE(YEAR($A164),MONTH($A164),1))</f>
        <v/>
      </c>
    </row>
    <row r="165">
      <c r="A165" s="85" t="n"/>
      <c r="B165" s="86" t="n"/>
      <c r="C165" s="86" t="n"/>
      <c r="D165" s="87" t="n"/>
      <c r="E165" s="87" t="n"/>
      <c r="F165" s="87" t="n"/>
      <c r="G165" s="87" t="n"/>
      <c r="H165" s="88" t="n"/>
      <c r="I165" s="89">
        <f>IF($G165="","",IF($F165="",IFERROR(INDEX(Setup!$C$21:$C$60,MATCH("|"&amp;UPPER(TRIM($G165)),Setup!$Q$21:$Q$60,0)),"NO RATE"),IFERROR(INDEX(Setup!$C$21:$C$60,MATCH(UPPER(TRIM($F165))&amp;"|"&amp;UPPER(TRIM($G165)),Setup!$P$21:$P$60,0)),IFERROR(INDEX(Setup!$C$21:$C$60,MATCH(UPPER(TRIM($G165))&amp;"|"&amp;UPPER(TRIM($F165)),Setup!$P$21:$P$60,0)),"NO RATE"))))</f>
        <v/>
      </c>
      <c r="J165" s="90" t="n"/>
      <c r="K165" s="89">
        <f>IF(OR($G165="",$H165="",NOT(ISNUMBER($I165))),"",ROUND($H165*$I165*(1+IF($J165="",Setup!$B$16,$J165)),2))</f>
        <v/>
      </c>
      <c r="L165" s="89">
        <f>IF($K165="","",ROUND($K165*Setup!$B$13,2))</f>
        <v/>
      </c>
      <c r="M165" s="89">
        <f>IF($K165="","",$K165-$L165)</f>
        <v/>
      </c>
      <c r="N165" s="89">
        <f>IF(OR($M165="",$D165=""),"",ROUND($M165*IFERROR(IF(VLOOKUP($D165,Setup!$A$76:$C$87,3,FALSE)="",Setup!$B$14,VLOOKUP($D165,Setup!$A$76:$C$87,3,FALSE)),Setup!$B$14),2))</f>
        <v/>
      </c>
      <c r="O165" s="89">
        <f>IF(OR($M165="",$E165=""),"",ROUND($M165*IFERROR(IF(VLOOKUP($E165,Setup!$A$76:$C$87,3,FALSE)="",Setup!$B$15,VLOOKUP($E165,Setup!$A$76:$C$87,3,FALSE)),Setup!$B$15),2))</f>
        <v/>
      </c>
      <c r="P165" s="91" t="n"/>
      <c r="Q165" s="91" t="n"/>
      <c r="R165" s="91" t="n"/>
      <c r="S165" s="91" t="n"/>
      <c r="T165" s="91" t="n"/>
      <c r="U165" s="89">
        <f>IF($K165="","",SUM($R165:$T165))</f>
        <v/>
      </c>
      <c r="V165" s="89">
        <f>IF($K165="","",$M165-(N($N165)+N($O165)+IF($P165="",Setup!$B$17,$P165)+N($Q165))-N($U165))</f>
        <v/>
      </c>
      <c r="W165" s="86" t="n"/>
      <c r="X165" s="87" t="n"/>
      <c r="Z165" s="92">
        <f>IF($A165="","",DATE(YEAR($A165),MONTH($A165),1))</f>
        <v/>
      </c>
    </row>
    <row r="166">
      <c r="A166" s="93" t="n"/>
      <c r="B166" s="94" t="n"/>
      <c r="C166" s="94" t="n"/>
      <c r="D166" s="95" t="n"/>
      <c r="E166" s="95" t="n"/>
      <c r="F166" s="95" t="n"/>
      <c r="G166" s="95" t="n"/>
      <c r="H166" s="96" t="n"/>
      <c r="I166" s="89">
        <f>IF($G166="","",IF($F166="",IFERROR(INDEX(Setup!$C$21:$C$60,MATCH("|"&amp;UPPER(TRIM($G166)),Setup!$Q$21:$Q$60,0)),"NO RATE"),IFERROR(INDEX(Setup!$C$21:$C$60,MATCH(UPPER(TRIM($F166))&amp;"|"&amp;UPPER(TRIM($G166)),Setup!$P$21:$P$60,0)),IFERROR(INDEX(Setup!$C$21:$C$60,MATCH(UPPER(TRIM($G166))&amp;"|"&amp;UPPER(TRIM($F166)),Setup!$P$21:$P$60,0)),"NO RATE"))))</f>
        <v/>
      </c>
      <c r="J166" s="97" t="n"/>
      <c r="K166" s="89">
        <f>IF(OR($G166="",$H166="",NOT(ISNUMBER($I166))),"",ROUND($H166*$I166*(1+IF($J166="",Setup!$B$16,$J166)),2))</f>
        <v/>
      </c>
      <c r="L166" s="89">
        <f>IF($K166="","",ROUND($K166*Setup!$B$13,2))</f>
        <v/>
      </c>
      <c r="M166" s="89">
        <f>IF($K166="","",$K166-$L166)</f>
        <v/>
      </c>
      <c r="N166" s="89">
        <f>IF(OR($M166="",$D166=""),"",ROUND($M166*IFERROR(IF(VLOOKUP($D166,Setup!$A$76:$C$87,3,FALSE)="",Setup!$B$14,VLOOKUP($D166,Setup!$A$76:$C$87,3,FALSE)),Setup!$B$14),2))</f>
        <v/>
      </c>
      <c r="O166" s="89">
        <f>IF(OR($M166="",$E166=""),"",ROUND($M166*IFERROR(IF(VLOOKUP($E166,Setup!$A$76:$C$87,3,FALSE)="",Setup!$B$15,VLOOKUP($E166,Setup!$A$76:$C$87,3,FALSE)),Setup!$B$15),2))</f>
        <v/>
      </c>
      <c r="P166" s="98" t="n"/>
      <c r="Q166" s="98" t="n"/>
      <c r="R166" s="98" t="n"/>
      <c r="S166" s="98" t="n"/>
      <c r="T166" s="98" t="n"/>
      <c r="U166" s="89">
        <f>IF($K166="","",SUM($R166:$T166))</f>
        <v/>
      </c>
      <c r="V166" s="89">
        <f>IF($K166="","",$M166-(N($N166)+N($O166)+IF($P166="",Setup!$B$17,$P166)+N($Q166))-N($U166))</f>
        <v/>
      </c>
      <c r="W166" s="94" t="n"/>
      <c r="X166" s="95" t="n"/>
      <c r="Z166" s="92">
        <f>IF($A166="","",DATE(YEAR($A166),MONTH($A166),1))</f>
        <v/>
      </c>
    </row>
    <row r="167">
      <c r="A167" s="85" t="n"/>
      <c r="B167" s="86" t="n"/>
      <c r="C167" s="86" t="n"/>
      <c r="D167" s="87" t="n"/>
      <c r="E167" s="87" t="n"/>
      <c r="F167" s="87" t="n"/>
      <c r="G167" s="87" t="n"/>
      <c r="H167" s="88" t="n"/>
      <c r="I167" s="89">
        <f>IF($G167="","",IF($F167="",IFERROR(INDEX(Setup!$C$21:$C$60,MATCH("|"&amp;UPPER(TRIM($G167)),Setup!$Q$21:$Q$60,0)),"NO RATE"),IFERROR(INDEX(Setup!$C$21:$C$60,MATCH(UPPER(TRIM($F167))&amp;"|"&amp;UPPER(TRIM($G167)),Setup!$P$21:$P$60,0)),IFERROR(INDEX(Setup!$C$21:$C$60,MATCH(UPPER(TRIM($G167))&amp;"|"&amp;UPPER(TRIM($F167)),Setup!$P$21:$P$60,0)),"NO RATE"))))</f>
        <v/>
      </c>
      <c r="J167" s="90" t="n"/>
      <c r="K167" s="89">
        <f>IF(OR($G167="",$H167="",NOT(ISNUMBER($I167))),"",ROUND($H167*$I167*(1+IF($J167="",Setup!$B$16,$J167)),2))</f>
        <v/>
      </c>
      <c r="L167" s="89">
        <f>IF($K167="","",ROUND($K167*Setup!$B$13,2))</f>
        <v/>
      </c>
      <c r="M167" s="89">
        <f>IF($K167="","",$K167-$L167)</f>
        <v/>
      </c>
      <c r="N167" s="89">
        <f>IF(OR($M167="",$D167=""),"",ROUND($M167*IFERROR(IF(VLOOKUP($D167,Setup!$A$76:$C$87,3,FALSE)="",Setup!$B$14,VLOOKUP($D167,Setup!$A$76:$C$87,3,FALSE)),Setup!$B$14),2))</f>
        <v/>
      </c>
      <c r="O167" s="89">
        <f>IF(OR($M167="",$E167=""),"",ROUND($M167*IFERROR(IF(VLOOKUP($E167,Setup!$A$76:$C$87,3,FALSE)="",Setup!$B$15,VLOOKUP($E167,Setup!$A$76:$C$87,3,FALSE)),Setup!$B$15),2))</f>
        <v/>
      </c>
      <c r="P167" s="91" t="n"/>
      <c r="Q167" s="91" t="n"/>
      <c r="R167" s="91" t="n"/>
      <c r="S167" s="91" t="n"/>
      <c r="T167" s="91" t="n"/>
      <c r="U167" s="89">
        <f>IF($K167="","",SUM($R167:$T167))</f>
        <v/>
      </c>
      <c r="V167" s="89">
        <f>IF($K167="","",$M167-(N($N167)+N($O167)+IF($P167="",Setup!$B$17,$P167)+N($Q167))-N($U167))</f>
        <v/>
      </c>
      <c r="W167" s="86" t="n"/>
      <c r="X167" s="87" t="n"/>
      <c r="Z167" s="92">
        <f>IF($A167="","",DATE(YEAR($A167),MONTH($A167),1))</f>
        <v/>
      </c>
    </row>
    <row r="168">
      <c r="A168" s="93" t="n"/>
      <c r="B168" s="94" t="n"/>
      <c r="C168" s="94" t="n"/>
      <c r="D168" s="95" t="n"/>
      <c r="E168" s="95" t="n"/>
      <c r="F168" s="95" t="n"/>
      <c r="G168" s="95" t="n"/>
      <c r="H168" s="96" t="n"/>
      <c r="I168" s="89">
        <f>IF($G168="","",IF($F168="",IFERROR(INDEX(Setup!$C$21:$C$60,MATCH("|"&amp;UPPER(TRIM($G168)),Setup!$Q$21:$Q$60,0)),"NO RATE"),IFERROR(INDEX(Setup!$C$21:$C$60,MATCH(UPPER(TRIM($F168))&amp;"|"&amp;UPPER(TRIM($G168)),Setup!$P$21:$P$60,0)),IFERROR(INDEX(Setup!$C$21:$C$60,MATCH(UPPER(TRIM($G168))&amp;"|"&amp;UPPER(TRIM($F168)),Setup!$P$21:$P$60,0)),"NO RATE"))))</f>
        <v/>
      </c>
      <c r="J168" s="97" t="n"/>
      <c r="K168" s="89">
        <f>IF(OR($G168="",$H168="",NOT(ISNUMBER($I168))),"",ROUND($H168*$I168*(1+IF($J168="",Setup!$B$16,$J168)),2))</f>
        <v/>
      </c>
      <c r="L168" s="89">
        <f>IF($K168="","",ROUND($K168*Setup!$B$13,2))</f>
        <v/>
      </c>
      <c r="M168" s="89">
        <f>IF($K168="","",$K168-$L168)</f>
        <v/>
      </c>
      <c r="N168" s="89">
        <f>IF(OR($M168="",$D168=""),"",ROUND($M168*IFERROR(IF(VLOOKUP($D168,Setup!$A$76:$C$87,3,FALSE)="",Setup!$B$14,VLOOKUP($D168,Setup!$A$76:$C$87,3,FALSE)),Setup!$B$14),2))</f>
        <v/>
      </c>
      <c r="O168" s="89">
        <f>IF(OR($M168="",$E168=""),"",ROUND($M168*IFERROR(IF(VLOOKUP($E168,Setup!$A$76:$C$87,3,FALSE)="",Setup!$B$15,VLOOKUP($E168,Setup!$A$76:$C$87,3,FALSE)),Setup!$B$15),2))</f>
        <v/>
      </c>
      <c r="P168" s="98" t="n"/>
      <c r="Q168" s="98" t="n"/>
      <c r="R168" s="98" t="n"/>
      <c r="S168" s="98" t="n"/>
      <c r="T168" s="98" t="n"/>
      <c r="U168" s="89">
        <f>IF($K168="","",SUM($R168:$T168))</f>
        <v/>
      </c>
      <c r="V168" s="89">
        <f>IF($K168="","",$M168-(N($N168)+N($O168)+IF($P168="",Setup!$B$17,$P168)+N($Q168))-N($U168))</f>
        <v/>
      </c>
      <c r="W168" s="94" t="n"/>
      <c r="X168" s="95" t="n"/>
      <c r="Z168" s="92">
        <f>IF($A168="","",DATE(YEAR($A168),MONTH($A168),1))</f>
        <v/>
      </c>
    </row>
    <row r="169">
      <c r="A169" s="85" t="n"/>
      <c r="B169" s="86" t="n"/>
      <c r="C169" s="86" t="n"/>
      <c r="D169" s="87" t="n"/>
      <c r="E169" s="87" t="n"/>
      <c r="F169" s="87" t="n"/>
      <c r="G169" s="87" t="n"/>
      <c r="H169" s="88" t="n"/>
      <c r="I169" s="89">
        <f>IF($G169="","",IF($F169="",IFERROR(INDEX(Setup!$C$21:$C$60,MATCH("|"&amp;UPPER(TRIM($G169)),Setup!$Q$21:$Q$60,0)),"NO RATE"),IFERROR(INDEX(Setup!$C$21:$C$60,MATCH(UPPER(TRIM($F169))&amp;"|"&amp;UPPER(TRIM($G169)),Setup!$P$21:$P$60,0)),IFERROR(INDEX(Setup!$C$21:$C$60,MATCH(UPPER(TRIM($G169))&amp;"|"&amp;UPPER(TRIM($F169)),Setup!$P$21:$P$60,0)),"NO RATE"))))</f>
        <v/>
      </c>
      <c r="J169" s="90" t="n"/>
      <c r="K169" s="89">
        <f>IF(OR($G169="",$H169="",NOT(ISNUMBER($I169))),"",ROUND($H169*$I169*(1+IF($J169="",Setup!$B$16,$J169)),2))</f>
        <v/>
      </c>
      <c r="L169" s="89">
        <f>IF($K169="","",ROUND($K169*Setup!$B$13,2))</f>
        <v/>
      </c>
      <c r="M169" s="89">
        <f>IF($K169="","",$K169-$L169)</f>
        <v/>
      </c>
      <c r="N169" s="89">
        <f>IF(OR($M169="",$D169=""),"",ROUND($M169*IFERROR(IF(VLOOKUP($D169,Setup!$A$76:$C$87,3,FALSE)="",Setup!$B$14,VLOOKUP($D169,Setup!$A$76:$C$87,3,FALSE)),Setup!$B$14),2))</f>
        <v/>
      </c>
      <c r="O169" s="89">
        <f>IF(OR($M169="",$E169=""),"",ROUND($M169*IFERROR(IF(VLOOKUP($E169,Setup!$A$76:$C$87,3,FALSE)="",Setup!$B$15,VLOOKUP($E169,Setup!$A$76:$C$87,3,FALSE)),Setup!$B$15),2))</f>
        <v/>
      </c>
      <c r="P169" s="91" t="n"/>
      <c r="Q169" s="91" t="n"/>
      <c r="R169" s="91" t="n"/>
      <c r="S169" s="91" t="n"/>
      <c r="T169" s="91" t="n"/>
      <c r="U169" s="89">
        <f>IF($K169="","",SUM($R169:$T169))</f>
        <v/>
      </c>
      <c r="V169" s="89">
        <f>IF($K169="","",$M169-(N($N169)+N($O169)+IF($P169="",Setup!$B$17,$P169)+N($Q169))-N($U169))</f>
        <v/>
      </c>
      <c r="W169" s="86" t="n"/>
      <c r="X169" s="87" t="n"/>
      <c r="Z169" s="92">
        <f>IF($A169="","",DATE(YEAR($A169),MONTH($A169),1))</f>
        <v/>
      </c>
    </row>
    <row r="170">
      <c r="A170" s="93" t="n"/>
      <c r="B170" s="94" t="n"/>
      <c r="C170" s="94" t="n"/>
      <c r="D170" s="95" t="n"/>
      <c r="E170" s="95" t="n"/>
      <c r="F170" s="95" t="n"/>
      <c r="G170" s="95" t="n"/>
      <c r="H170" s="96" t="n"/>
      <c r="I170" s="89">
        <f>IF($G170="","",IF($F170="",IFERROR(INDEX(Setup!$C$21:$C$60,MATCH("|"&amp;UPPER(TRIM($G170)),Setup!$Q$21:$Q$60,0)),"NO RATE"),IFERROR(INDEX(Setup!$C$21:$C$60,MATCH(UPPER(TRIM($F170))&amp;"|"&amp;UPPER(TRIM($G170)),Setup!$P$21:$P$60,0)),IFERROR(INDEX(Setup!$C$21:$C$60,MATCH(UPPER(TRIM($G170))&amp;"|"&amp;UPPER(TRIM($F170)),Setup!$P$21:$P$60,0)),"NO RATE"))))</f>
        <v/>
      </c>
      <c r="J170" s="97" t="n"/>
      <c r="K170" s="89">
        <f>IF(OR($G170="",$H170="",NOT(ISNUMBER($I170))),"",ROUND($H170*$I170*(1+IF($J170="",Setup!$B$16,$J170)),2))</f>
        <v/>
      </c>
      <c r="L170" s="89">
        <f>IF($K170="","",ROUND($K170*Setup!$B$13,2))</f>
        <v/>
      </c>
      <c r="M170" s="89">
        <f>IF($K170="","",$K170-$L170)</f>
        <v/>
      </c>
      <c r="N170" s="89">
        <f>IF(OR($M170="",$D170=""),"",ROUND($M170*IFERROR(IF(VLOOKUP($D170,Setup!$A$76:$C$87,3,FALSE)="",Setup!$B$14,VLOOKUP($D170,Setup!$A$76:$C$87,3,FALSE)),Setup!$B$14),2))</f>
        <v/>
      </c>
      <c r="O170" s="89">
        <f>IF(OR($M170="",$E170=""),"",ROUND($M170*IFERROR(IF(VLOOKUP($E170,Setup!$A$76:$C$87,3,FALSE)="",Setup!$B$15,VLOOKUP($E170,Setup!$A$76:$C$87,3,FALSE)),Setup!$B$15),2))</f>
        <v/>
      </c>
      <c r="P170" s="98" t="n"/>
      <c r="Q170" s="98" t="n"/>
      <c r="R170" s="98" t="n"/>
      <c r="S170" s="98" t="n"/>
      <c r="T170" s="98" t="n"/>
      <c r="U170" s="89">
        <f>IF($K170="","",SUM($R170:$T170))</f>
        <v/>
      </c>
      <c r="V170" s="89">
        <f>IF($K170="","",$M170-(N($N170)+N($O170)+IF($P170="",Setup!$B$17,$P170)+N($Q170))-N($U170))</f>
        <v/>
      </c>
      <c r="W170" s="94" t="n"/>
      <c r="X170" s="95" t="n"/>
      <c r="Z170" s="92">
        <f>IF($A170="","",DATE(YEAR($A170),MONTH($A170),1))</f>
        <v/>
      </c>
    </row>
    <row r="171">
      <c r="A171" s="85" t="n"/>
      <c r="B171" s="86" t="n"/>
      <c r="C171" s="86" t="n"/>
      <c r="D171" s="87" t="n"/>
      <c r="E171" s="87" t="n"/>
      <c r="F171" s="87" t="n"/>
      <c r="G171" s="87" t="n"/>
      <c r="H171" s="88" t="n"/>
      <c r="I171" s="89">
        <f>IF($G171="","",IF($F171="",IFERROR(INDEX(Setup!$C$21:$C$60,MATCH("|"&amp;UPPER(TRIM($G171)),Setup!$Q$21:$Q$60,0)),"NO RATE"),IFERROR(INDEX(Setup!$C$21:$C$60,MATCH(UPPER(TRIM($F171))&amp;"|"&amp;UPPER(TRIM($G171)),Setup!$P$21:$P$60,0)),IFERROR(INDEX(Setup!$C$21:$C$60,MATCH(UPPER(TRIM($G171))&amp;"|"&amp;UPPER(TRIM($F171)),Setup!$P$21:$P$60,0)),"NO RATE"))))</f>
        <v/>
      </c>
      <c r="J171" s="90" t="n"/>
      <c r="K171" s="89">
        <f>IF(OR($G171="",$H171="",NOT(ISNUMBER($I171))),"",ROUND($H171*$I171*(1+IF($J171="",Setup!$B$16,$J171)),2))</f>
        <v/>
      </c>
      <c r="L171" s="89">
        <f>IF($K171="","",ROUND($K171*Setup!$B$13,2))</f>
        <v/>
      </c>
      <c r="M171" s="89">
        <f>IF($K171="","",$K171-$L171)</f>
        <v/>
      </c>
      <c r="N171" s="89">
        <f>IF(OR($M171="",$D171=""),"",ROUND($M171*IFERROR(IF(VLOOKUP($D171,Setup!$A$76:$C$87,3,FALSE)="",Setup!$B$14,VLOOKUP($D171,Setup!$A$76:$C$87,3,FALSE)),Setup!$B$14),2))</f>
        <v/>
      </c>
      <c r="O171" s="89">
        <f>IF(OR($M171="",$E171=""),"",ROUND($M171*IFERROR(IF(VLOOKUP($E171,Setup!$A$76:$C$87,3,FALSE)="",Setup!$B$15,VLOOKUP($E171,Setup!$A$76:$C$87,3,FALSE)),Setup!$B$15),2))</f>
        <v/>
      </c>
      <c r="P171" s="91" t="n"/>
      <c r="Q171" s="91" t="n"/>
      <c r="R171" s="91" t="n"/>
      <c r="S171" s="91" t="n"/>
      <c r="T171" s="91" t="n"/>
      <c r="U171" s="89">
        <f>IF($K171="","",SUM($R171:$T171))</f>
        <v/>
      </c>
      <c r="V171" s="89">
        <f>IF($K171="","",$M171-(N($N171)+N($O171)+IF($P171="",Setup!$B$17,$P171)+N($Q171))-N($U171))</f>
        <v/>
      </c>
      <c r="W171" s="86" t="n"/>
      <c r="X171" s="87" t="n"/>
      <c r="Z171" s="92">
        <f>IF($A171="","",DATE(YEAR($A171),MONTH($A171),1))</f>
        <v/>
      </c>
    </row>
    <row r="172">
      <c r="A172" s="93" t="n"/>
      <c r="B172" s="94" t="n"/>
      <c r="C172" s="94" t="n"/>
      <c r="D172" s="95" t="n"/>
      <c r="E172" s="95" t="n"/>
      <c r="F172" s="95" t="n"/>
      <c r="G172" s="95" t="n"/>
      <c r="H172" s="96" t="n"/>
      <c r="I172" s="89">
        <f>IF($G172="","",IF($F172="",IFERROR(INDEX(Setup!$C$21:$C$60,MATCH("|"&amp;UPPER(TRIM($G172)),Setup!$Q$21:$Q$60,0)),"NO RATE"),IFERROR(INDEX(Setup!$C$21:$C$60,MATCH(UPPER(TRIM($F172))&amp;"|"&amp;UPPER(TRIM($G172)),Setup!$P$21:$P$60,0)),IFERROR(INDEX(Setup!$C$21:$C$60,MATCH(UPPER(TRIM($G172))&amp;"|"&amp;UPPER(TRIM($F172)),Setup!$P$21:$P$60,0)),"NO RATE"))))</f>
        <v/>
      </c>
      <c r="J172" s="97" t="n"/>
      <c r="K172" s="89">
        <f>IF(OR($G172="",$H172="",NOT(ISNUMBER($I172))),"",ROUND($H172*$I172*(1+IF($J172="",Setup!$B$16,$J172)),2))</f>
        <v/>
      </c>
      <c r="L172" s="89">
        <f>IF($K172="","",ROUND($K172*Setup!$B$13,2))</f>
        <v/>
      </c>
      <c r="M172" s="89">
        <f>IF($K172="","",$K172-$L172)</f>
        <v/>
      </c>
      <c r="N172" s="89">
        <f>IF(OR($M172="",$D172=""),"",ROUND($M172*IFERROR(IF(VLOOKUP($D172,Setup!$A$76:$C$87,3,FALSE)="",Setup!$B$14,VLOOKUP($D172,Setup!$A$76:$C$87,3,FALSE)),Setup!$B$14),2))</f>
        <v/>
      </c>
      <c r="O172" s="89">
        <f>IF(OR($M172="",$E172=""),"",ROUND($M172*IFERROR(IF(VLOOKUP($E172,Setup!$A$76:$C$87,3,FALSE)="",Setup!$B$15,VLOOKUP($E172,Setup!$A$76:$C$87,3,FALSE)),Setup!$B$15),2))</f>
        <v/>
      </c>
      <c r="P172" s="98" t="n"/>
      <c r="Q172" s="98" t="n"/>
      <c r="R172" s="98" t="n"/>
      <c r="S172" s="98" t="n"/>
      <c r="T172" s="98" t="n"/>
      <c r="U172" s="89">
        <f>IF($K172="","",SUM($R172:$T172))</f>
        <v/>
      </c>
      <c r="V172" s="89">
        <f>IF($K172="","",$M172-(N($N172)+N($O172)+IF($P172="",Setup!$B$17,$P172)+N($Q172))-N($U172))</f>
        <v/>
      </c>
      <c r="W172" s="94" t="n"/>
      <c r="X172" s="95" t="n"/>
      <c r="Z172" s="92">
        <f>IF($A172="","",DATE(YEAR($A172),MONTH($A172),1))</f>
        <v/>
      </c>
    </row>
    <row r="173">
      <c r="A173" s="85" t="n"/>
      <c r="B173" s="86" t="n"/>
      <c r="C173" s="86" t="n"/>
      <c r="D173" s="87" t="n"/>
      <c r="E173" s="87" t="n"/>
      <c r="F173" s="87" t="n"/>
      <c r="G173" s="87" t="n"/>
      <c r="H173" s="88" t="n"/>
      <c r="I173" s="89">
        <f>IF($G173="","",IF($F173="",IFERROR(INDEX(Setup!$C$21:$C$60,MATCH("|"&amp;UPPER(TRIM($G173)),Setup!$Q$21:$Q$60,0)),"NO RATE"),IFERROR(INDEX(Setup!$C$21:$C$60,MATCH(UPPER(TRIM($F173))&amp;"|"&amp;UPPER(TRIM($G173)),Setup!$P$21:$P$60,0)),IFERROR(INDEX(Setup!$C$21:$C$60,MATCH(UPPER(TRIM($G173))&amp;"|"&amp;UPPER(TRIM($F173)),Setup!$P$21:$P$60,0)),"NO RATE"))))</f>
        <v/>
      </c>
      <c r="J173" s="90" t="n"/>
      <c r="K173" s="89">
        <f>IF(OR($G173="",$H173="",NOT(ISNUMBER($I173))),"",ROUND($H173*$I173*(1+IF($J173="",Setup!$B$16,$J173)),2))</f>
        <v/>
      </c>
      <c r="L173" s="89">
        <f>IF($K173="","",ROUND($K173*Setup!$B$13,2))</f>
        <v/>
      </c>
      <c r="M173" s="89">
        <f>IF($K173="","",$K173-$L173)</f>
        <v/>
      </c>
      <c r="N173" s="89">
        <f>IF(OR($M173="",$D173=""),"",ROUND($M173*IFERROR(IF(VLOOKUP($D173,Setup!$A$76:$C$87,3,FALSE)="",Setup!$B$14,VLOOKUP($D173,Setup!$A$76:$C$87,3,FALSE)),Setup!$B$14),2))</f>
        <v/>
      </c>
      <c r="O173" s="89">
        <f>IF(OR($M173="",$E173=""),"",ROUND($M173*IFERROR(IF(VLOOKUP($E173,Setup!$A$76:$C$87,3,FALSE)="",Setup!$B$15,VLOOKUP($E173,Setup!$A$76:$C$87,3,FALSE)),Setup!$B$15),2))</f>
        <v/>
      </c>
      <c r="P173" s="91" t="n"/>
      <c r="Q173" s="91" t="n"/>
      <c r="R173" s="91" t="n"/>
      <c r="S173" s="91" t="n"/>
      <c r="T173" s="91" t="n"/>
      <c r="U173" s="89">
        <f>IF($K173="","",SUM($R173:$T173))</f>
        <v/>
      </c>
      <c r="V173" s="89">
        <f>IF($K173="","",$M173-(N($N173)+N($O173)+IF($P173="",Setup!$B$17,$P173)+N($Q173))-N($U173))</f>
        <v/>
      </c>
      <c r="W173" s="86" t="n"/>
      <c r="X173" s="87" t="n"/>
      <c r="Z173" s="92">
        <f>IF($A173="","",DATE(YEAR($A173),MONTH($A173),1))</f>
        <v/>
      </c>
    </row>
    <row r="174">
      <c r="A174" s="93" t="n"/>
      <c r="B174" s="94" t="n"/>
      <c r="C174" s="94" t="n"/>
      <c r="D174" s="95" t="n"/>
      <c r="E174" s="95" t="n"/>
      <c r="F174" s="95" t="n"/>
      <c r="G174" s="95" t="n"/>
      <c r="H174" s="96" t="n"/>
      <c r="I174" s="89">
        <f>IF($G174="","",IF($F174="",IFERROR(INDEX(Setup!$C$21:$C$60,MATCH("|"&amp;UPPER(TRIM($G174)),Setup!$Q$21:$Q$60,0)),"NO RATE"),IFERROR(INDEX(Setup!$C$21:$C$60,MATCH(UPPER(TRIM($F174))&amp;"|"&amp;UPPER(TRIM($G174)),Setup!$P$21:$P$60,0)),IFERROR(INDEX(Setup!$C$21:$C$60,MATCH(UPPER(TRIM($G174))&amp;"|"&amp;UPPER(TRIM($F174)),Setup!$P$21:$P$60,0)),"NO RATE"))))</f>
        <v/>
      </c>
      <c r="J174" s="97" t="n"/>
      <c r="K174" s="89">
        <f>IF(OR($G174="",$H174="",NOT(ISNUMBER($I174))),"",ROUND($H174*$I174*(1+IF($J174="",Setup!$B$16,$J174)),2))</f>
        <v/>
      </c>
      <c r="L174" s="89">
        <f>IF($K174="","",ROUND($K174*Setup!$B$13,2))</f>
        <v/>
      </c>
      <c r="M174" s="89">
        <f>IF($K174="","",$K174-$L174)</f>
        <v/>
      </c>
      <c r="N174" s="89">
        <f>IF(OR($M174="",$D174=""),"",ROUND($M174*IFERROR(IF(VLOOKUP($D174,Setup!$A$76:$C$87,3,FALSE)="",Setup!$B$14,VLOOKUP($D174,Setup!$A$76:$C$87,3,FALSE)),Setup!$B$14),2))</f>
        <v/>
      </c>
      <c r="O174" s="89">
        <f>IF(OR($M174="",$E174=""),"",ROUND($M174*IFERROR(IF(VLOOKUP($E174,Setup!$A$76:$C$87,3,FALSE)="",Setup!$B$15,VLOOKUP($E174,Setup!$A$76:$C$87,3,FALSE)),Setup!$B$15),2))</f>
        <v/>
      </c>
      <c r="P174" s="98" t="n"/>
      <c r="Q174" s="98" t="n"/>
      <c r="R174" s="98" t="n"/>
      <c r="S174" s="98" t="n"/>
      <c r="T174" s="98" t="n"/>
      <c r="U174" s="89">
        <f>IF($K174="","",SUM($R174:$T174))</f>
        <v/>
      </c>
      <c r="V174" s="89">
        <f>IF($K174="","",$M174-(N($N174)+N($O174)+IF($P174="",Setup!$B$17,$P174)+N($Q174))-N($U174))</f>
        <v/>
      </c>
      <c r="W174" s="94" t="n"/>
      <c r="X174" s="95" t="n"/>
      <c r="Z174" s="92">
        <f>IF($A174="","",DATE(YEAR($A174),MONTH($A174),1))</f>
        <v/>
      </c>
    </row>
    <row r="175">
      <c r="A175" s="85" t="n"/>
      <c r="B175" s="86" t="n"/>
      <c r="C175" s="86" t="n"/>
      <c r="D175" s="87" t="n"/>
      <c r="E175" s="87" t="n"/>
      <c r="F175" s="87" t="n"/>
      <c r="G175" s="87" t="n"/>
      <c r="H175" s="88" t="n"/>
      <c r="I175" s="89">
        <f>IF($G175="","",IF($F175="",IFERROR(INDEX(Setup!$C$21:$C$60,MATCH("|"&amp;UPPER(TRIM($G175)),Setup!$Q$21:$Q$60,0)),"NO RATE"),IFERROR(INDEX(Setup!$C$21:$C$60,MATCH(UPPER(TRIM($F175))&amp;"|"&amp;UPPER(TRIM($G175)),Setup!$P$21:$P$60,0)),IFERROR(INDEX(Setup!$C$21:$C$60,MATCH(UPPER(TRIM($G175))&amp;"|"&amp;UPPER(TRIM($F175)),Setup!$P$21:$P$60,0)),"NO RATE"))))</f>
        <v/>
      </c>
      <c r="J175" s="90" t="n"/>
      <c r="K175" s="89">
        <f>IF(OR($G175="",$H175="",NOT(ISNUMBER($I175))),"",ROUND($H175*$I175*(1+IF($J175="",Setup!$B$16,$J175)),2))</f>
        <v/>
      </c>
      <c r="L175" s="89">
        <f>IF($K175="","",ROUND($K175*Setup!$B$13,2))</f>
        <v/>
      </c>
      <c r="M175" s="89">
        <f>IF($K175="","",$K175-$L175)</f>
        <v/>
      </c>
      <c r="N175" s="89">
        <f>IF(OR($M175="",$D175=""),"",ROUND($M175*IFERROR(IF(VLOOKUP($D175,Setup!$A$76:$C$87,3,FALSE)="",Setup!$B$14,VLOOKUP($D175,Setup!$A$76:$C$87,3,FALSE)),Setup!$B$14),2))</f>
        <v/>
      </c>
      <c r="O175" s="89">
        <f>IF(OR($M175="",$E175=""),"",ROUND($M175*IFERROR(IF(VLOOKUP($E175,Setup!$A$76:$C$87,3,FALSE)="",Setup!$B$15,VLOOKUP($E175,Setup!$A$76:$C$87,3,FALSE)),Setup!$B$15),2))</f>
        <v/>
      </c>
      <c r="P175" s="91" t="n"/>
      <c r="Q175" s="91" t="n"/>
      <c r="R175" s="91" t="n"/>
      <c r="S175" s="91" t="n"/>
      <c r="T175" s="91" t="n"/>
      <c r="U175" s="89">
        <f>IF($K175="","",SUM($R175:$T175))</f>
        <v/>
      </c>
      <c r="V175" s="89">
        <f>IF($K175="","",$M175-(N($N175)+N($O175)+IF($P175="",Setup!$B$17,$P175)+N($Q175))-N($U175))</f>
        <v/>
      </c>
      <c r="W175" s="86" t="n"/>
      <c r="X175" s="87" t="n"/>
      <c r="Z175" s="92">
        <f>IF($A175="","",DATE(YEAR($A175),MONTH($A175),1))</f>
        <v/>
      </c>
    </row>
    <row r="176">
      <c r="A176" s="93" t="n"/>
      <c r="B176" s="94" t="n"/>
      <c r="C176" s="94" t="n"/>
      <c r="D176" s="95" t="n"/>
      <c r="E176" s="95" t="n"/>
      <c r="F176" s="95" t="n"/>
      <c r="G176" s="95" t="n"/>
      <c r="H176" s="96" t="n"/>
      <c r="I176" s="89">
        <f>IF($G176="","",IF($F176="",IFERROR(INDEX(Setup!$C$21:$C$60,MATCH("|"&amp;UPPER(TRIM($G176)),Setup!$Q$21:$Q$60,0)),"NO RATE"),IFERROR(INDEX(Setup!$C$21:$C$60,MATCH(UPPER(TRIM($F176))&amp;"|"&amp;UPPER(TRIM($G176)),Setup!$P$21:$P$60,0)),IFERROR(INDEX(Setup!$C$21:$C$60,MATCH(UPPER(TRIM($G176))&amp;"|"&amp;UPPER(TRIM($F176)),Setup!$P$21:$P$60,0)),"NO RATE"))))</f>
        <v/>
      </c>
      <c r="J176" s="97" t="n"/>
      <c r="K176" s="89">
        <f>IF(OR($G176="",$H176="",NOT(ISNUMBER($I176))),"",ROUND($H176*$I176*(1+IF($J176="",Setup!$B$16,$J176)),2))</f>
        <v/>
      </c>
      <c r="L176" s="89">
        <f>IF($K176="","",ROUND($K176*Setup!$B$13,2))</f>
        <v/>
      </c>
      <c r="M176" s="89">
        <f>IF($K176="","",$K176-$L176)</f>
        <v/>
      </c>
      <c r="N176" s="89">
        <f>IF(OR($M176="",$D176=""),"",ROUND($M176*IFERROR(IF(VLOOKUP($D176,Setup!$A$76:$C$87,3,FALSE)="",Setup!$B$14,VLOOKUP($D176,Setup!$A$76:$C$87,3,FALSE)),Setup!$B$14),2))</f>
        <v/>
      </c>
      <c r="O176" s="89">
        <f>IF(OR($M176="",$E176=""),"",ROUND($M176*IFERROR(IF(VLOOKUP($E176,Setup!$A$76:$C$87,3,FALSE)="",Setup!$B$15,VLOOKUP($E176,Setup!$A$76:$C$87,3,FALSE)),Setup!$B$15),2))</f>
        <v/>
      </c>
      <c r="P176" s="98" t="n"/>
      <c r="Q176" s="98" t="n"/>
      <c r="R176" s="98" t="n"/>
      <c r="S176" s="98" t="n"/>
      <c r="T176" s="98" t="n"/>
      <c r="U176" s="89">
        <f>IF($K176="","",SUM($R176:$T176))</f>
        <v/>
      </c>
      <c r="V176" s="89">
        <f>IF($K176="","",$M176-(N($N176)+N($O176)+IF($P176="",Setup!$B$17,$P176)+N($Q176))-N($U176))</f>
        <v/>
      </c>
      <c r="W176" s="94" t="n"/>
      <c r="X176" s="95" t="n"/>
      <c r="Z176" s="92">
        <f>IF($A176="","",DATE(YEAR($A176),MONTH($A176),1))</f>
        <v/>
      </c>
    </row>
    <row r="177">
      <c r="A177" s="85" t="n"/>
      <c r="B177" s="86" t="n"/>
      <c r="C177" s="86" t="n"/>
      <c r="D177" s="87" t="n"/>
      <c r="E177" s="87" t="n"/>
      <c r="F177" s="87" t="n"/>
      <c r="G177" s="87" t="n"/>
      <c r="H177" s="88" t="n"/>
      <c r="I177" s="89">
        <f>IF($G177="","",IF($F177="",IFERROR(INDEX(Setup!$C$21:$C$60,MATCH("|"&amp;UPPER(TRIM($G177)),Setup!$Q$21:$Q$60,0)),"NO RATE"),IFERROR(INDEX(Setup!$C$21:$C$60,MATCH(UPPER(TRIM($F177))&amp;"|"&amp;UPPER(TRIM($G177)),Setup!$P$21:$P$60,0)),IFERROR(INDEX(Setup!$C$21:$C$60,MATCH(UPPER(TRIM($G177))&amp;"|"&amp;UPPER(TRIM($F177)),Setup!$P$21:$P$60,0)),"NO RATE"))))</f>
        <v/>
      </c>
      <c r="J177" s="90" t="n"/>
      <c r="K177" s="89">
        <f>IF(OR($G177="",$H177="",NOT(ISNUMBER($I177))),"",ROUND($H177*$I177*(1+IF($J177="",Setup!$B$16,$J177)),2))</f>
        <v/>
      </c>
      <c r="L177" s="89">
        <f>IF($K177="","",ROUND($K177*Setup!$B$13,2))</f>
        <v/>
      </c>
      <c r="M177" s="89">
        <f>IF($K177="","",$K177-$L177)</f>
        <v/>
      </c>
      <c r="N177" s="89">
        <f>IF(OR($M177="",$D177=""),"",ROUND($M177*IFERROR(IF(VLOOKUP($D177,Setup!$A$76:$C$87,3,FALSE)="",Setup!$B$14,VLOOKUP($D177,Setup!$A$76:$C$87,3,FALSE)),Setup!$B$14),2))</f>
        <v/>
      </c>
      <c r="O177" s="89">
        <f>IF(OR($M177="",$E177=""),"",ROUND($M177*IFERROR(IF(VLOOKUP($E177,Setup!$A$76:$C$87,3,FALSE)="",Setup!$B$15,VLOOKUP($E177,Setup!$A$76:$C$87,3,FALSE)),Setup!$B$15),2))</f>
        <v/>
      </c>
      <c r="P177" s="91" t="n"/>
      <c r="Q177" s="91" t="n"/>
      <c r="R177" s="91" t="n"/>
      <c r="S177" s="91" t="n"/>
      <c r="T177" s="91" t="n"/>
      <c r="U177" s="89">
        <f>IF($K177="","",SUM($R177:$T177))</f>
        <v/>
      </c>
      <c r="V177" s="89">
        <f>IF($K177="","",$M177-(N($N177)+N($O177)+IF($P177="",Setup!$B$17,$P177)+N($Q177))-N($U177))</f>
        <v/>
      </c>
      <c r="W177" s="86" t="n"/>
      <c r="X177" s="87" t="n"/>
      <c r="Z177" s="92">
        <f>IF($A177="","",DATE(YEAR($A177),MONTH($A177),1))</f>
        <v/>
      </c>
    </row>
    <row r="178">
      <c r="A178" s="93" t="n"/>
      <c r="B178" s="94" t="n"/>
      <c r="C178" s="94" t="n"/>
      <c r="D178" s="95" t="n"/>
      <c r="E178" s="95" t="n"/>
      <c r="F178" s="95" t="n"/>
      <c r="G178" s="95" t="n"/>
      <c r="H178" s="96" t="n"/>
      <c r="I178" s="89">
        <f>IF($G178="","",IF($F178="",IFERROR(INDEX(Setup!$C$21:$C$60,MATCH("|"&amp;UPPER(TRIM($G178)),Setup!$Q$21:$Q$60,0)),"NO RATE"),IFERROR(INDEX(Setup!$C$21:$C$60,MATCH(UPPER(TRIM($F178))&amp;"|"&amp;UPPER(TRIM($G178)),Setup!$P$21:$P$60,0)),IFERROR(INDEX(Setup!$C$21:$C$60,MATCH(UPPER(TRIM($G178))&amp;"|"&amp;UPPER(TRIM($F178)),Setup!$P$21:$P$60,0)),"NO RATE"))))</f>
        <v/>
      </c>
      <c r="J178" s="97" t="n"/>
      <c r="K178" s="89">
        <f>IF(OR($G178="",$H178="",NOT(ISNUMBER($I178))),"",ROUND($H178*$I178*(1+IF($J178="",Setup!$B$16,$J178)),2))</f>
        <v/>
      </c>
      <c r="L178" s="89">
        <f>IF($K178="","",ROUND($K178*Setup!$B$13,2))</f>
        <v/>
      </c>
      <c r="M178" s="89">
        <f>IF($K178="","",$K178-$L178)</f>
        <v/>
      </c>
      <c r="N178" s="89">
        <f>IF(OR($M178="",$D178=""),"",ROUND($M178*IFERROR(IF(VLOOKUP($D178,Setup!$A$76:$C$87,3,FALSE)="",Setup!$B$14,VLOOKUP($D178,Setup!$A$76:$C$87,3,FALSE)),Setup!$B$14),2))</f>
        <v/>
      </c>
      <c r="O178" s="89">
        <f>IF(OR($M178="",$E178=""),"",ROUND($M178*IFERROR(IF(VLOOKUP($E178,Setup!$A$76:$C$87,3,FALSE)="",Setup!$B$15,VLOOKUP($E178,Setup!$A$76:$C$87,3,FALSE)),Setup!$B$15),2))</f>
        <v/>
      </c>
      <c r="P178" s="98" t="n"/>
      <c r="Q178" s="98" t="n"/>
      <c r="R178" s="98" t="n"/>
      <c r="S178" s="98" t="n"/>
      <c r="T178" s="98" t="n"/>
      <c r="U178" s="89">
        <f>IF($K178="","",SUM($R178:$T178))</f>
        <v/>
      </c>
      <c r="V178" s="89">
        <f>IF($K178="","",$M178-(N($N178)+N($O178)+IF($P178="",Setup!$B$17,$P178)+N($Q178))-N($U178))</f>
        <v/>
      </c>
      <c r="W178" s="94" t="n"/>
      <c r="X178" s="95" t="n"/>
      <c r="Z178" s="92">
        <f>IF($A178="","",DATE(YEAR($A178),MONTH($A178),1))</f>
        <v/>
      </c>
    </row>
    <row r="179">
      <c r="A179" s="85" t="n"/>
      <c r="B179" s="86" t="n"/>
      <c r="C179" s="86" t="n"/>
      <c r="D179" s="87" t="n"/>
      <c r="E179" s="87" t="n"/>
      <c r="F179" s="87" t="n"/>
      <c r="G179" s="87" t="n"/>
      <c r="H179" s="88" t="n"/>
      <c r="I179" s="89">
        <f>IF($G179="","",IF($F179="",IFERROR(INDEX(Setup!$C$21:$C$60,MATCH("|"&amp;UPPER(TRIM($G179)),Setup!$Q$21:$Q$60,0)),"NO RATE"),IFERROR(INDEX(Setup!$C$21:$C$60,MATCH(UPPER(TRIM($F179))&amp;"|"&amp;UPPER(TRIM($G179)),Setup!$P$21:$P$60,0)),IFERROR(INDEX(Setup!$C$21:$C$60,MATCH(UPPER(TRIM($G179))&amp;"|"&amp;UPPER(TRIM($F179)),Setup!$P$21:$P$60,0)),"NO RATE"))))</f>
        <v/>
      </c>
      <c r="J179" s="90" t="n"/>
      <c r="K179" s="89">
        <f>IF(OR($G179="",$H179="",NOT(ISNUMBER($I179))),"",ROUND($H179*$I179*(1+IF($J179="",Setup!$B$16,$J179)),2))</f>
        <v/>
      </c>
      <c r="L179" s="89">
        <f>IF($K179="","",ROUND($K179*Setup!$B$13,2))</f>
        <v/>
      </c>
      <c r="M179" s="89">
        <f>IF($K179="","",$K179-$L179)</f>
        <v/>
      </c>
      <c r="N179" s="89">
        <f>IF(OR($M179="",$D179=""),"",ROUND($M179*IFERROR(IF(VLOOKUP($D179,Setup!$A$76:$C$87,3,FALSE)="",Setup!$B$14,VLOOKUP($D179,Setup!$A$76:$C$87,3,FALSE)),Setup!$B$14),2))</f>
        <v/>
      </c>
      <c r="O179" s="89">
        <f>IF(OR($M179="",$E179=""),"",ROUND($M179*IFERROR(IF(VLOOKUP($E179,Setup!$A$76:$C$87,3,FALSE)="",Setup!$B$15,VLOOKUP($E179,Setup!$A$76:$C$87,3,FALSE)),Setup!$B$15),2))</f>
        <v/>
      </c>
      <c r="P179" s="91" t="n"/>
      <c r="Q179" s="91" t="n"/>
      <c r="R179" s="91" t="n"/>
      <c r="S179" s="91" t="n"/>
      <c r="T179" s="91" t="n"/>
      <c r="U179" s="89">
        <f>IF($K179="","",SUM($R179:$T179))</f>
        <v/>
      </c>
      <c r="V179" s="89">
        <f>IF($K179="","",$M179-(N($N179)+N($O179)+IF($P179="",Setup!$B$17,$P179)+N($Q179))-N($U179))</f>
        <v/>
      </c>
      <c r="W179" s="86" t="n"/>
      <c r="X179" s="87" t="n"/>
      <c r="Z179" s="92">
        <f>IF($A179="","",DATE(YEAR($A179),MONTH($A179),1))</f>
        <v/>
      </c>
    </row>
    <row r="180">
      <c r="A180" s="93" t="n"/>
      <c r="B180" s="94" t="n"/>
      <c r="C180" s="94" t="n"/>
      <c r="D180" s="95" t="n"/>
      <c r="E180" s="95" t="n"/>
      <c r="F180" s="95" t="n"/>
      <c r="G180" s="95" t="n"/>
      <c r="H180" s="96" t="n"/>
      <c r="I180" s="89">
        <f>IF($G180="","",IF($F180="",IFERROR(INDEX(Setup!$C$21:$C$60,MATCH("|"&amp;UPPER(TRIM($G180)),Setup!$Q$21:$Q$60,0)),"NO RATE"),IFERROR(INDEX(Setup!$C$21:$C$60,MATCH(UPPER(TRIM($F180))&amp;"|"&amp;UPPER(TRIM($G180)),Setup!$P$21:$P$60,0)),IFERROR(INDEX(Setup!$C$21:$C$60,MATCH(UPPER(TRIM($G180))&amp;"|"&amp;UPPER(TRIM($F180)),Setup!$P$21:$P$60,0)),"NO RATE"))))</f>
        <v/>
      </c>
      <c r="J180" s="97" t="n"/>
      <c r="K180" s="89">
        <f>IF(OR($G180="",$H180="",NOT(ISNUMBER($I180))),"",ROUND($H180*$I180*(1+IF($J180="",Setup!$B$16,$J180)),2))</f>
        <v/>
      </c>
      <c r="L180" s="89">
        <f>IF($K180="","",ROUND($K180*Setup!$B$13,2))</f>
        <v/>
      </c>
      <c r="M180" s="89">
        <f>IF($K180="","",$K180-$L180)</f>
        <v/>
      </c>
      <c r="N180" s="89">
        <f>IF(OR($M180="",$D180=""),"",ROUND($M180*IFERROR(IF(VLOOKUP($D180,Setup!$A$76:$C$87,3,FALSE)="",Setup!$B$14,VLOOKUP($D180,Setup!$A$76:$C$87,3,FALSE)),Setup!$B$14),2))</f>
        <v/>
      </c>
      <c r="O180" s="89">
        <f>IF(OR($M180="",$E180=""),"",ROUND($M180*IFERROR(IF(VLOOKUP($E180,Setup!$A$76:$C$87,3,FALSE)="",Setup!$B$15,VLOOKUP($E180,Setup!$A$76:$C$87,3,FALSE)),Setup!$B$15),2))</f>
        <v/>
      </c>
      <c r="P180" s="98" t="n"/>
      <c r="Q180" s="98" t="n"/>
      <c r="R180" s="98" t="n"/>
      <c r="S180" s="98" t="n"/>
      <c r="T180" s="98" t="n"/>
      <c r="U180" s="89">
        <f>IF($K180="","",SUM($R180:$T180))</f>
        <v/>
      </c>
      <c r="V180" s="89">
        <f>IF($K180="","",$M180-(N($N180)+N($O180)+IF($P180="",Setup!$B$17,$P180)+N($Q180))-N($U180))</f>
        <v/>
      </c>
      <c r="W180" s="94" t="n"/>
      <c r="X180" s="95" t="n"/>
      <c r="Z180" s="92">
        <f>IF($A180="","",DATE(YEAR($A180),MONTH($A180),1))</f>
        <v/>
      </c>
    </row>
    <row r="181">
      <c r="A181" s="85" t="n"/>
      <c r="B181" s="86" t="n"/>
      <c r="C181" s="86" t="n"/>
      <c r="D181" s="87" t="n"/>
      <c r="E181" s="87" t="n"/>
      <c r="F181" s="87" t="n"/>
      <c r="G181" s="87" t="n"/>
      <c r="H181" s="88" t="n"/>
      <c r="I181" s="89">
        <f>IF($G181="","",IF($F181="",IFERROR(INDEX(Setup!$C$21:$C$60,MATCH("|"&amp;UPPER(TRIM($G181)),Setup!$Q$21:$Q$60,0)),"NO RATE"),IFERROR(INDEX(Setup!$C$21:$C$60,MATCH(UPPER(TRIM($F181))&amp;"|"&amp;UPPER(TRIM($G181)),Setup!$P$21:$P$60,0)),IFERROR(INDEX(Setup!$C$21:$C$60,MATCH(UPPER(TRIM($G181))&amp;"|"&amp;UPPER(TRIM($F181)),Setup!$P$21:$P$60,0)),"NO RATE"))))</f>
        <v/>
      </c>
      <c r="J181" s="90" t="n"/>
      <c r="K181" s="89">
        <f>IF(OR($G181="",$H181="",NOT(ISNUMBER($I181))),"",ROUND($H181*$I181*(1+IF($J181="",Setup!$B$16,$J181)),2))</f>
        <v/>
      </c>
      <c r="L181" s="89">
        <f>IF($K181="","",ROUND($K181*Setup!$B$13,2))</f>
        <v/>
      </c>
      <c r="M181" s="89">
        <f>IF($K181="","",$K181-$L181)</f>
        <v/>
      </c>
      <c r="N181" s="89">
        <f>IF(OR($M181="",$D181=""),"",ROUND($M181*IFERROR(IF(VLOOKUP($D181,Setup!$A$76:$C$87,3,FALSE)="",Setup!$B$14,VLOOKUP($D181,Setup!$A$76:$C$87,3,FALSE)),Setup!$B$14),2))</f>
        <v/>
      </c>
      <c r="O181" s="89">
        <f>IF(OR($M181="",$E181=""),"",ROUND($M181*IFERROR(IF(VLOOKUP($E181,Setup!$A$76:$C$87,3,FALSE)="",Setup!$B$15,VLOOKUP($E181,Setup!$A$76:$C$87,3,FALSE)),Setup!$B$15),2))</f>
        <v/>
      </c>
      <c r="P181" s="91" t="n"/>
      <c r="Q181" s="91" t="n"/>
      <c r="R181" s="91" t="n"/>
      <c r="S181" s="91" t="n"/>
      <c r="T181" s="91" t="n"/>
      <c r="U181" s="89">
        <f>IF($K181="","",SUM($R181:$T181))</f>
        <v/>
      </c>
      <c r="V181" s="89">
        <f>IF($K181="","",$M181-(N($N181)+N($O181)+IF($P181="",Setup!$B$17,$P181)+N($Q181))-N($U181))</f>
        <v/>
      </c>
      <c r="W181" s="86" t="n"/>
      <c r="X181" s="87" t="n"/>
      <c r="Z181" s="92">
        <f>IF($A181="","",DATE(YEAR($A181),MONTH($A181),1))</f>
        <v/>
      </c>
    </row>
    <row r="182">
      <c r="A182" s="93" t="n"/>
      <c r="B182" s="94" t="n"/>
      <c r="C182" s="94" t="n"/>
      <c r="D182" s="95" t="n"/>
      <c r="E182" s="95" t="n"/>
      <c r="F182" s="95" t="n"/>
      <c r="G182" s="95" t="n"/>
      <c r="H182" s="96" t="n"/>
      <c r="I182" s="89">
        <f>IF($G182="","",IF($F182="",IFERROR(INDEX(Setup!$C$21:$C$60,MATCH("|"&amp;UPPER(TRIM($G182)),Setup!$Q$21:$Q$60,0)),"NO RATE"),IFERROR(INDEX(Setup!$C$21:$C$60,MATCH(UPPER(TRIM($F182))&amp;"|"&amp;UPPER(TRIM($G182)),Setup!$P$21:$P$60,0)),IFERROR(INDEX(Setup!$C$21:$C$60,MATCH(UPPER(TRIM($G182))&amp;"|"&amp;UPPER(TRIM($F182)),Setup!$P$21:$P$60,0)),"NO RATE"))))</f>
        <v/>
      </c>
      <c r="J182" s="97" t="n"/>
      <c r="K182" s="89">
        <f>IF(OR($G182="",$H182="",NOT(ISNUMBER($I182))),"",ROUND($H182*$I182*(1+IF($J182="",Setup!$B$16,$J182)),2))</f>
        <v/>
      </c>
      <c r="L182" s="89">
        <f>IF($K182="","",ROUND($K182*Setup!$B$13,2))</f>
        <v/>
      </c>
      <c r="M182" s="89">
        <f>IF($K182="","",$K182-$L182)</f>
        <v/>
      </c>
      <c r="N182" s="89">
        <f>IF(OR($M182="",$D182=""),"",ROUND($M182*IFERROR(IF(VLOOKUP($D182,Setup!$A$76:$C$87,3,FALSE)="",Setup!$B$14,VLOOKUP($D182,Setup!$A$76:$C$87,3,FALSE)),Setup!$B$14),2))</f>
        <v/>
      </c>
      <c r="O182" s="89">
        <f>IF(OR($M182="",$E182=""),"",ROUND($M182*IFERROR(IF(VLOOKUP($E182,Setup!$A$76:$C$87,3,FALSE)="",Setup!$B$15,VLOOKUP($E182,Setup!$A$76:$C$87,3,FALSE)),Setup!$B$15),2))</f>
        <v/>
      </c>
      <c r="P182" s="98" t="n"/>
      <c r="Q182" s="98" t="n"/>
      <c r="R182" s="98" t="n"/>
      <c r="S182" s="98" t="n"/>
      <c r="T182" s="98" t="n"/>
      <c r="U182" s="89">
        <f>IF($K182="","",SUM($R182:$T182))</f>
        <v/>
      </c>
      <c r="V182" s="89">
        <f>IF($K182="","",$M182-(N($N182)+N($O182)+IF($P182="",Setup!$B$17,$P182)+N($Q182))-N($U182))</f>
        <v/>
      </c>
      <c r="W182" s="94" t="n"/>
      <c r="X182" s="95" t="n"/>
      <c r="Z182" s="92">
        <f>IF($A182="","",DATE(YEAR($A182),MONTH($A182),1))</f>
        <v/>
      </c>
    </row>
    <row r="183">
      <c r="A183" s="85" t="n"/>
      <c r="B183" s="86" t="n"/>
      <c r="C183" s="86" t="n"/>
      <c r="D183" s="87" t="n"/>
      <c r="E183" s="87" t="n"/>
      <c r="F183" s="87" t="n"/>
      <c r="G183" s="87" t="n"/>
      <c r="H183" s="88" t="n"/>
      <c r="I183" s="89">
        <f>IF($G183="","",IF($F183="",IFERROR(INDEX(Setup!$C$21:$C$60,MATCH("|"&amp;UPPER(TRIM($G183)),Setup!$Q$21:$Q$60,0)),"NO RATE"),IFERROR(INDEX(Setup!$C$21:$C$60,MATCH(UPPER(TRIM($F183))&amp;"|"&amp;UPPER(TRIM($G183)),Setup!$P$21:$P$60,0)),IFERROR(INDEX(Setup!$C$21:$C$60,MATCH(UPPER(TRIM($G183))&amp;"|"&amp;UPPER(TRIM($F183)),Setup!$P$21:$P$60,0)),"NO RATE"))))</f>
        <v/>
      </c>
      <c r="J183" s="90" t="n"/>
      <c r="K183" s="89">
        <f>IF(OR($G183="",$H183="",NOT(ISNUMBER($I183))),"",ROUND($H183*$I183*(1+IF($J183="",Setup!$B$16,$J183)),2))</f>
        <v/>
      </c>
      <c r="L183" s="89">
        <f>IF($K183="","",ROUND($K183*Setup!$B$13,2))</f>
        <v/>
      </c>
      <c r="M183" s="89">
        <f>IF($K183="","",$K183-$L183)</f>
        <v/>
      </c>
      <c r="N183" s="89">
        <f>IF(OR($M183="",$D183=""),"",ROUND($M183*IFERROR(IF(VLOOKUP($D183,Setup!$A$76:$C$87,3,FALSE)="",Setup!$B$14,VLOOKUP($D183,Setup!$A$76:$C$87,3,FALSE)),Setup!$B$14),2))</f>
        <v/>
      </c>
      <c r="O183" s="89">
        <f>IF(OR($M183="",$E183=""),"",ROUND($M183*IFERROR(IF(VLOOKUP($E183,Setup!$A$76:$C$87,3,FALSE)="",Setup!$B$15,VLOOKUP($E183,Setup!$A$76:$C$87,3,FALSE)),Setup!$B$15),2))</f>
        <v/>
      </c>
      <c r="P183" s="91" t="n"/>
      <c r="Q183" s="91" t="n"/>
      <c r="R183" s="91" t="n"/>
      <c r="S183" s="91" t="n"/>
      <c r="T183" s="91" t="n"/>
      <c r="U183" s="89">
        <f>IF($K183="","",SUM($R183:$T183))</f>
        <v/>
      </c>
      <c r="V183" s="89">
        <f>IF($K183="","",$M183-(N($N183)+N($O183)+IF($P183="",Setup!$B$17,$P183)+N($Q183))-N($U183))</f>
        <v/>
      </c>
      <c r="W183" s="86" t="n"/>
      <c r="X183" s="87" t="n"/>
      <c r="Z183" s="92">
        <f>IF($A183="","",DATE(YEAR($A183),MONTH($A183),1))</f>
        <v/>
      </c>
    </row>
    <row r="184">
      <c r="A184" s="93" t="n"/>
      <c r="B184" s="94" t="n"/>
      <c r="C184" s="94" t="n"/>
      <c r="D184" s="95" t="n"/>
      <c r="E184" s="95" t="n"/>
      <c r="F184" s="95" t="n"/>
      <c r="G184" s="95" t="n"/>
      <c r="H184" s="96" t="n"/>
      <c r="I184" s="89">
        <f>IF($G184="","",IF($F184="",IFERROR(INDEX(Setup!$C$21:$C$60,MATCH("|"&amp;UPPER(TRIM($G184)),Setup!$Q$21:$Q$60,0)),"NO RATE"),IFERROR(INDEX(Setup!$C$21:$C$60,MATCH(UPPER(TRIM($F184))&amp;"|"&amp;UPPER(TRIM($G184)),Setup!$P$21:$P$60,0)),IFERROR(INDEX(Setup!$C$21:$C$60,MATCH(UPPER(TRIM($G184))&amp;"|"&amp;UPPER(TRIM($F184)),Setup!$P$21:$P$60,0)),"NO RATE"))))</f>
        <v/>
      </c>
      <c r="J184" s="97" t="n"/>
      <c r="K184" s="89">
        <f>IF(OR($G184="",$H184="",NOT(ISNUMBER($I184))),"",ROUND($H184*$I184*(1+IF($J184="",Setup!$B$16,$J184)),2))</f>
        <v/>
      </c>
      <c r="L184" s="89">
        <f>IF($K184="","",ROUND($K184*Setup!$B$13,2))</f>
        <v/>
      </c>
      <c r="M184" s="89">
        <f>IF($K184="","",$K184-$L184)</f>
        <v/>
      </c>
      <c r="N184" s="89">
        <f>IF(OR($M184="",$D184=""),"",ROUND($M184*IFERROR(IF(VLOOKUP($D184,Setup!$A$76:$C$87,3,FALSE)="",Setup!$B$14,VLOOKUP($D184,Setup!$A$76:$C$87,3,FALSE)),Setup!$B$14),2))</f>
        <v/>
      </c>
      <c r="O184" s="89">
        <f>IF(OR($M184="",$E184=""),"",ROUND($M184*IFERROR(IF(VLOOKUP($E184,Setup!$A$76:$C$87,3,FALSE)="",Setup!$B$15,VLOOKUP($E184,Setup!$A$76:$C$87,3,FALSE)),Setup!$B$15),2))</f>
        <v/>
      </c>
      <c r="P184" s="98" t="n"/>
      <c r="Q184" s="98" t="n"/>
      <c r="R184" s="98" t="n"/>
      <c r="S184" s="98" t="n"/>
      <c r="T184" s="98" t="n"/>
      <c r="U184" s="89">
        <f>IF($K184="","",SUM($R184:$T184))</f>
        <v/>
      </c>
      <c r="V184" s="89">
        <f>IF($K184="","",$M184-(N($N184)+N($O184)+IF($P184="",Setup!$B$17,$P184)+N($Q184))-N($U184))</f>
        <v/>
      </c>
      <c r="W184" s="94" t="n"/>
      <c r="X184" s="95" t="n"/>
      <c r="Z184" s="92">
        <f>IF($A184="","",DATE(YEAR($A184),MONTH($A184),1))</f>
        <v/>
      </c>
    </row>
    <row r="185">
      <c r="A185" s="85" t="n"/>
      <c r="B185" s="86" t="n"/>
      <c r="C185" s="86" t="n"/>
      <c r="D185" s="87" t="n"/>
      <c r="E185" s="87" t="n"/>
      <c r="F185" s="87" t="n"/>
      <c r="G185" s="87" t="n"/>
      <c r="H185" s="88" t="n"/>
      <c r="I185" s="89">
        <f>IF($G185="","",IF($F185="",IFERROR(INDEX(Setup!$C$21:$C$60,MATCH("|"&amp;UPPER(TRIM($G185)),Setup!$Q$21:$Q$60,0)),"NO RATE"),IFERROR(INDEX(Setup!$C$21:$C$60,MATCH(UPPER(TRIM($F185))&amp;"|"&amp;UPPER(TRIM($G185)),Setup!$P$21:$P$60,0)),IFERROR(INDEX(Setup!$C$21:$C$60,MATCH(UPPER(TRIM($G185))&amp;"|"&amp;UPPER(TRIM($F185)),Setup!$P$21:$P$60,0)),"NO RATE"))))</f>
        <v/>
      </c>
      <c r="J185" s="90" t="n"/>
      <c r="K185" s="89">
        <f>IF(OR($G185="",$H185="",NOT(ISNUMBER($I185))),"",ROUND($H185*$I185*(1+IF($J185="",Setup!$B$16,$J185)),2))</f>
        <v/>
      </c>
      <c r="L185" s="89">
        <f>IF($K185="","",ROUND($K185*Setup!$B$13,2))</f>
        <v/>
      </c>
      <c r="M185" s="89">
        <f>IF($K185="","",$K185-$L185)</f>
        <v/>
      </c>
      <c r="N185" s="89">
        <f>IF(OR($M185="",$D185=""),"",ROUND($M185*IFERROR(IF(VLOOKUP($D185,Setup!$A$76:$C$87,3,FALSE)="",Setup!$B$14,VLOOKUP($D185,Setup!$A$76:$C$87,3,FALSE)),Setup!$B$14),2))</f>
        <v/>
      </c>
      <c r="O185" s="89">
        <f>IF(OR($M185="",$E185=""),"",ROUND($M185*IFERROR(IF(VLOOKUP($E185,Setup!$A$76:$C$87,3,FALSE)="",Setup!$B$15,VLOOKUP($E185,Setup!$A$76:$C$87,3,FALSE)),Setup!$B$15),2))</f>
        <v/>
      </c>
      <c r="P185" s="91" t="n"/>
      <c r="Q185" s="91" t="n"/>
      <c r="R185" s="91" t="n"/>
      <c r="S185" s="91" t="n"/>
      <c r="T185" s="91" t="n"/>
      <c r="U185" s="89">
        <f>IF($K185="","",SUM($R185:$T185))</f>
        <v/>
      </c>
      <c r="V185" s="89">
        <f>IF($K185="","",$M185-(N($N185)+N($O185)+IF($P185="",Setup!$B$17,$P185)+N($Q185))-N($U185))</f>
        <v/>
      </c>
      <c r="W185" s="86" t="n"/>
      <c r="X185" s="87" t="n"/>
      <c r="Z185" s="92">
        <f>IF($A185="","",DATE(YEAR($A185),MONTH($A185),1))</f>
        <v/>
      </c>
    </row>
    <row r="186">
      <c r="A186" s="93" t="n"/>
      <c r="B186" s="94" t="n"/>
      <c r="C186" s="94" t="n"/>
      <c r="D186" s="95" t="n"/>
      <c r="E186" s="95" t="n"/>
      <c r="F186" s="95" t="n"/>
      <c r="G186" s="95" t="n"/>
      <c r="H186" s="96" t="n"/>
      <c r="I186" s="89">
        <f>IF($G186="","",IF($F186="",IFERROR(INDEX(Setup!$C$21:$C$60,MATCH("|"&amp;UPPER(TRIM($G186)),Setup!$Q$21:$Q$60,0)),"NO RATE"),IFERROR(INDEX(Setup!$C$21:$C$60,MATCH(UPPER(TRIM($F186))&amp;"|"&amp;UPPER(TRIM($G186)),Setup!$P$21:$P$60,0)),IFERROR(INDEX(Setup!$C$21:$C$60,MATCH(UPPER(TRIM($G186))&amp;"|"&amp;UPPER(TRIM($F186)),Setup!$P$21:$P$60,0)),"NO RATE"))))</f>
        <v/>
      </c>
      <c r="J186" s="97" t="n"/>
      <c r="K186" s="89">
        <f>IF(OR($G186="",$H186="",NOT(ISNUMBER($I186))),"",ROUND($H186*$I186*(1+IF($J186="",Setup!$B$16,$J186)),2))</f>
        <v/>
      </c>
      <c r="L186" s="89">
        <f>IF($K186="","",ROUND($K186*Setup!$B$13,2))</f>
        <v/>
      </c>
      <c r="M186" s="89">
        <f>IF($K186="","",$K186-$L186)</f>
        <v/>
      </c>
      <c r="N186" s="89">
        <f>IF(OR($M186="",$D186=""),"",ROUND($M186*IFERROR(IF(VLOOKUP($D186,Setup!$A$76:$C$87,3,FALSE)="",Setup!$B$14,VLOOKUP($D186,Setup!$A$76:$C$87,3,FALSE)),Setup!$B$14),2))</f>
        <v/>
      </c>
      <c r="O186" s="89">
        <f>IF(OR($M186="",$E186=""),"",ROUND($M186*IFERROR(IF(VLOOKUP($E186,Setup!$A$76:$C$87,3,FALSE)="",Setup!$B$15,VLOOKUP($E186,Setup!$A$76:$C$87,3,FALSE)),Setup!$B$15),2))</f>
        <v/>
      </c>
      <c r="P186" s="98" t="n"/>
      <c r="Q186" s="98" t="n"/>
      <c r="R186" s="98" t="n"/>
      <c r="S186" s="98" t="n"/>
      <c r="T186" s="98" t="n"/>
      <c r="U186" s="89">
        <f>IF($K186="","",SUM($R186:$T186))</f>
        <v/>
      </c>
      <c r="V186" s="89">
        <f>IF($K186="","",$M186-(N($N186)+N($O186)+IF($P186="",Setup!$B$17,$P186)+N($Q186))-N($U186))</f>
        <v/>
      </c>
      <c r="W186" s="94" t="n"/>
      <c r="X186" s="95" t="n"/>
      <c r="Z186" s="92">
        <f>IF($A186="","",DATE(YEAR($A186),MONTH($A186),1))</f>
        <v/>
      </c>
    </row>
    <row r="187">
      <c r="A187" s="85" t="n"/>
      <c r="B187" s="86" t="n"/>
      <c r="C187" s="86" t="n"/>
      <c r="D187" s="87" t="n"/>
      <c r="E187" s="87" t="n"/>
      <c r="F187" s="87" t="n"/>
      <c r="G187" s="87" t="n"/>
      <c r="H187" s="88" t="n"/>
      <c r="I187" s="89">
        <f>IF($G187="","",IF($F187="",IFERROR(INDEX(Setup!$C$21:$C$60,MATCH("|"&amp;UPPER(TRIM($G187)),Setup!$Q$21:$Q$60,0)),"NO RATE"),IFERROR(INDEX(Setup!$C$21:$C$60,MATCH(UPPER(TRIM($F187))&amp;"|"&amp;UPPER(TRIM($G187)),Setup!$P$21:$P$60,0)),IFERROR(INDEX(Setup!$C$21:$C$60,MATCH(UPPER(TRIM($G187))&amp;"|"&amp;UPPER(TRIM($F187)),Setup!$P$21:$P$60,0)),"NO RATE"))))</f>
        <v/>
      </c>
      <c r="J187" s="90" t="n"/>
      <c r="K187" s="89">
        <f>IF(OR($G187="",$H187="",NOT(ISNUMBER($I187))),"",ROUND($H187*$I187*(1+IF($J187="",Setup!$B$16,$J187)),2))</f>
        <v/>
      </c>
      <c r="L187" s="89">
        <f>IF($K187="","",ROUND($K187*Setup!$B$13,2))</f>
        <v/>
      </c>
      <c r="M187" s="89">
        <f>IF($K187="","",$K187-$L187)</f>
        <v/>
      </c>
      <c r="N187" s="89">
        <f>IF(OR($M187="",$D187=""),"",ROUND($M187*IFERROR(IF(VLOOKUP($D187,Setup!$A$76:$C$87,3,FALSE)="",Setup!$B$14,VLOOKUP($D187,Setup!$A$76:$C$87,3,FALSE)),Setup!$B$14),2))</f>
        <v/>
      </c>
      <c r="O187" s="89">
        <f>IF(OR($M187="",$E187=""),"",ROUND($M187*IFERROR(IF(VLOOKUP($E187,Setup!$A$76:$C$87,3,FALSE)="",Setup!$B$15,VLOOKUP($E187,Setup!$A$76:$C$87,3,FALSE)),Setup!$B$15),2))</f>
        <v/>
      </c>
      <c r="P187" s="91" t="n"/>
      <c r="Q187" s="91" t="n"/>
      <c r="R187" s="91" t="n"/>
      <c r="S187" s="91" t="n"/>
      <c r="T187" s="91" t="n"/>
      <c r="U187" s="89">
        <f>IF($K187="","",SUM($R187:$T187))</f>
        <v/>
      </c>
      <c r="V187" s="89">
        <f>IF($K187="","",$M187-(N($N187)+N($O187)+IF($P187="",Setup!$B$17,$P187)+N($Q187))-N($U187))</f>
        <v/>
      </c>
      <c r="W187" s="86" t="n"/>
      <c r="X187" s="87" t="n"/>
      <c r="Z187" s="92">
        <f>IF($A187="","",DATE(YEAR($A187),MONTH($A187),1))</f>
        <v/>
      </c>
    </row>
    <row r="188">
      <c r="A188" s="93" t="n"/>
      <c r="B188" s="94" t="n"/>
      <c r="C188" s="94" t="n"/>
      <c r="D188" s="95" t="n"/>
      <c r="E188" s="95" t="n"/>
      <c r="F188" s="95" t="n"/>
      <c r="G188" s="95" t="n"/>
      <c r="H188" s="96" t="n"/>
      <c r="I188" s="89">
        <f>IF($G188="","",IF($F188="",IFERROR(INDEX(Setup!$C$21:$C$60,MATCH("|"&amp;UPPER(TRIM($G188)),Setup!$Q$21:$Q$60,0)),"NO RATE"),IFERROR(INDEX(Setup!$C$21:$C$60,MATCH(UPPER(TRIM($F188))&amp;"|"&amp;UPPER(TRIM($G188)),Setup!$P$21:$P$60,0)),IFERROR(INDEX(Setup!$C$21:$C$60,MATCH(UPPER(TRIM($G188))&amp;"|"&amp;UPPER(TRIM($F188)),Setup!$P$21:$P$60,0)),"NO RATE"))))</f>
        <v/>
      </c>
      <c r="J188" s="97" t="n"/>
      <c r="K188" s="89">
        <f>IF(OR($G188="",$H188="",NOT(ISNUMBER($I188))),"",ROUND($H188*$I188*(1+IF($J188="",Setup!$B$16,$J188)),2))</f>
        <v/>
      </c>
      <c r="L188" s="89">
        <f>IF($K188="","",ROUND($K188*Setup!$B$13,2))</f>
        <v/>
      </c>
      <c r="M188" s="89">
        <f>IF($K188="","",$K188-$L188)</f>
        <v/>
      </c>
      <c r="N188" s="89">
        <f>IF(OR($M188="",$D188=""),"",ROUND($M188*IFERROR(IF(VLOOKUP($D188,Setup!$A$76:$C$87,3,FALSE)="",Setup!$B$14,VLOOKUP($D188,Setup!$A$76:$C$87,3,FALSE)),Setup!$B$14),2))</f>
        <v/>
      </c>
      <c r="O188" s="89">
        <f>IF(OR($M188="",$E188=""),"",ROUND($M188*IFERROR(IF(VLOOKUP($E188,Setup!$A$76:$C$87,3,FALSE)="",Setup!$B$15,VLOOKUP($E188,Setup!$A$76:$C$87,3,FALSE)),Setup!$B$15),2))</f>
        <v/>
      </c>
      <c r="P188" s="98" t="n"/>
      <c r="Q188" s="98" t="n"/>
      <c r="R188" s="98" t="n"/>
      <c r="S188" s="98" t="n"/>
      <c r="T188" s="98" t="n"/>
      <c r="U188" s="89">
        <f>IF($K188="","",SUM($R188:$T188))</f>
        <v/>
      </c>
      <c r="V188" s="89">
        <f>IF($K188="","",$M188-(N($N188)+N($O188)+IF($P188="",Setup!$B$17,$P188)+N($Q188))-N($U188))</f>
        <v/>
      </c>
      <c r="W188" s="94" t="n"/>
      <c r="X188" s="95" t="n"/>
      <c r="Z188" s="92">
        <f>IF($A188="","",DATE(YEAR($A188),MONTH($A188),1))</f>
        <v/>
      </c>
    </row>
    <row r="189">
      <c r="A189" s="85" t="n"/>
      <c r="B189" s="86" t="n"/>
      <c r="C189" s="86" t="n"/>
      <c r="D189" s="87" t="n"/>
      <c r="E189" s="87" t="n"/>
      <c r="F189" s="87" t="n"/>
      <c r="G189" s="87" t="n"/>
      <c r="H189" s="88" t="n"/>
      <c r="I189" s="89">
        <f>IF($G189="","",IF($F189="",IFERROR(INDEX(Setup!$C$21:$C$60,MATCH("|"&amp;UPPER(TRIM($G189)),Setup!$Q$21:$Q$60,0)),"NO RATE"),IFERROR(INDEX(Setup!$C$21:$C$60,MATCH(UPPER(TRIM($F189))&amp;"|"&amp;UPPER(TRIM($G189)),Setup!$P$21:$P$60,0)),IFERROR(INDEX(Setup!$C$21:$C$60,MATCH(UPPER(TRIM($G189))&amp;"|"&amp;UPPER(TRIM($F189)),Setup!$P$21:$P$60,0)),"NO RATE"))))</f>
        <v/>
      </c>
      <c r="J189" s="90" t="n"/>
      <c r="K189" s="89">
        <f>IF(OR($G189="",$H189="",NOT(ISNUMBER($I189))),"",ROUND($H189*$I189*(1+IF($J189="",Setup!$B$16,$J189)),2))</f>
        <v/>
      </c>
      <c r="L189" s="89">
        <f>IF($K189="","",ROUND($K189*Setup!$B$13,2))</f>
        <v/>
      </c>
      <c r="M189" s="89">
        <f>IF($K189="","",$K189-$L189)</f>
        <v/>
      </c>
      <c r="N189" s="89">
        <f>IF(OR($M189="",$D189=""),"",ROUND($M189*IFERROR(IF(VLOOKUP($D189,Setup!$A$76:$C$87,3,FALSE)="",Setup!$B$14,VLOOKUP($D189,Setup!$A$76:$C$87,3,FALSE)),Setup!$B$14),2))</f>
        <v/>
      </c>
      <c r="O189" s="89">
        <f>IF(OR($M189="",$E189=""),"",ROUND($M189*IFERROR(IF(VLOOKUP($E189,Setup!$A$76:$C$87,3,FALSE)="",Setup!$B$15,VLOOKUP($E189,Setup!$A$76:$C$87,3,FALSE)),Setup!$B$15),2))</f>
        <v/>
      </c>
      <c r="P189" s="91" t="n"/>
      <c r="Q189" s="91" t="n"/>
      <c r="R189" s="91" t="n"/>
      <c r="S189" s="91" t="n"/>
      <c r="T189" s="91" t="n"/>
      <c r="U189" s="89">
        <f>IF($K189="","",SUM($R189:$T189))</f>
        <v/>
      </c>
      <c r="V189" s="89">
        <f>IF($K189="","",$M189-(N($N189)+N($O189)+IF($P189="",Setup!$B$17,$P189)+N($Q189))-N($U189))</f>
        <v/>
      </c>
      <c r="W189" s="86" t="n"/>
      <c r="X189" s="87" t="n"/>
      <c r="Z189" s="92">
        <f>IF($A189="","",DATE(YEAR($A189),MONTH($A189),1))</f>
        <v/>
      </c>
    </row>
    <row r="190">
      <c r="A190" s="93" t="n"/>
      <c r="B190" s="94" t="n"/>
      <c r="C190" s="94" t="n"/>
      <c r="D190" s="95" t="n"/>
      <c r="E190" s="95" t="n"/>
      <c r="F190" s="95" t="n"/>
      <c r="G190" s="95" t="n"/>
      <c r="H190" s="96" t="n"/>
      <c r="I190" s="89">
        <f>IF($G190="","",IF($F190="",IFERROR(INDEX(Setup!$C$21:$C$60,MATCH("|"&amp;UPPER(TRIM($G190)),Setup!$Q$21:$Q$60,0)),"NO RATE"),IFERROR(INDEX(Setup!$C$21:$C$60,MATCH(UPPER(TRIM($F190))&amp;"|"&amp;UPPER(TRIM($G190)),Setup!$P$21:$P$60,0)),IFERROR(INDEX(Setup!$C$21:$C$60,MATCH(UPPER(TRIM($G190))&amp;"|"&amp;UPPER(TRIM($F190)),Setup!$P$21:$P$60,0)),"NO RATE"))))</f>
        <v/>
      </c>
      <c r="J190" s="97" t="n"/>
      <c r="K190" s="89">
        <f>IF(OR($G190="",$H190="",NOT(ISNUMBER($I190))),"",ROUND($H190*$I190*(1+IF($J190="",Setup!$B$16,$J190)),2))</f>
        <v/>
      </c>
      <c r="L190" s="89">
        <f>IF($K190="","",ROUND($K190*Setup!$B$13,2))</f>
        <v/>
      </c>
      <c r="M190" s="89">
        <f>IF($K190="","",$K190-$L190)</f>
        <v/>
      </c>
      <c r="N190" s="89">
        <f>IF(OR($M190="",$D190=""),"",ROUND($M190*IFERROR(IF(VLOOKUP($D190,Setup!$A$76:$C$87,3,FALSE)="",Setup!$B$14,VLOOKUP($D190,Setup!$A$76:$C$87,3,FALSE)),Setup!$B$14),2))</f>
        <v/>
      </c>
      <c r="O190" s="89">
        <f>IF(OR($M190="",$E190=""),"",ROUND($M190*IFERROR(IF(VLOOKUP($E190,Setup!$A$76:$C$87,3,FALSE)="",Setup!$B$15,VLOOKUP($E190,Setup!$A$76:$C$87,3,FALSE)),Setup!$B$15),2))</f>
        <v/>
      </c>
      <c r="P190" s="98" t="n"/>
      <c r="Q190" s="98" t="n"/>
      <c r="R190" s="98" t="n"/>
      <c r="S190" s="98" t="n"/>
      <c r="T190" s="98" t="n"/>
      <c r="U190" s="89">
        <f>IF($K190="","",SUM($R190:$T190))</f>
        <v/>
      </c>
      <c r="V190" s="89">
        <f>IF($K190="","",$M190-(N($N190)+N($O190)+IF($P190="",Setup!$B$17,$P190)+N($Q190))-N($U190))</f>
        <v/>
      </c>
      <c r="W190" s="94" t="n"/>
      <c r="X190" s="95" t="n"/>
      <c r="Z190" s="92">
        <f>IF($A190="","",DATE(YEAR($A190),MONTH($A190),1))</f>
        <v/>
      </c>
    </row>
    <row r="191">
      <c r="A191" s="85" t="n"/>
      <c r="B191" s="86" t="n"/>
      <c r="C191" s="86" t="n"/>
      <c r="D191" s="87" t="n"/>
      <c r="E191" s="87" t="n"/>
      <c r="F191" s="87" t="n"/>
      <c r="G191" s="87" t="n"/>
      <c r="H191" s="88" t="n"/>
      <c r="I191" s="89">
        <f>IF($G191="","",IF($F191="",IFERROR(INDEX(Setup!$C$21:$C$60,MATCH("|"&amp;UPPER(TRIM($G191)),Setup!$Q$21:$Q$60,0)),"NO RATE"),IFERROR(INDEX(Setup!$C$21:$C$60,MATCH(UPPER(TRIM($F191))&amp;"|"&amp;UPPER(TRIM($G191)),Setup!$P$21:$P$60,0)),IFERROR(INDEX(Setup!$C$21:$C$60,MATCH(UPPER(TRIM($G191))&amp;"|"&amp;UPPER(TRIM($F191)),Setup!$P$21:$P$60,0)),"NO RATE"))))</f>
        <v/>
      </c>
      <c r="J191" s="90" t="n"/>
      <c r="K191" s="89">
        <f>IF(OR($G191="",$H191="",NOT(ISNUMBER($I191))),"",ROUND($H191*$I191*(1+IF($J191="",Setup!$B$16,$J191)),2))</f>
        <v/>
      </c>
      <c r="L191" s="89">
        <f>IF($K191="","",ROUND($K191*Setup!$B$13,2))</f>
        <v/>
      </c>
      <c r="M191" s="89">
        <f>IF($K191="","",$K191-$L191)</f>
        <v/>
      </c>
      <c r="N191" s="89">
        <f>IF(OR($M191="",$D191=""),"",ROUND($M191*IFERROR(IF(VLOOKUP($D191,Setup!$A$76:$C$87,3,FALSE)="",Setup!$B$14,VLOOKUP($D191,Setup!$A$76:$C$87,3,FALSE)),Setup!$B$14),2))</f>
        <v/>
      </c>
      <c r="O191" s="89">
        <f>IF(OR($M191="",$E191=""),"",ROUND($M191*IFERROR(IF(VLOOKUP($E191,Setup!$A$76:$C$87,3,FALSE)="",Setup!$B$15,VLOOKUP($E191,Setup!$A$76:$C$87,3,FALSE)),Setup!$B$15),2))</f>
        <v/>
      </c>
      <c r="P191" s="91" t="n"/>
      <c r="Q191" s="91" t="n"/>
      <c r="R191" s="91" t="n"/>
      <c r="S191" s="91" t="n"/>
      <c r="T191" s="91" t="n"/>
      <c r="U191" s="89">
        <f>IF($K191="","",SUM($R191:$T191))</f>
        <v/>
      </c>
      <c r="V191" s="89">
        <f>IF($K191="","",$M191-(N($N191)+N($O191)+IF($P191="",Setup!$B$17,$P191)+N($Q191))-N($U191))</f>
        <v/>
      </c>
      <c r="W191" s="86" t="n"/>
      <c r="X191" s="87" t="n"/>
      <c r="Z191" s="92">
        <f>IF($A191="","",DATE(YEAR($A191),MONTH($A191),1))</f>
        <v/>
      </c>
    </row>
    <row r="192">
      <c r="A192" s="93" t="n"/>
      <c r="B192" s="94" t="n"/>
      <c r="C192" s="94" t="n"/>
      <c r="D192" s="95" t="n"/>
      <c r="E192" s="95" t="n"/>
      <c r="F192" s="95" t="n"/>
      <c r="G192" s="95" t="n"/>
      <c r="H192" s="96" t="n"/>
      <c r="I192" s="89">
        <f>IF($G192="","",IF($F192="",IFERROR(INDEX(Setup!$C$21:$C$60,MATCH("|"&amp;UPPER(TRIM($G192)),Setup!$Q$21:$Q$60,0)),"NO RATE"),IFERROR(INDEX(Setup!$C$21:$C$60,MATCH(UPPER(TRIM($F192))&amp;"|"&amp;UPPER(TRIM($G192)),Setup!$P$21:$P$60,0)),IFERROR(INDEX(Setup!$C$21:$C$60,MATCH(UPPER(TRIM($G192))&amp;"|"&amp;UPPER(TRIM($F192)),Setup!$P$21:$P$60,0)),"NO RATE"))))</f>
        <v/>
      </c>
      <c r="J192" s="97" t="n"/>
      <c r="K192" s="89">
        <f>IF(OR($G192="",$H192="",NOT(ISNUMBER($I192))),"",ROUND($H192*$I192*(1+IF($J192="",Setup!$B$16,$J192)),2))</f>
        <v/>
      </c>
      <c r="L192" s="89">
        <f>IF($K192="","",ROUND($K192*Setup!$B$13,2))</f>
        <v/>
      </c>
      <c r="M192" s="89">
        <f>IF($K192="","",$K192-$L192)</f>
        <v/>
      </c>
      <c r="N192" s="89">
        <f>IF(OR($M192="",$D192=""),"",ROUND($M192*IFERROR(IF(VLOOKUP($D192,Setup!$A$76:$C$87,3,FALSE)="",Setup!$B$14,VLOOKUP($D192,Setup!$A$76:$C$87,3,FALSE)),Setup!$B$14),2))</f>
        <v/>
      </c>
      <c r="O192" s="89">
        <f>IF(OR($M192="",$E192=""),"",ROUND($M192*IFERROR(IF(VLOOKUP($E192,Setup!$A$76:$C$87,3,FALSE)="",Setup!$B$15,VLOOKUP($E192,Setup!$A$76:$C$87,3,FALSE)),Setup!$B$15),2))</f>
        <v/>
      </c>
      <c r="P192" s="98" t="n"/>
      <c r="Q192" s="98" t="n"/>
      <c r="R192" s="98" t="n"/>
      <c r="S192" s="98" t="n"/>
      <c r="T192" s="98" t="n"/>
      <c r="U192" s="89">
        <f>IF($K192="","",SUM($R192:$T192))</f>
        <v/>
      </c>
      <c r="V192" s="89">
        <f>IF($K192="","",$M192-(N($N192)+N($O192)+IF($P192="",Setup!$B$17,$P192)+N($Q192))-N($U192))</f>
        <v/>
      </c>
      <c r="W192" s="94" t="n"/>
      <c r="X192" s="95" t="n"/>
      <c r="Z192" s="92">
        <f>IF($A192="","",DATE(YEAR($A192),MONTH($A192),1))</f>
        <v/>
      </c>
    </row>
    <row r="193">
      <c r="A193" s="85" t="n"/>
      <c r="B193" s="86" t="n"/>
      <c r="C193" s="86" t="n"/>
      <c r="D193" s="87" t="n"/>
      <c r="E193" s="87" t="n"/>
      <c r="F193" s="87" t="n"/>
      <c r="G193" s="87" t="n"/>
      <c r="H193" s="88" t="n"/>
      <c r="I193" s="89">
        <f>IF($G193="","",IF($F193="",IFERROR(INDEX(Setup!$C$21:$C$60,MATCH("|"&amp;UPPER(TRIM($G193)),Setup!$Q$21:$Q$60,0)),"NO RATE"),IFERROR(INDEX(Setup!$C$21:$C$60,MATCH(UPPER(TRIM($F193))&amp;"|"&amp;UPPER(TRIM($G193)),Setup!$P$21:$P$60,0)),IFERROR(INDEX(Setup!$C$21:$C$60,MATCH(UPPER(TRIM($G193))&amp;"|"&amp;UPPER(TRIM($F193)),Setup!$P$21:$P$60,0)),"NO RATE"))))</f>
        <v/>
      </c>
      <c r="J193" s="90" t="n"/>
      <c r="K193" s="89">
        <f>IF(OR($G193="",$H193="",NOT(ISNUMBER($I193))),"",ROUND($H193*$I193*(1+IF($J193="",Setup!$B$16,$J193)),2))</f>
        <v/>
      </c>
      <c r="L193" s="89">
        <f>IF($K193="","",ROUND($K193*Setup!$B$13,2))</f>
        <v/>
      </c>
      <c r="M193" s="89">
        <f>IF($K193="","",$K193-$L193)</f>
        <v/>
      </c>
      <c r="N193" s="89">
        <f>IF(OR($M193="",$D193=""),"",ROUND($M193*IFERROR(IF(VLOOKUP($D193,Setup!$A$76:$C$87,3,FALSE)="",Setup!$B$14,VLOOKUP($D193,Setup!$A$76:$C$87,3,FALSE)),Setup!$B$14),2))</f>
        <v/>
      </c>
      <c r="O193" s="89">
        <f>IF(OR($M193="",$E193=""),"",ROUND($M193*IFERROR(IF(VLOOKUP($E193,Setup!$A$76:$C$87,3,FALSE)="",Setup!$B$15,VLOOKUP($E193,Setup!$A$76:$C$87,3,FALSE)),Setup!$B$15),2))</f>
        <v/>
      </c>
      <c r="P193" s="91" t="n"/>
      <c r="Q193" s="91" t="n"/>
      <c r="R193" s="91" t="n"/>
      <c r="S193" s="91" t="n"/>
      <c r="T193" s="91" t="n"/>
      <c r="U193" s="89">
        <f>IF($K193="","",SUM($R193:$T193))</f>
        <v/>
      </c>
      <c r="V193" s="89">
        <f>IF($K193="","",$M193-(N($N193)+N($O193)+IF($P193="",Setup!$B$17,$P193)+N($Q193))-N($U193))</f>
        <v/>
      </c>
      <c r="W193" s="86" t="n"/>
      <c r="X193" s="87" t="n"/>
      <c r="Z193" s="92">
        <f>IF($A193="","",DATE(YEAR($A193),MONTH($A193),1))</f>
        <v/>
      </c>
    </row>
    <row r="194">
      <c r="A194" s="93" t="n"/>
      <c r="B194" s="94" t="n"/>
      <c r="C194" s="94" t="n"/>
      <c r="D194" s="95" t="n"/>
      <c r="E194" s="95" t="n"/>
      <c r="F194" s="95" t="n"/>
      <c r="G194" s="95" t="n"/>
      <c r="H194" s="96" t="n"/>
      <c r="I194" s="89">
        <f>IF($G194="","",IF($F194="",IFERROR(INDEX(Setup!$C$21:$C$60,MATCH("|"&amp;UPPER(TRIM($G194)),Setup!$Q$21:$Q$60,0)),"NO RATE"),IFERROR(INDEX(Setup!$C$21:$C$60,MATCH(UPPER(TRIM($F194))&amp;"|"&amp;UPPER(TRIM($G194)),Setup!$P$21:$P$60,0)),IFERROR(INDEX(Setup!$C$21:$C$60,MATCH(UPPER(TRIM($G194))&amp;"|"&amp;UPPER(TRIM($F194)),Setup!$P$21:$P$60,0)),"NO RATE"))))</f>
        <v/>
      </c>
      <c r="J194" s="97" t="n"/>
      <c r="K194" s="89">
        <f>IF(OR($G194="",$H194="",NOT(ISNUMBER($I194))),"",ROUND($H194*$I194*(1+IF($J194="",Setup!$B$16,$J194)),2))</f>
        <v/>
      </c>
      <c r="L194" s="89">
        <f>IF($K194="","",ROUND($K194*Setup!$B$13,2))</f>
        <v/>
      </c>
      <c r="M194" s="89">
        <f>IF($K194="","",$K194-$L194)</f>
        <v/>
      </c>
      <c r="N194" s="89">
        <f>IF(OR($M194="",$D194=""),"",ROUND($M194*IFERROR(IF(VLOOKUP($D194,Setup!$A$76:$C$87,3,FALSE)="",Setup!$B$14,VLOOKUP($D194,Setup!$A$76:$C$87,3,FALSE)),Setup!$B$14),2))</f>
        <v/>
      </c>
      <c r="O194" s="89">
        <f>IF(OR($M194="",$E194=""),"",ROUND($M194*IFERROR(IF(VLOOKUP($E194,Setup!$A$76:$C$87,3,FALSE)="",Setup!$B$15,VLOOKUP($E194,Setup!$A$76:$C$87,3,FALSE)),Setup!$B$15),2))</f>
        <v/>
      </c>
      <c r="P194" s="98" t="n"/>
      <c r="Q194" s="98" t="n"/>
      <c r="R194" s="98" t="n"/>
      <c r="S194" s="98" t="n"/>
      <c r="T194" s="98" t="n"/>
      <c r="U194" s="89">
        <f>IF($K194="","",SUM($R194:$T194))</f>
        <v/>
      </c>
      <c r="V194" s="89">
        <f>IF($K194="","",$M194-(N($N194)+N($O194)+IF($P194="",Setup!$B$17,$P194)+N($Q194))-N($U194))</f>
        <v/>
      </c>
      <c r="W194" s="94" t="n"/>
      <c r="X194" s="95" t="n"/>
      <c r="Z194" s="92">
        <f>IF($A194="","",DATE(YEAR($A194),MONTH($A194),1))</f>
        <v/>
      </c>
    </row>
    <row r="195">
      <c r="A195" s="85" t="n"/>
      <c r="B195" s="86" t="n"/>
      <c r="C195" s="86" t="n"/>
      <c r="D195" s="87" t="n"/>
      <c r="E195" s="87" t="n"/>
      <c r="F195" s="87" t="n"/>
      <c r="G195" s="87" t="n"/>
      <c r="H195" s="88" t="n"/>
      <c r="I195" s="89">
        <f>IF($G195="","",IF($F195="",IFERROR(INDEX(Setup!$C$21:$C$60,MATCH("|"&amp;UPPER(TRIM($G195)),Setup!$Q$21:$Q$60,0)),"NO RATE"),IFERROR(INDEX(Setup!$C$21:$C$60,MATCH(UPPER(TRIM($F195))&amp;"|"&amp;UPPER(TRIM($G195)),Setup!$P$21:$P$60,0)),IFERROR(INDEX(Setup!$C$21:$C$60,MATCH(UPPER(TRIM($G195))&amp;"|"&amp;UPPER(TRIM($F195)),Setup!$P$21:$P$60,0)),"NO RATE"))))</f>
        <v/>
      </c>
      <c r="J195" s="90" t="n"/>
      <c r="K195" s="89">
        <f>IF(OR($G195="",$H195="",NOT(ISNUMBER($I195))),"",ROUND($H195*$I195*(1+IF($J195="",Setup!$B$16,$J195)),2))</f>
        <v/>
      </c>
      <c r="L195" s="89">
        <f>IF($K195="","",ROUND($K195*Setup!$B$13,2))</f>
        <v/>
      </c>
      <c r="M195" s="89">
        <f>IF($K195="","",$K195-$L195)</f>
        <v/>
      </c>
      <c r="N195" s="89">
        <f>IF(OR($M195="",$D195=""),"",ROUND($M195*IFERROR(IF(VLOOKUP($D195,Setup!$A$76:$C$87,3,FALSE)="",Setup!$B$14,VLOOKUP($D195,Setup!$A$76:$C$87,3,FALSE)),Setup!$B$14),2))</f>
        <v/>
      </c>
      <c r="O195" s="89">
        <f>IF(OR($M195="",$E195=""),"",ROUND($M195*IFERROR(IF(VLOOKUP($E195,Setup!$A$76:$C$87,3,FALSE)="",Setup!$B$15,VLOOKUP($E195,Setup!$A$76:$C$87,3,FALSE)),Setup!$B$15),2))</f>
        <v/>
      </c>
      <c r="P195" s="91" t="n"/>
      <c r="Q195" s="91" t="n"/>
      <c r="R195" s="91" t="n"/>
      <c r="S195" s="91" t="n"/>
      <c r="T195" s="91" t="n"/>
      <c r="U195" s="89">
        <f>IF($K195="","",SUM($R195:$T195))</f>
        <v/>
      </c>
      <c r="V195" s="89">
        <f>IF($K195="","",$M195-(N($N195)+N($O195)+IF($P195="",Setup!$B$17,$P195)+N($Q195))-N($U195))</f>
        <v/>
      </c>
      <c r="W195" s="86" t="n"/>
      <c r="X195" s="87" t="n"/>
      <c r="Z195" s="92">
        <f>IF($A195="","",DATE(YEAR($A195),MONTH($A195),1))</f>
        <v/>
      </c>
    </row>
    <row r="196">
      <c r="A196" s="93" t="n"/>
      <c r="B196" s="94" t="n"/>
      <c r="C196" s="94" t="n"/>
      <c r="D196" s="95" t="n"/>
      <c r="E196" s="95" t="n"/>
      <c r="F196" s="95" t="n"/>
      <c r="G196" s="95" t="n"/>
      <c r="H196" s="96" t="n"/>
      <c r="I196" s="89">
        <f>IF($G196="","",IF($F196="",IFERROR(INDEX(Setup!$C$21:$C$60,MATCH("|"&amp;UPPER(TRIM($G196)),Setup!$Q$21:$Q$60,0)),"NO RATE"),IFERROR(INDEX(Setup!$C$21:$C$60,MATCH(UPPER(TRIM($F196))&amp;"|"&amp;UPPER(TRIM($G196)),Setup!$P$21:$P$60,0)),IFERROR(INDEX(Setup!$C$21:$C$60,MATCH(UPPER(TRIM($G196))&amp;"|"&amp;UPPER(TRIM($F196)),Setup!$P$21:$P$60,0)),"NO RATE"))))</f>
        <v/>
      </c>
      <c r="J196" s="97" t="n"/>
      <c r="K196" s="89">
        <f>IF(OR($G196="",$H196="",NOT(ISNUMBER($I196))),"",ROUND($H196*$I196*(1+IF($J196="",Setup!$B$16,$J196)),2))</f>
        <v/>
      </c>
      <c r="L196" s="89">
        <f>IF($K196="","",ROUND($K196*Setup!$B$13,2))</f>
        <v/>
      </c>
      <c r="M196" s="89">
        <f>IF($K196="","",$K196-$L196)</f>
        <v/>
      </c>
      <c r="N196" s="89">
        <f>IF(OR($M196="",$D196=""),"",ROUND($M196*IFERROR(IF(VLOOKUP($D196,Setup!$A$76:$C$87,3,FALSE)="",Setup!$B$14,VLOOKUP($D196,Setup!$A$76:$C$87,3,FALSE)),Setup!$B$14),2))</f>
        <v/>
      </c>
      <c r="O196" s="89">
        <f>IF(OR($M196="",$E196=""),"",ROUND($M196*IFERROR(IF(VLOOKUP($E196,Setup!$A$76:$C$87,3,FALSE)="",Setup!$B$15,VLOOKUP($E196,Setup!$A$76:$C$87,3,FALSE)),Setup!$B$15),2))</f>
        <v/>
      </c>
      <c r="P196" s="98" t="n"/>
      <c r="Q196" s="98" t="n"/>
      <c r="R196" s="98" t="n"/>
      <c r="S196" s="98" t="n"/>
      <c r="T196" s="98" t="n"/>
      <c r="U196" s="89">
        <f>IF($K196="","",SUM($R196:$T196))</f>
        <v/>
      </c>
      <c r="V196" s="89">
        <f>IF($K196="","",$M196-(N($N196)+N($O196)+IF($P196="",Setup!$B$17,$P196)+N($Q196))-N($U196))</f>
        <v/>
      </c>
      <c r="W196" s="94" t="n"/>
      <c r="X196" s="95" t="n"/>
      <c r="Z196" s="92">
        <f>IF($A196="","",DATE(YEAR($A196),MONTH($A196),1))</f>
        <v/>
      </c>
    </row>
    <row r="197">
      <c r="A197" s="85" t="n"/>
      <c r="B197" s="86" t="n"/>
      <c r="C197" s="86" t="n"/>
      <c r="D197" s="87" t="n"/>
      <c r="E197" s="87" t="n"/>
      <c r="F197" s="87" t="n"/>
      <c r="G197" s="87" t="n"/>
      <c r="H197" s="88" t="n"/>
      <c r="I197" s="89">
        <f>IF($G197="","",IF($F197="",IFERROR(INDEX(Setup!$C$21:$C$60,MATCH("|"&amp;UPPER(TRIM($G197)),Setup!$Q$21:$Q$60,0)),"NO RATE"),IFERROR(INDEX(Setup!$C$21:$C$60,MATCH(UPPER(TRIM($F197))&amp;"|"&amp;UPPER(TRIM($G197)),Setup!$P$21:$P$60,0)),IFERROR(INDEX(Setup!$C$21:$C$60,MATCH(UPPER(TRIM($G197))&amp;"|"&amp;UPPER(TRIM($F197)),Setup!$P$21:$P$60,0)),"NO RATE"))))</f>
        <v/>
      </c>
      <c r="J197" s="90" t="n"/>
      <c r="K197" s="89">
        <f>IF(OR($G197="",$H197="",NOT(ISNUMBER($I197))),"",ROUND($H197*$I197*(1+IF($J197="",Setup!$B$16,$J197)),2))</f>
        <v/>
      </c>
      <c r="L197" s="89">
        <f>IF($K197="","",ROUND($K197*Setup!$B$13,2))</f>
        <v/>
      </c>
      <c r="M197" s="89">
        <f>IF($K197="","",$K197-$L197)</f>
        <v/>
      </c>
      <c r="N197" s="89">
        <f>IF(OR($M197="",$D197=""),"",ROUND($M197*IFERROR(IF(VLOOKUP($D197,Setup!$A$76:$C$87,3,FALSE)="",Setup!$B$14,VLOOKUP($D197,Setup!$A$76:$C$87,3,FALSE)),Setup!$B$14),2))</f>
        <v/>
      </c>
      <c r="O197" s="89">
        <f>IF(OR($M197="",$E197=""),"",ROUND($M197*IFERROR(IF(VLOOKUP($E197,Setup!$A$76:$C$87,3,FALSE)="",Setup!$B$15,VLOOKUP($E197,Setup!$A$76:$C$87,3,FALSE)),Setup!$B$15),2))</f>
        <v/>
      </c>
      <c r="P197" s="91" t="n"/>
      <c r="Q197" s="91" t="n"/>
      <c r="R197" s="91" t="n"/>
      <c r="S197" s="91" t="n"/>
      <c r="T197" s="91" t="n"/>
      <c r="U197" s="89">
        <f>IF($K197="","",SUM($R197:$T197))</f>
        <v/>
      </c>
      <c r="V197" s="89">
        <f>IF($K197="","",$M197-(N($N197)+N($O197)+IF($P197="",Setup!$B$17,$P197)+N($Q197))-N($U197))</f>
        <v/>
      </c>
      <c r="W197" s="86" t="n"/>
      <c r="X197" s="87" t="n"/>
      <c r="Z197" s="92">
        <f>IF($A197="","",DATE(YEAR($A197),MONTH($A197),1))</f>
        <v/>
      </c>
    </row>
    <row r="198">
      <c r="A198" s="93" t="n"/>
      <c r="B198" s="94" t="n"/>
      <c r="C198" s="94" t="n"/>
      <c r="D198" s="95" t="n"/>
      <c r="E198" s="95" t="n"/>
      <c r="F198" s="95" t="n"/>
      <c r="G198" s="95" t="n"/>
      <c r="H198" s="96" t="n"/>
      <c r="I198" s="89">
        <f>IF($G198="","",IF($F198="",IFERROR(INDEX(Setup!$C$21:$C$60,MATCH("|"&amp;UPPER(TRIM($G198)),Setup!$Q$21:$Q$60,0)),"NO RATE"),IFERROR(INDEX(Setup!$C$21:$C$60,MATCH(UPPER(TRIM($F198))&amp;"|"&amp;UPPER(TRIM($G198)),Setup!$P$21:$P$60,0)),IFERROR(INDEX(Setup!$C$21:$C$60,MATCH(UPPER(TRIM($G198))&amp;"|"&amp;UPPER(TRIM($F198)),Setup!$P$21:$P$60,0)),"NO RATE"))))</f>
        <v/>
      </c>
      <c r="J198" s="97" t="n"/>
      <c r="K198" s="89">
        <f>IF(OR($G198="",$H198="",NOT(ISNUMBER($I198))),"",ROUND($H198*$I198*(1+IF($J198="",Setup!$B$16,$J198)),2))</f>
        <v/>
      </c>
      <c r="L198" s="89">
        <f>IF($K198="","",ROUND($K198*Setup!$B$13,2))</f>
        <v/>
      </c>
      <c r="M198" s="89">
        <f>IF($K198="","",$K198-$L198)</f>
        <v/>
      </c>
      <c r="N198" s="89">
        <f>IF(OR($M198="",$D198=""),"",ROUND($M198*IFERROR(IF(VLOOKUP($D198,Setup!$A$76:$C$87,3,FALSE)="",Setup!$B$14,VLOOKUP($D198,Setup!$A$76:$C$87,3,FALSE)),Setup!$B$14),2))</f>
        <v/>
      </c>
      <c r="O198" s="89">
        <f>IF(OR($M198="",$E198=""),"",ROUND($M198*IFERROR(IF(VLOOKUP($E198,Setup!$A$76:$C$87,3,FALSE)="",Setup!$B$15,VLOOKUP($E198,Setup!$A$76:$C$87,3,FALSE)),Setup!$B$15),2))</f>
        <v/>
      </c>
      <c r="P198" s="98" t="n"/>
      <c r="Q198" s="98" t="n"/>
      <c r="R198" s="98" t="n"/>
      <c r="S198" s="98" t="n"/>
      <c r="T198" s="98" t="n"/>
      <c r="U198" s="89">
        <f>IF($K198="","",SUM($R198:$T198))</f>
        <v/>
      </c>
      <c r="V198" s="89">
        <f>IF($K198="","",$M198-(N($N198)+N($O198)+IF($P198="",Setup!$B$17,$P198)+N($Q198))-N($U198))</f>
        <v/>
      </c>
      <c r="W198" s="94" t="n"/>
      <c r="X198" s="95" t="n"/>
      <c r="Z198" s="92">
        <f>IF($A198="","",DATE(YEAR($A198),MONTH($A198),1))</f>
        <v/>
      </c>
    </row>
    <row r="199">
      <c r="A199" s="85" t="n"/>
      <c r="B199" s="86" t="n"/>
      <c r="C199" s="86" t="n"/>
      <c r="D199" s="87" t="n"/>
      <c r="E199" s="87" t="n"/>
      <c r="F199" s="87" t="n"/>
      <c r="G199" s="87" t="n"/>
      <c r="H199" s="88" t="n"/>
      <c r="I199" s="89">
        <f>IF($G199="","",IF($F199="",IFERROR(INDEX(Setup!$C$21:$C$60,MATCH("|"&amp;UPPER(TRIM($G199)),Setup!$Q$21:$Q$60,0)),"NO RATE"),IFERROR(INDEX(Setup!$C$21:$C$60,MATCH(UPPER(TRIM($F199))&amp;"|"&amp;UPPER(TRIM($G199)),Setup!$P$21:$P$60,0)),IFERROR(INDEX(Setup!$C$21:$C$60,MATCH(UPPER(TRIM($G199))&amp;"|"&amp;UPPER(TRIM($F199)),Setup!$P$21:$P$60,0)),"NO RATE"))))</f>
        <v/>
      </c>
      <c r="J199" s="90" t="n"/>
      <c r="K199" s="89">
        <f>IF(OR($G199="",$H199="",NOT(ISNUMBER($I199))),"",ROUND($H199*$I199*(1+IF($J199="",Setup!$B$16,$J199)),2))</f>
        <v/>
      </c>
      <c r="L199" s="89">
        <f>IF($K199="","",ROUND($K199*Setup!$B$13,2))</f>
        <v/>
      </c>
      <c r="M199" s="89">
        <f>IF($K199="","",$K199-$L199)</f>
        <v/>
      </c>
      <c r="N199" s="89">
        <f>IF(OR($M199="",$D199=""),"",ROUND($M199*IFERROR(IF(VLOOKUP($D199,Setup!$A$76:$C$87,3,FALSE)="",Setup!$B$14,VLOOKUP($D199,Setup!$A$76:$C$87,3,FALSE)),Setup!$B$14),2))</f>
        <v/>
      </c>
      <c r="O199" s="89">
        <f>IF(OR($M199="",$E199=""),"",ROUND($M199*IFERROR(IF(VLOOKUP($E199,Setup!$A$76:$C$87,3,FALSE)="",Setup!$B$15,VLOOKUP($E199,Setup!$A$76:$C$87,3,FALSE)),Setup!$B$15),2))</f>
        <v/>
      </c>
      <c r="P199" s="91" t="n"/>
      <c r="Q199" s="91" t="n"/>
      <c r="R199" s="91" t="n"/>
      <c r="S199" s="91" t="n"/>
      <c r="T199" s="91" t="n"/>
      <c r="U199" s="89">
        <f>IF($K199="","",SUM($R199:$T199))</f>
        <v/>
      </c>
      <c r="V199" s="89">
        <f>IF($K199="","",$M199-(N($N199)+N($O199)+IF($P199="",Setup!$B$17,$P199)+N($Q199))-N($U199))</f>
        <v/>
      </c>
      <c r="W199" s="86" t="n"/>
      <c r="X199" s="87" t="n"/>
      <c r="Z199" s="92">
        <f>IF($A199="","",DATE(YEAR($A199),MONTH($A199),1))</f>
        <v/>
      </c>
    </row>
    <row r="200">
      <c r="A200" s="93" t="n"/>
      <c r="B200" s="94" t="n"/>
      <c r="C200" s="94" t="n"/>
      <c r="D200" s="95" t="n"/>
      <c r="E200" s="95" t="n"/>
      <c r="F200" s="95" t="n"/>
      <c r="G200" s="95" t="n"/>
      <c r="H200" s="96" t="n"/>
      <c r="I200" s="89">
        <f>IF($G200="","",IF($F200="",IFERROR(INDEX(Setup!$C$21:$C$60,MATCH("|"&amp;UPPER(TRIM($G200)),Setup!$Q$21:$Q$60,0)),"NO RATE"),IFERROR(INDEX(Setup!$C$21:$C$60,MATCH(UPPER(TRIM($F200))&amp;"|"&amp;UPPER(TRIM($G200)),Setup!$P$21:$P$60,0)),IFERROR(INDEX(Setup!$C$21:$C$60,MATCH(UPPER(TRIM($G200))&amp;"|"&amp;UPPER(TRIM($F200)),Setup!$P$21:$P$60,0)),"NO RATE"))))</f>
        <v/>
      </c>
      <c r="J200" s="97" t="n"/>
      <c r="K200" s="89">
        <f>IF(OR($G200="",$H200="",NOT(ISNUMBER($I200))),"",ROUND($H200*$I200*(1+IF($J200="",Setup!$B$16,$J200)),2))</f>
        <v/>
      </c>
      <c r="L200" s="89">
        <f>IF($K200="","",ROUND($K200*Setup!$B$13,2))</f>
        <v/>
      </c>
      <c r="M200" s="89">
        <f>IF($K200="","",$K200-$L200)</f>
        <v/>
      </c>
      <c r="N200" s="89">
        <f>IF(OR($M200="",$D200=""),"",ROUND($M200*IFERROR(IF(VLOOKUP($D200,Setup!$A$76:$C$87,3,FALSE)="",Setup!$B$14,VLOOKUP($D200,Setup!$A$76:$C$87,3,FALSE)),Setup!$B$14),2))</f>
        <v/>
      </c>
      <c r="O200" s="89">
        <f>IF(OR($M200="",$E200=""),"",ROUND($M200*IFERROR(IF(VLOOKUP($E200,Setup!$A$76:$C$87,3,FALSE)="",Setup!$B$15,VLOOKUP($E200,Setup!$A$76:$C$87,3,FALSE)),Setup!$B$15),2))</f>
        <v/>
      </c>
      <c r="P200" s="98" t="n"/>
      <c r="Q200" s="98" t="n"/>
      <c r="R200" s="98" t="n"/>
      <c r="S200" s="98" t="n"/>
      <c r="T200" s="98" t="n"/>
      <c r="U200" s="89">
        <f>IF($K200="","",SUM($R200:$T200))</f>
        <v/>
      </c>
      <c r="V200" s="89">
        <f>IF($K200="","",$M200-(N($N200)+N($O200)+IF($P200="",Setup!$B$17,$P200)+N($Q200))-N($U200))</f>
        <v/>
      </c>
      <c r="W200" s="94" t="n"/>
      <c r="X200" s="95" t="n"/>
      <c r="Z200" s="92">
        <f>IF($A200="","",DATE(YEAR($A200),MONTH($A200),1))</f>
        <v/>
      </c>
    </row>
    <row r="201">
      <c r="A201" s="85" t="n"/>
      <c r="B201" s="86" t="n"/>
      <c r="C201" s="86" t="n"/>
      <c r="D201" s="87" t="n"/>
      <c r="E201" s="87" t="n"/>
      <c r="F201" s="87" t="n"/>
      <c r="G201" s="87" t="n"/>
      <c r="H201" s="88" t="n"/>
      <c r="I201" s="89">
        <f>IF($G201="","",IF($F201="",IFERROR(INDEX(Setup!$C$21:$C$60,MATCH("|"&amp;UPPER(TRIM($G201)),Setup!$Q$21:$Q$60,0)),"NO RATE"),IFERROR(INDEX(Setup!$C$21:$C$60,MATCH(UPPER(TRIM($F201))&amp;"|"&amp;UPPER(TRIM($G201)),Setup!$P$21:$P$60,0)),IFERROR(INDEX(Setup!$C$21:$C$60,MATCH(UPPER(TRIM($G201))&amp;"|"&amp;UPPER(TRIM($F201)),Setup!$P$21:$P$60,0)),"NO RATE"))))</f>
        <v/>
      </c>
      <c r="J201" s="90" t="n"/>
      <c r="K201" s="89">
        <f>IF(OR($G201="",$H201="",NOT(ISNUMBER($I201))),"",ROUND($H201*$I201*(1+IF($J201="",Setup!$B$16,$J201)),2))</f>
        <v/>
      </c>
      <c r="L201" s="89">
        <f>IF($K201="","",ROUND($K201*Setup!$B$13,2))</f>
        <v/>
      </c>
      <c r="M201" s="89">
        <f>IF($K201="","",$K201-$L201)</f>
        <v/>
      </c>
      <c r="N201" s="89">
        <f>IF(OR($M201="",$D201=""),"",ROUND($M201*IFERROR(IF(VLOOKUP($D201,Setup!$A$76:$C$87,3,FALSE)="",Setup!$B$14,VLOOKUP($D201,Setup!$A$76:$C$87,3,FALSE)),Setup!$B$14),2))</f>
        <v/>
      </c>
      <c r="O201" s="89">
        <f>IF(OR($M201="",$E201=""),"",ROUND($M201*IFERROR(IF(VLOOKUP($E201,Setup!$A$76:$C$87,3,FALSE)="",Setup!$B$15,VLOOKUP($E201,Setup!$A$76:$C$87,3,FALSE)),Setup!$B$15),2))</f>
        <v/>
      </c>
      <c r="P201" s="91" t="n"/>
      <c r="Q201" s="91" t="n"/>
      <c r="R201" s="91" t="n"/>
      <c r="S201" s="91" t="n"/>
      <c r="T201" s="91" t="n"/>
      <c r="U201" s="89">
        <f>IF($K201="","",SUM($R201:$T201))</f>
        <v/>
      </c>
      <c r="V201" s="89">
        <f>IF($K201="","",$M201-(N($N201)+N($O201)+IF($P201="",Setup!$B$17,$P201)+N($Q201))-N($U201))</f>
        <v/>
      </c>
      <c r="W201" s="86" t="n"/>
      <c r="X201" s="87" t="n"/>
      <c r="Z201" s="92">
        <f>IF($A201="","",DATE(YEAR($A201),MONTH($A201),1))</f>
        <v/>
      </c>
    </row>
    <row r="202">
      <c r="A202" s="93" t="n"/>
      <c r="B202" s="94" t="n"/>
      <c r="C202" s="94" t="n"/>
      <c r="D202" s="95" t="n"/>
      <c r="E202" s="95" t="n"/>
      <c r="F202" s="95" t="n"/>
      <c r="G202" s="95" t="n"/>
      <c r="H202" s="96" t="n"/>
      <c r="I202" s="89">
        <f>IF($G202="","",IF($F202="",IFERROR(INDEX(Setup!$C$21:$C$60,MATCH("|"&amp;UPPER(TRIM($G202)),Setup!$Q$21:$Q$60,0)),"NO RATE"),IFERROR(INDEX(Setup!$C$21:$C$60,MATCH(UPPER(TRIM($F202))&amp;"|"&amp;UPPER(TRIM($G202)),Setup!$P$21:$P$60,0)),IFERROR(INDEX(Setup!$C$21:$C$60,MATCH(UPPER(TRIM($G202))&amp;"|"&amp;UPPER(TRIM($F202)),Setup!$P$21:$P$60,0)),"NO RATE"))))</f>
        <v/>
      </c>
      <c r="J202" s="97" t="n"/>
      <c r="K202" s="89">
        <f>IF(OR($G202="",$H202="",NOT(ISNUMBER($I202))),"",ROUND($H202*$I202*(1+IF($J202="",Setup!$B$16,$J202)),2))</f>
        <v/>
      </c>
      <c r="L202" s="89">
        <f>IF($K202="","",ROUND($K202*Setup!$B$13,2))</f>
        <v/>
      </c>
      <c r="M202" s="89">
        <f>IF($K202="","",$K202-$L202)</f>
        <v/>
      </c>
      <c r="N202" s="89">
        <f>IF(OR($M202="",$D202=""),"",ROUND($M202*IFERROR(IF(VLOOKUP($D202,Setup!$A$76:$C$87,3,FALSE)="",Setup!$B$14,VLOOKUP($D202,Setup!$A$76:$C$87,3,FALSE)),Setup!$B$14),2))</f>
        <v/>
      </c>
      <c r="O202" s="89">
        <f>IF(OR($M202="",$E202=""),"",ROUND($M202*IFERROR(IF(VLOOKUP($E202,Setup!$A$76:$C$87,3,FALSE)="",Setup!$B$15,VLOOKUP($E202,Setup!$A$76:$C$87,3,FALSE)),Setup!$B$15),2))</f>
        <v/>
      </c>
      <c r="P202" s="98" t="n"/>
      <c r="Q202" s="98" t="n"/>
      <c r="R202" s="98" t="n"/>
      <c r="S202" s="98" t="n"/>
      <c r="T202" s="98" t="n"/>
      <c r="U202" s="89">
        <f>IF($K202="","",SUM($R202:$T202))</f>
        <v/>
      </c>
      <c r="V202" s="89">
        <f>IF($K202="","",$M202-(N($N202)+N($O202)+IF($P202="",Setup!$B$17,$P202)+N($Q202))-N($U202))</f>
        <v/>
      </c>
      <c r="W202" s="94" t="n"/>
      <c r="X202" s="95" t="n"/>
      <c r="Z202" s="92">
        <f>IF($A202="","",DATE(YEAR($A202),MONTH($A202),1))</f>
        <v/>
      </c>
    </row>
    <row r="203">
      <c r="A203" s="85" t="n"/>
      <c r="B203" s="86" t="n"/>
      <c r="C203" s="86" t="n"/>
      <c r="D203" s="87" t="n"/>
      <c r="E203" s="87" t="n"/>
      <c r="F203" s="87" t="n"/>
      <c r="G203" s="87" t="n"/>
      <c r="H203" s="88" t="n"/>
      <c r="I203" s="89">
        <f>IF($G203="","",IF($F203="",IFERROR(INDEX(Setup!$C$21:$C$60,MATCH("|"&amp;UPPER(TRIM($G203)),Setup!$Q$21:$Q$60,0)),"NO RATE"),IFERROR(INDEX(Setup!$C$21:$C$60,MATCH(UPPER(TRIM($F203))&amp;"|"&amp;UPPER(TRIM($G203)),Setup!$P$21:$P$60,0)),IFERROR(INDEX(Setup!$C$21:$C$60,MATCH(UPPER(TRIM($G203))&amp;"|"&amp;UPPER(TRIM($F203)),Setup!$P$21:$P$60,0)),"NO RATE"))))</f>
        <v/>
      </c>
      <c r="J203" s="90" t="n"/>
      <c r="K203" s="89">
        <f>IF(OR($G203="",$H203="",NOT(ISNUMBER($I203))),"",ROUND($H203*$I203*(1+IF($J203="",Setup!$B$16,$J203)),2))</f>
        <v/>
      </c>
      <c r="L203" s="89">
        <f>IF($K203="","",ROUND($K203*Setup!$B$13,2))</f>
        <v/>
      </c>
      <c r="M203" s="89">
        <f>IF($K203="","",$K203-$L203)</f>
        <v/>
      </c>
      <c r="N203" s="89">
        <f>IF(OR($M203="",$D203=""),"",ROUND($M203*IFERROR(IF(VLOOKUP($D203,Setup!$A$76:$C$87,3,FALSE)="",Setup!$B$14,VLOOKUP($D203,Setup!$A$76:$C$87,3,FALSE)),Setup!$B$14),2))</f>
        <v/>
      </c>
      <c r="O203" s="89">
        <f>IF(OR($M203="",$E203=""),"",ROUND($M203*IFERROR(IF(VLOOKUP($E203,Setup!$A$76:$C$87,3,FALSE)="",Setup!$B$15,VLOOKUP($E203,Setup!$A$76:$C$87,3,FALSE)),Setup!$B$15),2))</f>
        <v/>
      </c>
      <c r="P203" s="91" t="n"/>
      <c r="Q203" s="91" t="n"/>
      <c r="R203" s="91" t="n"/>
      <c r="S203" s="91" t="n"/>
      <c r="T203" s="91" t="n"/>
      <c r="U203" s="89">
        <f>IF($K203="","",SUM($R203:$T203))</f>
        <v/>
      </c>
      <c r="V203" s="89">
        <f>IF($K203="","",$M203-(N($N203)+N($O203)+IF($P203="",Setup!$B$17,$P203)+N($Q203))-N($U203))</f>
        <v/>
      </c>
      <c r="W203" s="86" t="n"/>
      <c r="X203" s="87" t="n"/>
      <c r="Z203" s="92">
        <f>IF($A203="","",DATE(YEAR($A203),MONTH($A203),1))</f>
        <v/>
      </c>
    </row>
    <row r="204">
      <c r="A204" s="93" t="n"/>
      <c r="B204" s="94" t="n"/>
      <c r="C204" s="94" t="n"/>
      <c r="D204" s="95" t="n"/>
      <c r="E204" s="95" t="n"/>
      <c r="F204" s="95" t="n"/>
      <c r="G204" s="95" t="n"/>
      <c r="H204" s="96" t="n"/>
      <c r="I204" s="89">
        <f>IF($G204="","",IF($F204="",IFERROR(INDEX(Setup!$C$21:$C$60,MATCH("|"&amp;UPPER(TRIM($G204)),Setup!$Q$21:$Q$60,0)),"NO RATE"),IFERROR(INDEX(Setup!$C$21:$C$60,MATCH(UPPER(TRIM($F204))&amp;"|"&amp;UPPER(TRIM($G204)),Setup!$P$21:$P$60,0)),IFERROR(INDEX(Setup!$C$21:$C$60,MATCH(UPPER(TRIM($G204))&amp;"|"&amp;UPPER(TRIM($F204)),Setup!$P$21:$P$60,0)),"NO RATE"))))</f>
        <v/>
      </c>
      <c r="J204" s="97" t="n"/>
      <c r="K204" s="89">
        <f>IF(OR($G204="",$H204="",NOT(ISNUMBER($I204))),"",ROUND($H204*$I204*(1+IF($J204="",Setup!$B$16,$J204)),2))</f>
        <v/>
      </c>
      <c r="L204" s="89">
        <f>IF($K204="","",ROUND($K204*Setup!$B$13,2))</f>
        <v/>
      </c>
      <c r="M204" s="89">
        <f>IF($K204="","",$K204-$L204)</f>
        <v/>
      </c>
      <c r="N204" s="89">
        <f>IF(OR($M204="",$D204=""),"",ROUND($M204*IFERROR(IF(VLOOKUP($D204,Setup!$A$76:$C$87,3,FALSE)="",Setup!$B$14,VLOOKUP($D204,Setup!$A$76:$C$87,3,FALSE)),Setup!$B$14),2))</f>
        <v/>
      </c>
      <c r="O204" s="89">
        <f>IF(OR($M204="",$E204=""),"",ROUND($M204*IFERROR(IF(VLOOKUP($E204,Setup!$A$76:$C$87,3,FALSE)="",Setup!$B$15,VLOOKUP($E204,Setup!$A$76:$C$87,3,FALSE)),Setup!$B$15),2))</f>
        <v/>
      </c>
      <c r="P204" s="98" t="n"/>
      <c r="Q204" s="98" t="n"/>
      <c r="R204" s="98" t="n"/>
      <c r="S204" s="98" t="n"/>
      <c r="T204" s="98" t="n"/>
      <c r="U204" s="89">
        <f>IF($K204="","",SUM($R204:$T204))</f>
        <v/>
      </c>
      <c r="V204" s="89">
        <f>IF($K204="","",$M204-(N($N204)+N($O204)+IF($P204="",Setup!$B$17,$P204)+N($Q204))-N($U204))</f>
        <v/>
      </c>
      <c r="W204" s="94" t="n"/>
      <c r="X204" s="95" t="n"/>
      <c r="Z204" s="92">
        <f>IF($A204="","",DATE(YEAR($A204),MONTH($A204),1))</f>
        <v/>
      </c>
    </row>
    <row r="205">
      <c r="A205" s="85" t="n"/>
      <c r="B205" s="86" t="n"/>
      <c r="C205" s="86" t="n"/>
      <c r="D205" s="87" t="n"/>
      <c r="E205" s="87" t="n"/>
      <c r="F205" s="87" t="n"/>
      <c r="G205" s="87" t="n"/>
      <c r="H205" s="88" t="n"/>
      <c r="I205" s="89">
        <f>IF($G205="","",IF($F205="",IFERROR(INDEX(Setup!$C$21:$C$60,MATCH("|"&amp;UPPER(TRIM($G205)),Setup!$Q$21:$Q$60,0)),"NO RATE"),IFERROR(INDEX(Setup!$C$21:$C$60,MATCH(UPPER(TRIM($F205))&amp;"|"&amp;UPPER(TRIM($G205)),Setup!$P$21:$P$60,0)),IFERROR(INDEX(Setup!$C$21:$C$60,MATCH(UPPER(TRIM($G205))&amp;"|"&amp;UPPER(TRIM($F205)),Setup!$P$21:$P$60,0)),"NO RATE"))))</f>
        <v/>
      </c>
      <c r="J205" s="90" t="n"/>
      <c r="K205" s="89">
        <f>IF(OR($G205="",$H205="",NOT(ISNUMBER($I205))),"",ROUND($H205*$I205*(1+IF($J205="",Setup!$B$16,$J205)),2))</f>
        <v/>
      </c>
      <c r="L205" s="89">
        <f>IF($K205="","",ROUND($K205*Setup!$B$13,2))</f>
        <v/>
      </c>
      <c r="M205" s="89">
        <f>IF($K205="","",$K205-$L205)</f>
        <v/>
      </c>
      <c r="N205" s="89">
        <f>IF(OR($M205="",$D205=""),"",ROUND($M205*IFERROR(IF(VLOOKUP($D205,Setup!$A$76:$C$87,3,FALSE)="",Setup!$B$14,VLOOKUP($D205,Setup!$A$76:$C$87,3,FALSE)),Setup!$B$14),2))</f>
        <v/>
      </c>
      <c r="O205" s="89">
        <f>IF(OR($M205="",$E205=""),"",ROUND($M205*IFERROR(IF(VLOOKUP($E205,Setup!$A$76:$C$87,3,FALSE)="",Setup!$B$15,VLOOKUP($E205,Setup!$A$76:$C$87,3,FALSE)),Setup!$B$15),2))</f>
        <v/>
      </c>
      <c r="P205" s="91" t="n"/>
      <c r="Q205" s="91" t="n"/>
      <c r="R205" s="91" t="n"/>
      <c r="S205" s="91" t="n"/>
      <c r="T205" s="91" t="n"/>
      <c r="U205" s="89">
        <f>IF($K205="","",SUM($R205:$T205))</f>
        <v/>
      </c>
      <c r="V205" s="89">
        <f>IF($K205="","",$M205-(N($N205)+N($O205)+IF($P205="",Setup!$B$17,$P205)+N($Q205))-N($U205))</f>
        <v/>
      </c>
      <c r="W205" s="86" t="n"/>
      <c r="X205" s="87" t="n"/>
      <c r="Z205" s="92">
        <f>IF($A205="","",DATE(YEAR($A205),MONTH($A205),1))</f>
        <v/>
      </c>
    </row>
    <row r="206">
      <c r="A206" s="93" t="n"/>
      <c r="B206" s="94" t="n"/>
      <c r="C206" s="94" t="n"/>
      <c r="D206" s="95" t="n"/>
      <c r="E206" s="95" t="n"/>
      <c r="F206" s="95" t="n"/>
      <c r="G206" s="95" t="n"/>
      <c r="H206" s="96" t="n"/>
      <c r="I206" s="89">
        <f>IF($G206="","",IF($F206="",IFERROR(INDEX(Setup!$C$21:$C$60,MATCH("|"&amp;UPPER(TRIM($G206)),Setup!$Q$21:$Q$60,0)),"NO RATE"),IFERROR(INDEX(Setup!$C$21:$C$60,MATCH(UPPER(TRIM($F206))&amp;"|"&amp;UPPER(TRIM($G206)),Setup!$P$21:$P$60,0)),IFERROR(INDEX(Setup!$C$21:$C$60,MATCH(UPPER(TRIM($G206))&amp;"|"&amp;UPPER(TRIM($F206)),Setup!$P$21:$P$60,0)),"NO RATE"))))</f>
        <v/>
      </c>
      <c r="J206" s="97" t="n"/>
      <c r="K206" s="89">
        <f>IF(OR($G206="",$H206="",NOT(ISNUMBER($I206))),"",ROUND($H206*$I206*(1+IF($J206="",Setup!$B$16,$J206)),2))</f>
        <v/>
      </c>
      <c r="L206" s="89">
        <f>IF($K206="","",ROUND($K206*Setup!$B$13,2))</f>
        <v/>
      </c>
      <c r="M206" s="89">
        <f>IF($K206="","",$K206-$L206)</f>
        <v/>
      </c>
      <c r="N206" s="89">
        <f>IF(OR($M206="",$D206=""),"",ROUND($M206*IFERROR(IF(VLOOKUP($D206,Setup!$A$76:$C$87,3,FALSE)="",Setup!$B$14,VLOOKUP($D206,Setup!$A$76:$C$87,3,FALSE)),Setup!$B$14),2))</f>
        <v/>
      </c>
      <c r="O206" s="89">
        <f>IF(OR($M206="",$E206=""),"",ROUND($M206*IFERROR(IF(VLOOKUP($E206,Setup!$A$76:$C$87,3,FALSE)="",Setup!$B$15,VLOOKUP($E206,Setup!$A$76:$C$87,3,FALSE)),Setup!$B$15),2))</f>
        <v/>
      </c>
      <c r="P206" s="98" t="n"/>
      <c r="Q206" s="98" t="n"/>
      <c r="R206" s="98" t="n"/>
      <c r="S206" s="98" t="n"/>
      <c r="T206" s="98" t="n"/>
      <c r="U206" s="89">
        <f>IF($K206="","",SUM($R206:$T206))</f>
        <v/>
      </c>
      <c r="V206" s="89">
        <f>IF($K206="","",$M206-(N($N206)+N($O206)+IF($P206="",Setup!$B$17,$P206)+N($Q206))-N($U206))</f>
        <v/>
      </c>
      <c r="W206" s="94" t="n"/>
      <c r="X206" s="95" t="n"/>
      <c r="Z206" s="92">
        <f>IF($A206="","",DATE(YEAR($A206),MONTH($A206),1))</f>
        <v/>
      </c>
    </row>
    <row r="207">
      <c r="A207" s="85" t="n"/>
      <c r="B207" s="86" t="n"/>
      <c r="C207" s="86" t="n"/>
      <c r="D207" s="87" t="n"/>
      <c r="E207" s="87" t="n"/>
      <c r="F207" s="87" t="n"/>
      <c r="G207" s="87" t="n"/>
      <c r="H207" s="88" t="n"/>
      <c r="I207" s="89">
        <f>IF($G207="","",IF($F207="",IFERROR(INDEX(Setup!$C$21:$C$60,MATCH("|"&amp;UPPER(TRIM($G207)),Setup!$Q$21:$Q$60,0)),"NO RATE"),IFERROR(INDEX(Setup!$C$21:$C$60,MATCH(UPPER(TRIM($F207))&amp;"|"&amp;UPPER(TRIM($G207)),Setup!$P$21:$P$60,0)),IFERROR(INDEX(Setup!$C$21:$C$60,MATCH(UPPER(TRIM($G207))&amp;"|"&amp;UPPER(TRIM($F207)),Setup!$P$21:$P$60,0)),"NO RATE"))))</f>
        <v/>
      </c>
      <c r="J207" s="90" t="n"/>
      <c r="K207" s="89">
        <f>IF(OR($G207="",$H207="",NOT(ISNUMBER($I207))),"",ROUND($H207*$I207*(1+IF($J207="",Setup!$B$16,$J207)),2))</f>
        <v/>
      </c>
      <c r="L207" s="89">
        <f>IF($K207="","",ROUND($K207*Setup!$B$13,2))</f>
        <v/>
      </c>
      <c r="M207" s="89">
        <f>IF($K207="","",$K207-$L207)</f>
        <v/>
      </c>
      <c r="N207" s="89">
        <f>IF(OR($M207="",$D207=""),"",ROUND($M207*IFERROR(IF(VLOOKUP($D207,Setup!$A$76:$C$87,3,FALSE)="",Setup!$B$14,VLOOKUP($D207,Setup!$A$76:$C$87,3,FALSE)),Setup!$B$14),2))</f>
        <v/>
      </c>
      <c r="O207" s="89">
        <f>IF(OR($M207="",$E207=""),"",ROUND($M207*IFERROR(IF(VLOOKUP($E207,Setup!$A$76:$C$87,3,FALSE)="",Setup!$B$15,VLOOKUP($E207,Setup!$A$76:$C$87,3,FALSE)),Setup!$B$15),2))</f>
        <v/>
      </c>
      <c r="P207" s="91" t="n"/>
      <c r="Q207" s="91" t="n"/>
      <c r="R207" s="91" t="n"/>
      <c r="S207" s="91" t="n"/>
      <c r="T207" s="91" t="n"/>
      <c r="U207" s="89">
        <f>IF($K207="","",SUM($R207:$T207))</f>
        <v/>
      </c>
      <c r="V207" s="89">
        <f>IF($K207="","",$M207-(N($N207)+N($O207)+IF($P207="",Setup!$B$17,$P207)+N($Q207))-N($U207))</f>
        <v/>
      </c>
      <c r="W207" s="86" t="n"/>
      <c r="X207" s="87" t="n"/>
      <c r="Z207" s="92">
        <f>IF($A207="","",DATE(YEAR($A207),MONTH($A207),1))</f>
        <v/>
      </c>
    </row>
    <row r="208">
      <c r="A208" s="93" t="n"/>
      <c r="B208" s="94" t="n"/>
      <c r="C208" s="94" t="n"/>
      <c r="D208" s="95" t="n"/>
      <c r="E208" s="95" t="n"/>
      <c r="F208" s="95" t="n"/>
      <c r="G208" s="95" t="n"/>
      <c r="H208" s="96" t="n"/>
      <c r="I208" s="89">
        <f>IF($G208="","",IF($F208="",IFERROR(INDEX(Setup!$C$21:$C$60,MATCH("|"&amp;UPPER(TRIM($G208)),Setup!$Q$21:$Q$60,0)),"NO RATE"),IFERROR(INDEX(Setup!$C$21:$C$60,MATCH(UPPER(TRIM($F208))&amp;"|"&amp;UPPER(TRIM($G208)),Setup!$P$21:$P$60,0)),IFERROR(INDEX(Setup!$C$21:$C$60,MATCH(UPPER(TRIM($G208))&amp;"|"&amp;UPPER(TRIM($F208)),Setup!$P$21:$P$60,0)),"NO RATE"))))</f>
        <v/>
      </c>
      <c r="J208" s="97" t="n"/>
      <c r="K208" s="89">
        <f>IF(OR($G208="",$H208="",NOT(ISNUMBER($I208))),"",ROUND($H208*$I208*(1+IF($J208="",Setup!$B$16,$J208)),2))</f>
        <v/>
      </c>
      <c r="L208" s="89">
        <f>IF($K208="","",ROUND($K208*Setup!$B$13,2))</f>
        <v/>
      </c>
      <c r="M208" s="89">
        <f>IF($K208="","",$K208-$L208)</f>
        <v/>
      </c>
      <c r="N208" s="89">
        <f>IF(OR($M208="",$D208=""),"",ROUND($M208*IFERROR(IF(VLOOKUP($D208,Setup!$A$76:$C$87,3,FALSE)="",Setup!$B$14,VLOOKUP($D208,Setup!$A$76:$C$87,3,FALSE)),Setup!$B$14),2))</f>
        <v/>
      </c>
      <c r="O208" s="89">
        <f>IF(OR($M208="",$E208=""),"",ROUND($M208*IFERROR(IF(VLOOKUP($E208,Setup!$A$76:$C$87,3,FALSE)="",Setup!$B$15,VLOOKUP($E208,Setup!$A$76:$C$87,3,FALSE)),Setup!$B$15),2))</f>
        <v/>
      </c>
      <c r="P208" s="98" t="n"/>
      <c r="Q208" s="98" t="n"/>
      <c r="R208" s="98" t="n"/>
      <c r="S208" s="98" t="n"/>
      <c r="T208" s="98" t="n"/>
      <c r="U208" s="89">
        <f>IF($K208="","",SUM($R208:$T208))</f>
        <v/>
      </c>
      <c r="V208" s="89">
        <f>IF($K208="","",$M208-(N($N208)+N($O208)+IF($P208="",Setup!$B$17,$P208)+N($Q208))-N($U208))</f>
        <v/>
      </c>
      <c r="W208" s="94" t="n"/>
      <c r="X208" s="95" t="n"/>
      <c r="Z208" s="92">
        <f>IF($A208="","",DATE(YEAR($A208),MONTH($A208),1))</f>
        <v/>
      </c>
    </row>
    <row r="209">
      <c r="A209" s="85" t="n"/>
      <c r="B209" s="86" t="n"/>
      <c r="C209" s="86" t="n"/>
      <c r="D209" s="87" t="n"/>
      <c r="E209" s="87" t="n"/>
      <c r="F209" s="87" t="n"/>
      <c r="G209" s="87" t="n"/>
      <c r="H209" s="88" t="n"/>
      <c r="I209" s="89">
        <f>IF($G209="","",IF($F209="",IFERROR(INDEX(Setup!$C$21:$C$60,MATCH("|"&amp;UPPER(TRIM($G209)),Setup!$Q$21:$Q$60,0)),"NO RATE"),IFERROR(INDEX(Setup!$C$21:$C$60,MATCH(UPPER(TRIM($F209))&amp;"|"&amp;UPPER(TRIM($G209)),Setup!$P$21:$P$60,0)),IFERROR(INDEX(Setup!$C$21:$C$60,MATCH(UPPER(TRIM($G209))&amp;"|"&amp;UPPER(TRIM($F209)),Setup!$P$21:$P$60,0)),"NO RATE"))))</f>
        <v/>
      </c>
      <c r="J209" s="90" t="n"/>
      <c r="K209" s="89">
        <f>IF(OR($G209="",$H209="",NOT(ISNUMBER($I209))),"",ROUND($H209*$I209*(1+IF($J209="",Setup!$B$16,$J209)),2))</f>
        <v/>
      </c>
      <c r="L209" s="89">
        <f>IF($K209="","",ROUND($K209*Setup!$B$13,2))</f>
        <v/>
      </c>
      <c r="M209" s="89">
        <f>IF($K209="","",$K209-$L209)</f>
        <v/>
      </c>
      <c r="N209" s="89">
        <f>IF(OR($M209="",$D209=""),"",ROUND($M209*IFERROR(IF(VLOOKUP($D209,Setup!$A$76:$C$87,3,FALSE)="",Setup!$B$14,VLOOKUP($D209,Setup!$A$76:$C$87,3,FALSE)),Setup!$B$14),2))</f>
        <v/>
      </c>
      <c r="O209" s="89">
        <f>IF(OR($M209="",$E209=""),"",ROUND($M209*IFERROR(IF(VLOOKUP($E209,Setup!$A$76:$C$87,3,FALSE)="",Setup!$B$15,VLOOKUP($E209,Setup!$A$76:$C$87,3,FALSE)),Setup!$B$15),2))</f>
        <v/>
      </c>
      <c r="P209" s="91" t="n"/>
      <c r="Q209" s="91" t="n"/>
      <c r="R209" s="91" t="n"/>
      <c r="S209" s="91" t="n"/>
      <c r="T209" s="91" t="n"/>
      <c r="U209" s="89">
        <f>IF($K209="","",SUM($R209:$T209))</f>
        <v/>
      </c>
      <c r="V209" s="89">
        <f>IF($K209="","",$M209-(N($N209)+N($O209)+IF($P209="",Setup!$B$17,$P209)+N($Q209))-N($U209))</f>
        <v/>
      </c>
      <c r="W209" s="86" t="n"/>
      <c r="X209" s="87" t="n"/>
      <c r="Z209" s="92">
        <f>IF($A209="","",DATE(YEAR($A209),MONTH($A209),1))</f>
        <v/>
      </c>
    </row>
    <row r="210">
      <c r="A210" s="93" t="n"/>
      <c r="B210" s="94" t="n"/>
      <c r="C210" s="94" t="n"/>
      <c r="D210" s="95" t="n"/>
      <c r="E210" s="95" t="n"/>
      <c r="F210" s="95" t="n"/>
      <c r="G210" s="95" t="n"/>
      <c r="H210" s="96" t="n"/>
      <c r="I210" s="89">
        <f>IF($G210="","",IF($F210="",IFERROR(INDEX(Setup!$C$21:$C$60,MATCH("|"&amp;UPPER(TRIM($G210)),Setup!$Q$21:$Q$60,0)),"NO RATE"),IFERROR(INDEX(Setup!$C$21:$C$60,MATCH(UPPER(TRIM($F210))&amp;"|"&amp;UPPER(TRIM($G210)),Setup!$P$21:$P$60,0)),IFERROR(INDEX(Setup!$C$21:$C$60,MATCH(UPPER(TRIM($G210))&amp;"|"&amp;UPPER(TRIM($F210)),Setup!$P$21:$P$60,0)),"NO RATE"))))</f>
        <v/>
      </c>
      <c r="J210" s="97" t="n"/>
      <c r="K210" s="89">
        <f>IF(OR($G210="",$H210="",NOT(ISNUMBER($I210))),"",ROUND($H210*$I210*(1+IF($J210="",Setup!$B$16,$J210)),2))</f>
        <v/>
      </c>
      <c r="L210" s="89">
        <f>IF($K210="","",ROUND($K210*Setup!$B$13,2))</f>
        <v/>
      </c>
      <c r="M210" s="89">
        <f>IF($K210="","",$K210-$L210)</f>
        <v/>
      </c>
      <c r="N210" s="89">
        <f>IF(OR($M210="",$D210=""),"",ROUND($M210*IFERROR(IF(VLOOKUP($D210,Setup!$A$76:$C$87,3,FALSE)="",Setup!$B$14,VLOOKUP($D210,Setup!$A$76:$C$87,3,FALSE)),Setup!$B$14),2))</f>
        <v/>
      </c>
      <c r="O210" s="89">
        <f>IF(OR($M210="",$E210=""),"",ROUND($M210*IFERROR(IF(VLOOKUP($E210,Setup!$A$76:$C$87,3,FALSE)="",Setup!$B$15,VLOOKUP($E210,Setup!$A$76:$C$87,3,FALSE)),Setup!$B$15),2))</f>
        <v/>
      </c>
      <c r="P210" s="98" t="n"/>
      <c r="Q210" s="98" t="n"/>
      <c r="R210" s="98" t="n"/>
      <c r="S210" s="98" t="n"/>
      <c r="T210" s="98" t="n"/>
      <c r="U210" s="89">
        <f>IF($K210="","",SUM($R210:$T210))</f>
        <v/>
      </c>
      <c r="V210" s="89">
        <f>IF($K210="","",$M210-(N($N210)+N($O210)+IF($P210="",Setup!$B$17,$P210)+N($Q210))-N($U210))</f>
        <v/>
      </c>
      <c r="W210" s="94" t="n"/>
      <c r="X210" s="95" t="n"/>
      <c r="Z210" s="92">
        <f>IF($A210="","",DATE(YEAR($A210),MONTH($A210),1))</f>
        <v/>
      </c>
    </row>
    <row r="211">
      <c r="A211" s="85" t="n"/>
      <c r="B211" s="86" t="n"/>
      <c r="C211" s="86" t="n"/>
      <c r="D211" s="87" t="n"/>
      <c r="E211" s="87" t="n"/>
      <c r="F211" s="87" t="n"/>
      <c r="G211" s="87" t="n"/>
      <c r="H211" s="88" t="n"/>
      <c r="I211" s="89">
        <f>IF($G211="","",IF($F211="",IFERROR(INDEX(Setup!$C$21:$C$60,MATCH("|"&amp;UPPER(TRIM($G211)),Setup!$Q$21:$Q$60,0)),"NO RATE"),IFERROR(INDEX(Setup!$C$21:$C$60,MATCH(UPPER(TRIM($F211))&amp;"|"&amp;UPPER(TRIM($G211)),Setup!$P$21:$P$60,0)),IFERROR(INDEX(Setup!$C$21:$C$60,MATCH(UPPER(TRIM($G211))&amp;"|"&amp;UPPER(TRIM($F211)),Setup!$P$21:$P$60,0)),"NO RATE"))))</f>
        <v/>
      </c>
      <c r="J211" s="90" t="n"/>
      <c r="K211" s="89">
        <f>IF(OR($G211="",$H211="",NOT(ISNUMBER($I211))),"",ROUND($H211*$I211*(1+IF($J211="",Setup!$B$16,$J211)),2))</f>
        <v/>
      </c>
      <c r="L211" s="89">
        <f>IF($K211="","",ROUND($K211*Setup!$B$13,2))</f>
        <v/>
      </c>
      <c r="M211" s="89">
        <f>IF($K211="","",$K211-$L211)</f>
        <v/>
      </c>
      <c r="N211" s="89">
        <f>IF(OR($M211="",$D211=""),"",ROUND($M211*IFERROR(IF(VLOOKUP($D211,Setup!$A$76:$C$87,3,FALSE)="",Setup!$B$14,VLOOKUP($D211,Setup!$A$76:$C$87,3,FALSE)),Setup!$B$14),2))</f>
        <v/>
      </c>
      <c r="O211" s="89">
        <f>IF(OR($M211="",$E211=""),"",ROUND($M211*IFERROR(IF(VLOOKUP($E211,Setup!$A$76:$C$87,3,FALSE)="",Setup!$B$15,VLOOKUP($E211,Setup!$A$76:$C$87,3,FALSE)),Setup!$B$15),2))</f>
        <v/>
      </c>
      <c r="P211" s="91" t="n"/>
      <c r="Q211" s="91" t="n"/>
      <c r="R211" s="91" t="n"/>
      <c r="S211" s="91" t="n"/>
      <c r="T211" s="91" t="n"/>
      <c r="U211" s="89">
        <f>IF($K211="","",SUM($R211:$T211))</f>
        <v/>
      </c>
      <c r="V211" s="89">
        <f>IF($K211="","",$M211-(N($N211)+N($O211)+IF($P211="",Setup!$B$17,$P211)+N($Q211))-N($U211))</f>
        <v/>
      </c>
      <c r="W211" s="86" t="n"/>
      <c r="X211" s="87" t="n"/>
      <c r="Z211" s="92">
        <f>IF($A211="","",DATE(YEAR($A211),MONTH($A211),1))</f>
        <v/>
      </c>
    </row>
    <row r="212">
      <c r="A212" s="93" t="n"/>
      <c r="B212" s="94" t="n"/>
      <c r="C212" s="94" t="n"/>
      <c r="D212" s="95" t="n"/>
      <c r="E212" s="95" t="n"/>
      <c r="F212" s="95" t="n"/>
      <c r="G212" s="95" t="n"/>
      <c r="H212" s="96" t="n"/>
      <c r="I212" s="89">
        <f>IF($G212="","",IF($F212="",IFERROR(INDEX(Setup!$C$21:$C$60,MATCH("|"&amp;UPPER(TRIM($G212)),Setup!$Q$21:$Q$60,0)),"NO RATE"),IFERROR(INDEX(Setup!$C$21:$C$60,MATCH(UPPER(TRIM($F212))&amp;"|"&amp;UPPER(TRIM($G212)),Setup!$P$21:$P$60,0)),IFERROR(INDEX(Setup!$C$21:$C$60,MATCH(UPPER(TRIM($G212))&amp;"|"&amp;UPPER(TRIM($F212)),Setup!$P$21:$P$60,0)),"NO RATE"))))</f>
        <v/>
      </c>
      <c r="J212" s="97" t="n"/>
      <c r="K212" s="89">
        <f>IF(OR($G212="",$H212="",NOT(ISNUMBER($I212))),"",ROUND($H212*$I212*(1+IF($J212="",Setup!$B$16,$J212)),2))</f>
        <v/>
      </c>
      <c r="L212" s="89">
        <f>IF($K212="","",ROUND($K212*Setup!$B$13,2))</f>
        <v/>
      </c>
      <c r="M212" s="89">
        <f>IF($K212="","",$K212-$L212)</f>
        <v/>
      </c>
      <c r="N212" s="89">
        <f>IF(OR($M212="",$D212=""),"",ROUND($M212*IFERROR(IF(VLOOKUP($D212,Setup!$A$76:$C$87,3,FALSE)="",Setup!$B$14,VLOOKUP($D212,Setup!$A$76:$C$87,3,FALSE)),Setup!$B$14),2))</f>
        <v/>
      </c>
      <c r="O212" s="89">
        <f>IF(OR($M212="",$E212=""),"",ROUND($M212*IFERROR(IF(VLOOKUP($E212,Setup!$A$76:$C$87,3,FALSE)="",Setup!$B$15,VLOOKUP($E212,Setup!$A$76:$C$87,3,FALSE)),Setup!$B$15),2))</f>
        <v/>
      </c>
      <c r="P212" s="98" t="n"/>
      <c r="Q212" s="98" t="n"/>
      <c r="R212" s="98" t="n"/>
      <c r="S212" s="98" t="n"/>
      <c r="T212" s="98" t="n"/>
      <c r="U212" s="89">
        <f>IF($K212="","",SUM($R212:$T212))</f>
        <v/>
      </c>
      <c r="V212" s="89">
        <f>IF($K212="","",$M212-(N($N212)+N($O212)+IF($P212="",Setup!$B$17,$P212)+N($Q212))-N($U212))</f>
        <v/>
      </c>
      <c r="W212" s="94" t="n"/>
      <c r="X212" s="95" t="n"/>
      <c r="Z212" s="92">
        <f>IF($A212="","",DATE(YEAR($A212),MONTH($A212),1))</f>
        <v/>
      </c>
    </row>
    <row r="213">
      <c r="A213" s="85" t="n"/>
      <c r="B213" s="86" t="n"/>
      <c r="C213" s="86" t="n"/>
      <c r="D213" s="87" t="n"/>
      <c r="E213" s="87" t="n"/>
      <c r="F213" s="87" t="n"/>
      <c r="G213" s="87" t="n"/>
      <c r="H213" s="88" t="n"/>
      <c r="I213" s="89">
        <f>IF($G213="","",IF($F213="",IFERROR(INDEX(Setup!$C$21:$C$60,MATCH("|"&amp;UPPER(TRIM($G213)),Setup!$Q$21:$Q$60,0)),"NO RATE"),IFERROR(INDEX(Setup!$C$21:$C$60,MATCH(UPPER(TRIM($F213))&amp;"|"&amp;UPPER(TRIM($G213)),Setup!$P$21:$P$60,0)),IFERROR(INDEX(Setup!$C$21:$C$60,MATCH(UPPER(TRIM($G213))&amp;"|"&amp;UPPER(TRIM($F213)),Setup!$P$21:$P$60,0)),"NO RATE"))))</f>
        <v/>
      </c>
      <c r="J213" s="90" t="n"/>
      <c r="K213" s="89">
        <f>IF(OR($G213="",$H213="",NOT(ISNUMBER($I213))),"",ROUND($H213*$I213*(1+IF($J213="",Setup!$B$16,$J213)),2))</f>
        <v/>
      </c>
      <c r="L213" s="89">
        <f>IF($K213="","",ROUND($K213*Setup!$B$13,2))</f>
        <v/>
      </c>
      <c r="M213" s="89">
        <f>IF($K213="","",$K213-$L213)</f>
        <v/>
      </c>
      <c r="N213" s="89">
        <f>IF(OR($M213="",$D213=""),"",ROUND($M213*IFERROR(IF(VLOOKUP($D213,Setup!$A$76:$C$87,3,FALSE)="",Setup!$B$14,VLOOKUP($D213,Setup!$A$76:$C$87,3,FALSE)),Setup!$B$14),2))</f>
        <v/>
      </c>
      <c r="O213" s="89">
        <f>IF(OR($M213="",$E213=""),"",ROUND($M213*IFERROR(IF(VLOOKUP($E213,Setup!$A$76:$C$87,3,FALSE)="",Setup!$B$15,VLOOKUP($E213,Setup!$A$76:$C$87,3,FALSE)),Setup!$B$15),2))</f>
        <v/>
      </c>
      <c r="P213" s="91" t="n"/>
      <c r="Q213" s="91" t="n"/>
      <c r="R213" s="91" t="n"/>
      <c r="S213" s="91" t="n"/>
      <c r="T213" s="91" t="n"/>
      <c r="U213" s="89">
        <f>IF($K213="","",SUM($R213:$T213))</f>
        <v/>
      </c>
      <c r="V213" s="89">
        <f>IF($K213="","",$M213-(N($N213)+N($O213)+IF($P213="",Setup!$B$17,$P213)+N($Q213))-N($U213))</f>
        <v/>
      </c>
      <c r="W213" s="86" t="n"/>
      <c r="X213" s="87" t="n"/>
      <c r="Z213" s="92">
        <f>IF($A213="","",DATE(YEAR($A213),MONTH($A213),1))</f>
        <v/>
      </c>
    </row>
    <row r="214">
      <c r="A214" s="93" t="n"/>
      <c r="B214" s="94" t="n"/>
      <c r="C214" s="94" t="n"/>
      <c r="D214" s="95" t="n"/>
      <c r="E214" s="95" t="n"/>
      <c r="F214" s="95" t="n"/>
      <c r="G214" s="95" t="n"/>
      <c r="H214" s="96" t="n"/>
      <c r="I214" s="89">
        <f>IF($G214="","",IF($F214="",IFERROR(INDEX(Setup!$C$21:$C$60,MATCH("|"&amp;UPPER(TRIM($G214)),Setup!$Q$21:$Q$60,0)),"NO RATE"),IFERROR(INDEX(Setup!$C$21:$C$60,MATCH(UPPER(TRIM($F214))&amp;"|"&amp;UPPER(TRIM($G214)),Setup!$P$21:$P$60,0)),IFERROR(INDEX(Setup!$C$21:$C$60,MATCH(UPPER(TRIM($G214))&amp;"|"&amp;UPPER(TRIM($F214)),Setup!$P$21:$P$60,0)),"NO RATE"))))</f>
        <v/>
      </c>
      <c r="J214" s="97" t="n"/>
      <c r="K214" s="89">
        <f>IF(OR($G214="",$H214="",NOT(ISNUMBER($I214))),"",ROUND($H214*$I214*(1+IF($J214="",Setup!$B$16,$J214)),2))</f>
        <v/>
      </c>
      <c r="L214" s="89">
        <f>IF($K214="","",ROUND($K214*Setup!$B$13,2))</f>
        <v/>
      </c>
      <c r="M214" s="89">
        <f>IF($K214="","",$K214-$L214)</f>
        <v/>
      </c>
      <c r="N214" s="89">
        <f>IF(OR($M214="",$D214=""),"",ROUND($M214*IFERROR(IF(VLOOKUP($D214,Setup!$A$76:$C$87,3,FALSE)="",Setup!$B$14,VLOOKUP($D214,Setup!$A$76:$C$87,3,FALSE)),Setup!$B$14),2))</f>
        <v/>
      </c>
      <c r="O214" s="89">
        <f>IF(OR($M214="",$E214=""),"",ROUND($M214*IFERROR(IF(VLOOKUP($E214,Setup!$A$76:$C$87,3,FALSE)="",Setup!$B$15,VLOOKUP($E214,Setup!$A$76:$C$87,3,FALSE)),Setup!$B$15),2))</f>
        <v/>
      </c>
      <c r="P214" s="98" t="n"/>
      <c r="Q214" s="98" t="n"/>
      <c r="R214" s="98" t="n"/>
      <c r="S214" s="98" t="n"/>
      <c r="T214" s="98" t="n"/>
      <c r="U214" s="89">
        <f>IF($K214="","",SUM($R214:$T214))</f>
        <v/>
      </c>
      <c r="V214" s="89">
        <f>IF($K214="","",$M214-(N($N214)+N($O214)+IF($P214="",Setup!$B$17,$P214)+N($Q214))-N($U214))</f>
        <v/>
      </c>
      <c r="W214" s="94" t="n"/>
      <c r="X214" s="95" t="n"/>
      <c r="Z214" s="92">
        <f>IF($A214="","",DATE(YEAR($A214),MONTH($A214),1))</f>
        <v/>
      </c>
    </row>
    <row r="215">
      <c r="A215" s="85" t="n"/>
      <c r="B215" s="86" t="n"/>
      <c r="C215" s="86" t="n"/>
      <c r="D215" s="87" t="n"/>
      <c r="E215" s="87" t="n"/>
      <c r="F215" s="87" t="n"/>
      <c r="G215" s="87" t="n"/>
      <c r="H215" s="88" t="n"/>
      <c r="I215" s="89">
        <f>IF($G215="","",IF($F215="",IFERROR(INDEX(Setup!$C$21:$C$60,MATCH("|"&amp;UPPER(TRIM($G215)),Setup!$Q$21:$Q$60,0)),"NO RATE"),IFERROR(INDEX(Setup!$C$21:$C$60,MATCH(UPPER(TRIM($F215))&amp;"|"&amp;UPPER(TRIM($G215)),Setup!$P$21:$P$60,0)),IFERROR(INDEX(Setup!$C$21:$C$60,MATCH(UPPER(TRIM($G215))&amp;"|"&amp;UPPER(TRIM($F215)),Setup!$P$21:$P$60,0)),"NO RATE"))))</f>
        <v/>
      </c>
      <c r="J215" s="90" t="n"/>
      <c r="K215" s="89">
        <f>IF(OR($G215="",$H215="",NOT(ISNUMBER($I215))),"",ROUND($H215*$I215*(1+IF($J215="",Setup!$B$16,$J215)),2))</f>
        <v/>
      </c>
      <c r="L215" s="89">
        <f>IF($K215="","",ROUND($K215*Setup!$B$13,2))</f>
        <v/>
      </c>
      <c r="M215" s="89">
        <f>IF($K215="","",$K215-$L215)</f>
        <v/>
      </c>
      <c r="N215" s="89">
        <f>IF(OR($M215="",$D215=""),"",ROUND($M215*IFERROR(IF(VLOOKUP($D215,Setup!$A$76:$C$87,3,FALSE)="",Setup!$B$14,VLOOKUP($D215,Setup!$A$76:$C$87,3,FALSE)),Setup!$B$14),2))</f>
        <v/>
      </c>
      <c r="O215" s="89">
        <f>IF(OR($M215="",$E215=""),"",ROUND($M215*IFERROR(IF(VLOOKUP($E215,Setup!$A$76:$C$87,3,FALSE)="",Setup!$B$15,VLOOKUP($E215,Setup!$A$76:$C$87,3,FALSE)),Setup!$B$15),2))</f>
        <v/>
      </c>
      <c r="P215" s="91" t="n"/>
      <c r="Q215" s="91" t="n"/>
      <c r="R215" s="91" t="n"/>
      <c r="S215" s="91" t="n"/>
      <c r="T215" s="91" t="n"/>
      <c r="U215" s="89">
        <f>IF($K215="","",SUM($R215:$T215))</f>
        <v/>
      </c>
      <c r="V215" s="89">
        <f>IF($K215="","",$M215-(N($N215)+N($O215)+IF($P215="",Setup!$B$17,$P215)+N($Q215))-N($U215))</f>
        <v/>
      </c>
      <c r="W215" s="86" t="n"/>
      <c r="X215" s="87" t="n"/>
      <c r="Z215" s="92">
        <f>IF($A215="","",DATE(YEAR($A215),MONTH($A215),1))</f>
        <v/>
      </c>
    </row>
    <row r="216">
      <c r="A216" s="93" t="n"/>
      <c r="B216" s="94" t="n"/>
      <c r="C216" s="94" t="n"/>
      <c r="D216" s="95" t="n"/>
      <c r="E216" s="95" t="n"/>
      <c r="F216" s="95" t="n"/>
      <c r="G216" s="95" t="n"/>
      <c r="H216" s="96" t="n"/>
      <c r="I216" s="89">
        <f>IF($G216="","",IF($F216="",IFERROR(INDEX(Setup!$C$21:$C$60,MATCH("|"&amp;UPPER(TRIM($G216)),Setup!$Q$21:$Q$60,0)),"NO RATE"),IFERROR(INDEX(Setup!$C$21:$C$60,MATCH(UPPER(TRIM($F216))&amp;"|"&amp;UPPER(TRIM($G216)),Setup!$P$21:$P$60,0)),IFERROR(INDEX(Setup!$C$21:$C$60,MATCH(UPPER(TRIM($G216))&amp;"|"&amp;UPPER(TRIM($F216)),Setup!$P$21:$P$60,0)),"NO RATE"))))</f>
        <v/>
      </c>
      <c r="J216" s="97" t="n"/>
      <c r="K216" s="89">
        <f>IF(OR($G216="",$H216="",NOT(ISNUMBER($I216))),"",ROUND($H216*$I216*(1+IF($J216="",Setup!$B$16,$J216)),2))</f>
        <v/>
      </c>
      <c r="L216" s="89">
        <f>IF($K216="","",ROUND($K216*Setup!$B$13,2))</f>
        <v/>
      </c>
      <c r="M216" s="89">
        <f>IF($K216="","",$K216-$L216)</f>
        <v/>
      </c>
      <c r="N216" s="89">
        <f>IF(OR($M216="",$D216=""),"",ROUND($M216*IFERROR(IF(VLOOKUP($D216,Setup!$A$76:$C$87,3,FALSE)="",Setup!$B$14,VLOOKUP($D216,Setup!$A$76:$C$87,3,FALSE)),Setup!$B$14),2))</f>
        <v/>
      </c>
      <c r="O216" s="89">
        <f>IF(OR($M216="",$E216=""),"",ROUND($M216*IFERROR(IF(VLOOKUP($E216,Setup!$A$76:$C$87,3,FALSE)="",Setup!$B$15,VLOOKUP($E216,Setup!$A$76:$C$87,3,FALSE)),Setup!$B$15),2))</f>
        <v/>
      </c>
      <c r="P216" s="98" t="n"/>
      <c r="Q216" s="98" t="n"/>
      <c r="R216" s="98" t="n"/>
      <c r="S216" s="98" t="n"/>
      <c r="T216" s="98" t="n"/>
      <c r="U216" s="89">
        <f>IF($K216="","",SUM($R216:$T216))</f>
        <v/>
      </c>
      <c r="V216" s="89">
        <f>IF($K216="","",$M216-(N($N216)+N($O216)+IF($P216="",Setup!$B$17,$P216)+N($Q216))-N($U216))</f>
        <v/>
      </c>
      <c r="W216" s="94" t="n"/>
      <c r="X216" s="95" t="n"/>
      <c r="Z216" s="92">
        <f>IF($A216="","",DATE(YEAR($A216),MONTH($A216),1))</f>
        <v/>
      </c>
    </row>
    <row r="217">
      <c r="A217" s="85" t="n"/>
      <c r="B217" s="86" t="n"/>
      <c r="C217" s="86" t="n"/>
      <c r="D217" s="87" t="n"/>
      <c r="E217" s="87" t="n"/>
      <c r="F217" s="87" t="n"/>
      <c r="G217" s="87" t="n"/>
      <c r="H217" s="88" t="n"/>
      <c r="I217" s="89">
        <f>IF($G217="","",IF($F217="",IFERROR(INDEX(Setup!$C$21:$C$60,MATCH("|"&amp;UPPER(TRIM($G217)),Setup!$Q$21:$Q$60,0)),"NO RATE"),IFERROR(INDEX(Setup!$C$21:$C$60,MATCH(UPPER(TRIM($F217))&amp;"|"&amp;UPPER(TRIM($G217)),Setup!$P$21:$P$60,0)),IFERROR(INDEX(Setup!$C$21:$C$60,MATCH(UPPER(TRIM($G217))&amp;"|"&amp;UPPER(TRIM($F217)),Setup!$P$21:$P$60,0)),"NO RATE"))))</f>
        <v/>
      </c>
      <c r="J217" s="90" t="n"/>
      <c r="K217" s="89">
        <f>IF(OR($G217="",$H217="",NOT(ISNUMBER($I217))),"",ROUND($H217*$I217*(1+IF($J217="",Setup!$B$16,$J217)),2))</f>
        <v/>
      </c>
      <c r="L217" s="89">
        <f>IF($K217="","",ROUND($K217*Setup!$B$13,2))</f>
        <v/>
      </c>
      <c r="M217" s="89">
        <f>IF($K217="","",$K217-$L217)</f>
        <v/>
      </c>
      <c r="N217" s="89">
        <f>IF(OR($M217="",$D217=""),"",ROUND($M217*IFERROR(IF(VLOOKUP($D217,Setup!$A$76:$C$87,3,FALSE)="",Setup!$B$14,VLOOKUP($D217,Setup!$A$76:$C$87,3,FALSE)),Setup!$B$14),2))</f>
        <v/>
      </c>
      <c r="O217" s="89">
        <f>IF(OR($M217="",$E217=""),"",ROUND($M217*IFERROR(IF(VLOOKUP($E217,Setup!$A$76:$C$87,3,FALSE)="",Setup!$B$15,VLOOKUP($E217,Setup!$A$76:$C$87,3,FALSE)),Setup!$B$15),2))</f>
        <v/>
      </c>
      <c r="P217" s="91" t="n"/>
      <c r="Q217" s="91" t="n"/>
      <c r="R217" s="91" t="n"/>
      <c r="S217" s="91" t="n"/>
      <c r="T217" s="91" t="n"/>
      <c r="U217" s="89">
        <f>IF($K217="","",SUM($R217:$T217))</f>
        <v/>
      </c>
      <c r="V217" s="89">
        <f>IF($K217="","",$M217-(N($N217)+N($O217)+IF($P217="",Setup!$B$17,$P217)+N($Q217))-N($U217))</f>
        <v/>
      </c>
      <c r="W217" s="86" t="n"/>
      <c r="X217" s="87" t="n"/>
      <c r="Z217" s="92">
        <f>IF($A217="","",DATE(YEAR($A217),MONTH($A217),1))</f>
        <v/>
      </c>
    </row>
    <row r="218">
      <c r="A218" s="93" t="n"/>
      <c r="B218" s="94" t="n"/>
      <c r="C218" s="94" t="n"/>
      <c r="D218" s="95" t="n"/>
      <c r="E218" s="95" t="n"/>
      <c r="F218" s="95" t="n"/>
      <c r="G218" s="95" t="n"/>
      <c r="H218" s="96" t="n"/>
      <c r="I218" s="89">
        <f>IF($G218="","",IF($F218="",IFERROR(INDEX(Setup!$C$21:$C$60,MATCH("|"&amp;UPPER(TRIM($G218)),Setup!$Q$21:$Q$60,0)),"NO RATE"),IFERROR(INDEX(Setup!$C$21:$C$60,MATCH(UPPER(TRIM($F218))&amp;"|"&amp;UPPER(TRIM($G218)),Setup!$P$21:$P$60,0)),IFERROR(INDEX(Setup!$C$21:$C$60,MATCH(UPPER(TRIM($G218))&amp;"|"&amp;UPPER(TRIM($F218)),Setup!$P$21:$P$60,0)),"NO RATE"))))</f>
        <v/>
      </c>
      <c r="J218" s="97" t="n"/>
      <c r="K218" s="89">
        <f>IF(OR($G218="",$H218="",NOT(ISNUMBER($I218))),"",ROUND($H218*$I218*(1+IF($J218="",Setup!$B$16,$J218)),2))</f>
        <v/>
      </c>
      <c r="L218" s="89">
        <f>IF($K218="","",ROUND($K218*Setup!$B$13,2))</f>
        <v/>
      </c>
      <c r="M218" s="89">
        <f>IF($K218="","",$K218-$L218)</f>
        <v/>
      </c>
      <c r="N218" s="89">
        <f>IF(OR($M218="",$D218=""),"",ROUND($M218*IFERROR(IF(VLOOKUP($D218,Setup!$A$76:$C$87,3,FALSE)="",Setup!$B$14,VLOOKUP($D218,Setup!$A$76:$C$87,3,FALSE)),Setup!$B$14),2))</f>
        <v/>
      </c>
      <c r="O218" s="89">
        <f>IF(OR($M218="",$E218=""),"",ROUND($M218*IFERROR(IF(VLOOKUP($E218,Setup!$A$76:$C$87,3,FALSE)="",Setup!$B$15,VLOOKUP($E218,Setup!$A$76:$C$87,3,FALSE)),Setup!$B$15),2))</f>
        <v/>
      </c>
      <c r="P218" s="98" t="n"/>
      <c r="Q218" s="98" t="n"/>
      <c r="R218" s="98" t="n"/>
      <c r="S218" s="98" t="n"/>
      <c r="T218" s="98" t="n"/>
      <c r="U218" s="89">
        <f>IF($K218="","",SUM($R218:$T218))</f>
        <v/>
      </c>
      <c r="V218" s="89">
        <f>IF($K218="","",$M218-(N($N218)+N($O218)+IF($P218="",Setup!$B$17,$P218)+N($Q218))-N($U218))</f>
        <v/>
      </c>
      <c r="W218" s="94" t="n"/>
      <c r="X218" s="95" t="n"/>
      <c r="Z218" s="92">
        <f>IF($A218="","",DATE(YEAR($A218),MONTH($A218),1))</f>
        <v/>
      </c>
    </row>
    <row r="219">
      <c r="A219" s="85" t="n"/>
      <c r="B219" s="86" t="n"/>
      <c r="C219" s="86" t="n"/>
      <c r="D219" s="87" t="n"/>
      <c r="E219" s="87" t="n"/>
      <c r="F219" s="87" t="n"/>
      <c r="G219" s="87" t="n"/>
      <c r="H219" s="88" t="n"/>
      <c r="I219" s="89">
        <f>IF($G219="","",IF($F219="",IFERROR(INDEX(Setup!$C$21:$C$60,MATCH("|"&amp;UPPER(TRIM($G219)),Setup!$Q$21:$Q$60,0)),"NO RATE"),IFERROR(INDEX(Setup!$C$21:$C$60,MATCH(UPPER(TRIM($F219))&amp;"|"&amp;UPPER(TRIM($G219)),Setup!$P$21:$P$60,0)),IFERROR(INDEX(Setup!$C$21:$C$60,MATCH(UPPER(TRIM($G219))&amp;"|"&amp;UPPER(TRIM($F219)),Setup!$P$21:$P$60,0)),"NO RATE"))))</f>
        <v/>
      </c>
      <c r="J219" s="90" t="n"/>
      <c r="K219" s="89">
        <f>IF(OR($G219="",$H219="",NOT(ISNUMBER($I219))),"",ROUND($H219*$I219*(1+IF($J219="",Setup!$B$16,$J219)),2))</f>
        <v/>
      </c>
      <c r="L219" s="89">
        <f>IF($K219="","",ROUND($K219*Setup!$B$13,2))</f>
        <v/>
      </c>
      <c r="M219" s="89">
        <f>IF($K219="","",$K219-$L219)</f>
        <v/>
      </c>
      <c r="N219" s="89">
        <f>IF(OR($M219="",$D219=""),"",ROUND($M219*IFERROR(IF(VLOOKUP($D219,Setup!$A$76:$C$87,3,FALSE)="",Setup!$B$14,VLOOKUP($D219,Setup!$A$76:$C$87,3,FALSE)),Setup!$B$14),2))</f>
        <v/>
      </c>
      <c r="O219" s="89">
        <f>IF(OR($M219="",$E219=""),"",ROUND($M219*IFERROR(IF(VLOOKUP($E219,Setup!$A$76:$C$87,3,FALSE)="",Setup!$B$15,VLOOKUP($E219,Setup!$A$76:$C$87,3,FALSE)),Setup!$B$15),2))</f>
        <v/>
      </c>
      <c r="P219" s="91" t="n"/>
      <c r="Q219" s="91" t="n"/>
      <c r="R219" s="91" t="n"/>
      <c r="S219" s="91" t="n"/>
      <c r="T219" s="91" t="n"/>
      <c r="U219" s="89">
        <f>IF($K219="","",SUM($R219:$T219))</f>
        <v/>
      </c>
      <c r="V219" s="89">
        <f>IF($K219="","",$M219-(N($N219)+N($O219)+IF($P219="",Setup!$B$17,$P219)+N($Q219))-N($U219))</f>
        <v/>
      </c>
      <c r="W219" s="86" t="n"/>
      <c r="X219" s="87" t="n"/>
      <c r="Z219" s="92">
        <f>IF($A219="","",DATE(YEAR($A219),MONTH($A219),1))</f>
        <v/>
      </c>
    </row>
    <row r="220">
      <c r="A220" s="93" t="n"/>
      <c r="B220" s="94" t="n"/>
      <c r="C220" s="94" t="n"/>
      <c r="D220" s="95" t="n"/>
      <c r="E220" s="95" t="n"/>
      <c r="F220" s="95" t="n"/>
      <c r="G220" s="95" t="n"/>
      <c r="H220" s="96" t="n"/>
      <c r="I220" s="89">
        <f>IF($G220="","",IF($F220="",IFERROR(INDEX(Setup!$C$21:$C$60,MATCH("|"&amp;UPPER(TRIM($G220)),Setup!$Q$21:$Q$60,0)),"NO RATE"),IFERROR(INDEX(Setup!$C$21:$C$60,MATCH(UPPER(TRIM($F220))&amp;"|"&amp;UPPER(TRIM($G220)),Setup!$P$21:$P$60,0)),IFERROR(INDEX(Setup!$C$21:$C$60,MATCH(UPPER(TRIM($G220))&amp;"|"&amp;UPPER(TRIM($F220)),Setup!$P$21:$P$60,0)),"NO RATE"))))</f>
        <v/>
      </c>
      <c r="J220" s="97" t="n"/>
      <c r="K220" s="89">
        <f>IF(OR($G220="",$H220="",NOT(ISNUMBER($I220))),"",ROUND($H220*$I220*(1+IF($J220="",Setup!$B$16,$J220)),2))</f>
        <v/>
      </c>
      <c r="L220" s="89">
        <f>IF($K220="","",ROUND($K220*Setup!$B$13,2))</f>
        <v/>
      </c>
      <c r="M220" s="89">
        <f>IF($K220="","",$K220-$L220)</f>
        <v/>
      </c>
      <c r="N220" s="89">
        <f>IF(OR($M220="",$D220=""),"",ROUND($M220*IFERROR(IF(VLOOKUP($D220,Setup!$A$76:$C$87,3,FALSE)="",Setup!$B$14,VLOOKUP($D220,Setup!$A$76:$C$87,3,FALSE)),Setup!$B$14),2))</f>
        <v/>
      </c>
      <c r="O220" s="89">
        <f>IF(OR($M220="",$E220=""),"",ROUND($M220*IFERROR(IF(VLOOKUP($E220,Setup!$A$76:$C$87,3,FALSE)="",Setup!$B$15,VLOOKUP($E220,Setup!$A$76:$C$87,3,FALSE)),Setup!$B$15),2))</f>
        <v/>
      </c>
      <c r="P220" s="98" t="n"/>
      <c r="Q220" s="98" t="n"/>
      <c r="R220" s="98" t="n"/>
      <c r="S220" s="98" t="n"/>
      <c r="T220" s="98" t="n"/>
      <c r="U220" s="89">
        <f>IF($K220="","",SUM($R220:$T220))</f>
        <v/>
      </c>
      <c r="V220" s="89">
        <f>IF($K220="","",$M220-(N($N220)+N($O220)+IF($P220="",Setup!$B$17,$P220)+N($Q220))-N($U220))</f>
        <v/>
      </c>
      <c r="W220" s="94" t="n"/>
      <c r="X220" s="95" t="n"/>
      <c r="Z220" s="92">
        <f>IF($A220="","",DATE(YEAR($A220),MONTH($A220),1))</f>
        <v/>
      </c>
    </row>
    <row r="221">
      <c r="A221" s="85" t="n"/>
      <c r="B221" s="86" t="n"/>
      <c r="C221" s="86" t="n"/>
      <c r="D221" s="87" t="n"/>
      <c r="E221" s="87" t="n"/>
      <c r="F221" s="87" t="n"/>
      <c r="G221" s="87" t="n"/>
      <c r="H221" s="88" t="n"/>
      <c r="I221" s="89">
        <f>IF($G221="","",IF($F221="",IFERROR(INDEX(Setup!$C$21:$C$60,MATCH("|"&amp;UPPER(TRIM($G221)),Setup!$Q$21:$Q$60,0)),"NO RATE"),IFERROR(INDEX(Setup!$C$21:$C$60,MATCH(UPPER(TRIM($F221))&amp;"|"&amp;UPPER(TRIM($G221)),Setup!$P$21:$P$60,0)),IFERROR(INDEX(Setup!$C$21:$C$60,MATCH(UPPER(TRIM($G221))&amp;"|"&amp;UPPER(TRIM($F221)),Setup!$P$21:$P$60,0)),"NO RATE"))))</f>
        <v/>
      </c>
      <c r="J221" s="90" t="n"/>
      <c r="K221" s="89">
        <f>IF(OR($G221="",$H221="",NOT(ISNUMBER($I221))),"",ROUND($H221*$I221*(1+IF($J221="",Setup!$B$16,$J221)),2))</f>
        <v/>
      </c>
      <c r="L221" s="89">
        <f>IF($K221="","",ROUND($K221*Setup!$B$13,2))</f>
        <v/>
      </c>
      <c r="M221" s="89">
        <f>IF($K221="","",$K221-$L221)</f>
        <v/>
      </c>
      <c r="N221" s="89">
        <f>IF(OR($M221="",$D221=""),"",ROUND($M221*IFERROR(IF(VLOOKUP($D221,Setup!$A$76:$C$87,3,FALSE)="",Setup!$B$14,VLOOKUP($D221,Setup!$A$76:$C$87,3,FALSE)),Setup!$B$14),2))</f>
        <v/>
      </c>
      <c r="O221" s="89">
        <f>IF(OR($M221="",$E221=""),"",ROUND($M221*IFERROR(IF(VLOOKUP($E221,Setup!$A$76:$C$87,3,FALSE)="",Setup!$B$15,VLOOKUP($E221,Setup!$A$76:$C$87,3,FALSE)),Setup!$B$15),2))</f>
        <v/>
      </c>
      <c r="P221" s="91" t="n"/>
      <c r="Q221" s="91" t="n"/>
      <c r="R221" s="91" t="n"/>
      <c r="S221" s="91" t="n"/>
      <c r="T221" s="91" t="n"/>
      <c r="U221" s="89">
        <f>IF($K221="","",SUM($R221:$T221))</f>
        <v/>
      </c>
      <c r="V221" s="89">
        <f>IF($K221="","",$M221-(N($N221)+N($O221)+IF($P221="",Setup!$B$17,$P221)+N($Q221))-N($U221))</f>
        <v/>
      </c>
      <c r="W221" s="86" t="n"/>
      <c r="X221" s="87" t="n"/>
      <c r="Z221" s="92">
        <f>IF($A221="","",DATE(YEAR($A221),MONTH($A221),1))</f>
        <v/>
      </c>
    </row>
    <row r="222">
      <c r="A222" s="93" t="n"/>
      <c r="B222" s="94" t="n"/>
      <c r="C222" s="94" t="n"/>
      <c r="D222" s="95" t="n"/>
      <c r="E222" s="95" t="n"/>
      <c r="F222" s="95" t="n"/>
      <c r="G222" s="95" t="n"/>
      <c r="H222" s="96" t="n"/>
      <c r="I222" s="89">
        <f>IF($G222="","",IF($F222="",IFERROR(INDEX(Setup!$C$21:$C$60,MATCH("|"&amp;UPPER(TRIM($G222)),Setup!$Q$21:$Q$60,0)),"NO RATE"),IFERROR(INDEX(Setup!$C$21:$C$60,MATCH(UPPER(TRIM($F222))&amp;"|"&amp;UPPER(TRIM($G222)),Setup!$P$21:$P$60,0)),IFERROR(INDEX(Setup!$C$21:$C$60,MATCH(UPPER(TRIM($G222))&amp;"|"&amp;UPPER(TRIM($F222)),Setup!$P$21:$P$60,0)),"NO RATE"))))</f>
        <v/>
      </c>
      <c r="J222" s="97" t="n"/>
      <c r="K222" s="89">
        <f>IF(OR($G222="",$H222="",NOT(ISNUMBER($I222))),"",ROUND($H222*$I222*(1+IF($J222="",Setup!$B$16,$J222)),2))</f>
        <v/>
      </c>
      <c r="L222" s="89">
        <f>IF($K222="","",ROUND($K222*Setup!$B$13,2))</f>
        <v/>
      </c>
      <c r="M222" s="89">
        <f>IF($K222="","",$K222-$L222)</f>
        <v/>
      </c>
      <c r="N222" s="89">
        <f>IF(OR($M222="",$D222=""),"",ROUND($M222*IFERROR(IF(VLOOKUP($D222,Setup!$A$76:$C$87,3,FALSE)="",Setup!$B$14,VLOOKUP($D222,Setup!$A$76:$C$87,3,FALSE)),Setup!$B$14),2))</f>
        <v/>
      </c>
      <c r="O222" s="89">
        <f>IF(OR($M222="",$E222=""),"",ROUND($M222*IFERROR(IF(VLOOKUP($E222,Setup!$A$76:$C$87,3,FALSE)="",Setup!$B$15,VLOOKUP($E222,Setup!$A$76:$C$87,3,FALSE)),Setup!$B$15),2))</f>
        <v/>
      </c>
      <c r="P222" s="98" t="n"/>
      <c r="Q222" s="98" t="n"/>
      <c r="R222" s="98" t="n"/>
      <c r="S222" s="98" t="n"/>
      <c r="T222" s="98" t="n"/>
      <c r="U222" s="89">
        <f>IF($K222="","",SUM($R222:$T222))</f>
        <v/>
      </c>
      <c r="V222" s="89">
        <f>IF($K222="","",$M222-(N($N222)+N($O222)+IF($P222="",Setup!$B$17,$P222)+N($Q222))-N($U222))</f>
        <v/>
      </c>
      <c r="W222" s="94" t="n"/>
      <c r="X222" s="95" t="n"/>
      <c r="Z222" s="92">
        <f>IF($A222="","",DATE(YEAR($A222),MONTH($A222),1))</f>
        <v/>
      </c>
    </row>
    <row r="223">
      <c r="A223" s="85" t="n"/>
      <c r="B223" s="86" t="n"/>
      <c r="C223" s="86" t="n"/>
      <c r="D223" s="87" t="n"/>
      <c r="E223" s="87" t="n"/>
      <c r="F223" s="87" t="n"/>
      <c r="G223" s="87" t="n"/>
      <c r="H223" s="88" t="n"/>
      <c r="I223" s="89">
        <f>IF($G223="","",IF($F223="",IFERROR(INDEX(Setup!$C$21:$C$60,MATCH("|"&amp;UPPER(TRIM($G223)),Setup!$Q$21:$Q$60,0)),"NO RATE"),IFERROR(INDEX(Setup!$C$21:$C$60,MATCH(UPPER(TRIM($F223))&amp;"|"&amp;UPPER(TRIM($G223)),Setup!$P$21:$P$60,0)),IFERROR(INDEX(Setup!$C$21:$C$60,MATCH(UPPER(TRIM($G223))&amp;"|"&amp;UPPER(TRIM($F223)),Setup!$P$21:$P$60,0)),"NO RATE"))))</f>
        <v/>
      </c>
      <c r="J223" s="90" t="n"/>
      <c r="K223" s="89">
        <f>IF(OR($G223="",$H223="",NOT(ISNUMBER($I223))),"",ROUND($H223*$I223*(1+IF($J223="",Setup!$B$16,$J223)),2))</f>
        <v/>
      </c>
      <c r="L223" s="89">
        <f>IF($K223="","",ROUND($K223*Setup!$B$13,2))</f>
        <v/>
      </c>
      <c r="M223" s="89">
        <f>IF($K223="","",$K223-$L223)</f>
        <v/>
      </c>
      <c r="N223" s="89">
        <f>IF(OR($M223="",$D223=""),"",ROUND($M223*IFERROR(IF(VLOOKUP($D223,Setup!$A$76:$C$87,3,FALSE)="",Setup!$B$14,VLOOKUP($D223,Setup!$A$76:$C$87,3,FALSE)),Setup!$B$14),2))</f>
        <v/>
      </c>
      <c r="O223" s="89">
        <f>IF(OR($M223="",$E223=""),"",ROUND($M223*IFERROR(IF(VLOOKUP($E223,Setup!$A$76:$C$87,3,FALSE)="",Setup!$B$15,VLOOKUP($E223,Setup!$A$76:$C$87,3,FALSE)),Setup!$B$15),2))</f>
        <v/>
      </c>
      <c r="P223" s="91" t="n"/>
      <c r="Q223" s="91" t="n"/>
      <c r="R223" s="91" t="n"/>
      <c r="S223" s="91" t="n"/>
      <c r="T223" s="91" t="n"/>
      <c r="U223" s="89">
        <f>IF($K223="","",SUM($R223:$T223))</f>
        <v/>
      </c>
      <c r="V223" s="89">
        <f>IF($K223="","",$M223-(N($N223)+N($O223)+IF($P223="",Setup!$B$17,$P223)+N($Q223))-N($U223))</f>
        <v/>
      </c>
      <c r="W223" s="86" t="n"/>
      <c r="X223" s="87" t="n"/>
      <c r="Z223" s="92">
        <f>IF($A223="","",DATE(YEAR($A223),MONTH($A223),1))</f>
        <v/>
      </c>
    </row>
    <row r="224">
      <c r="A224" s="93" t="n"/>
      <c r="B224" s="94" t="n"/>
      <c r="C224" s="94" t="n"/>
      <c r="D224" s="95" t="n"/>
      <c r="E224" s="95" t="n"/>
      <c r="F224" s="95" t="n"/>
      <c r="G224" s="95" t="n"/>
      <c r="H224" s="96" t="n"/>
      <c r="I224" s="89">
        <f>IF($G224="","",IF($F224="",IFERROR(INDEX(Setup!$C$21:$C$60,MATCH("|"&amp;UPPER(TRIM($G224)),Setup!$Q$21:$Q$60,0)),"NO RATE"),IFERROR(INDEX(Setup!$C$21:$C$60,MATCH(UPPER(TRIM($F224))&amp;"|"&amp;UPPER(TRIM($G224)),Setup!$P$21:$P$60,0)),IFERROR(INDEX(Setup!$C$21:$C$60,MATCH(UPPER(TRIM($G224))&amp;"|"&amp;UPPER(TRIM($F224)),Setup!$P$21:$P$60,0)),"NO RATE"))))</f>
        <v/>
      </c>
      <c r="J224" s="97" t="n"/>
      <c r="K224" s="89">
        <f>IF(OR($G224="",$H224="",NOT(ISNUMBER($I224))),"",ROUND($H224*$I224*(1+IF($J224="",Setup!$B$16,$J224)),2))</f>
        <v/>
      </c>
      <c r="L224" s="89">
        <f>IF($K224="","",ROUND($K224*Setup!$B$13,2))</f>
        <v/>
      </c>
      <c r="M224" s="89">
        <f>IF($K224="","",$K224-$L224)</f>
        <v/>
      </c>
      <c r="N224" s="89">
        <f>IF(OR($M224="",$D224=""),"",ROUND($M224*IFERROR(IF(VLOOKUP($D224,Setup!$A$76:$C$87,3,FALSE)="",Setup!$B$14,VLOOKUP($D224,Setup!$A$76:$C$87,3,FALSE)),Setup!$B$14),2))</f>
        <v/>
      </c>
      <c r="O224" s="89">
        <f>IF(OR($M224="",$E224=""),"",ROUND($M224*IFERROR(IF(VLOOKUP($E224,Setup!$A$76:$C$87,3,FALSE)="",Setup!$B$15,VLOOKUP($E224,Setup!$A$76:$C$87,3,FALSE)),Setup!$B$15),2))</f>
        <v/>
      </c>
      <c r="P224" s="98" t="n"/>
      <c r="Q224" s="98" t="n"/>
      <c r="R224" s="98" t="n"/>
      <c r="S224" s="98" t="n"/>
      <c r="T224" s="98" t="n"/>
      <c r="U224" s="89">
        <f>IF($K224="","",SUM($R224:$T224))</f>
        <v/>
      </c>
      <c r="V224" s="89">
        <f>IF($K224="","",$M224-(N($N224)+N($O224)+IF($P224="",Setup!$B$17,$P224)+N($Q224))-N($U224))</f>
        <v/>
      </c>
      <c r="W224" s="94" t="n"/>
      <c r="X224" s="95" t="n"/>
      <c r="Z224" s="92">
        <f>IF($A224="","",DATE(YEAR($A224),MONTH($A224),1))</f>
        <v/>
      </c>
    </row>
    <row r="225">
      <c r="A225" s="85" t="n"/>
      <c r="B225" s="86" t="n"/>
      <c r="C225" s="86" t="n"/>
      <c r="D225" s="87" t="n"/>
      <c r="E225" s="87" t="n"/>
      <c r="F225" s="87" t="n"/>
      <c r="G225" s="87" t="n"/>
      <c r="H225" s="88" t="n"/>
      <c r="I225" s="89">
        <f>IF($G225="","",IF($F225="",IFERROR(INDEX(Setup!$C$21:$C$60,MATCH("|"&amp;UPPER(TRIM($G225)),Setup!$Q$21:$Q$60,0)),"NO RATE"),IFERROR(INDEX(Setup!$C$21:$C$60,MATCH(UPPER(TRIM($F225))&amp;"|"&amp;UPPER(TRIM($G225)),Setup!$P$21:$P$60,0)),IFERROR(INDEX(Setup!$C$21:$C$60,MATCH(UPPER(TRIM($G225))&amp;"|"&amp;UPPER(TRIM($F225)),Setup!$P$21:$P$60,0)),"NO RATE"))))</f>
        <v/>
      </c>
      <c r="J225" s="90" t="n"/>
      <c r="K225" s="89">
        <f>IF(OR($G225="",$H225="",NOT(ISNUMBER($I225))),"",ROUND($H225*$I225*(1+IF($J225="",Setup!$B$16,$J225)),2))</f>
        <v/>
      </c>
      <c r="L225" s="89">
        <f>IF($K225="","",ROUND($K225*Setup!$B$13,2))</f>
        <v/>
      </c>
      <c r="M225" s="89">
        <f>IF($K225="","",$K225-$L225)</f>
        <v/>
      </c>
      <c r="N225" s="89">
        <f>IF(OR($M225="",$D225=""),"",ROUND($M225*IFERROR(IF(VLOOKUP($D225,Setup!$A$76:$C$87,3,FALSE)="",Setup!$B$14,VLOOKUP($D225,Setup!$A$76:$C$87,3,FALSE)),Setup!$B$14),2))</f>
        <v/>
      </c>
      <c r="O225" s="89">
        <f>IF(OR($M225="",$E225=""),"",ROUND($M225*IFERROR(IF(VLOOKUP($E225,Setup!$A$76:$C$87,3,FALSE)="",Setup!$B$15,VLOOKUP($E225,Setup!$A$76:$C$87,3,FALSE)),Setup!$B$15),2))</f>
        <v/>
      </c>
      <c r="P225" s="91" t="n"/>
      <c r="Q225" s="91" t="n"/>
      <c r="R225" s="91" t="n"/>
      <c r="S225" s="91" t="n"/>
      <c r="T225" s="91" t="n"/>
      <c r="U225" s="89">
        <f>IF($K225="","",SUM($R225:$T225))</f>
        <v/>
      </c>
      <c r="V225" s="89">
        <f>IF($K225="","",$M225-(N($N225)+N($O225)+IF($P225="",Setup!$B$17,$P225)+N($Q225))-N($U225))</f>
        <v/>
      </c>
      <c r="W225" s="86" t="n"/>
      <c r="X225" s="87" t="n"/>
      <c r="Z225" s="92">
        <f>IF($A225="","",DATE(YEAR($A225),MONTH($A225),1))</f>
        <v/>
      </c>
    </row>
    <row r="226">
      <c r="A226" s="93" t="n"/>
      <c r="B226" s="94" t="n"/>
      <c r="C226" s="94" t="n"/>
      <c r="D226" s="95" t="n"/>
      <c r="E226" s="95" t="n"/>
      <c r="F226" s="95" t="n"/>
      <c r="G226" s="95" t="n"/>
      <c r="H226" s="96" t="n"/>
      <c r="I226" s="89">
        <f>IF($G226="","",IF($F226="",IFERROR(INDEX(Setup!$C$21:$C$60,MATCH("|"&amp;UPPER(TRIM($G226)),Setup!$Q$21:$Q$60,0)),"NO RATE"),IFERROR(INDEX(Setup!$C$21:$C$60,MATCH(UPPER(TRIM($F226))&amp;"|"&amp;UPPER(TRIM($G226)),Setup!$P$21:$P$60,0)),IFERROR(INDEX(Setup!$C$21:$C$60,MATCH(UPPER(TRIM($G226))&amp;"|"&amp;UPPER(TRIM($F226)),Setup!$P$21:$P$60,0)),"NO RATE"))))</f>
        <v/>
      </c>
      <c r="J226" s="97" t="n"/>
      <c r="K226" s="89">
        <f>IF(OR($G226="",$H226="",NOT(ISNUMBER($I226))),"",ROUND($H226*$I226*(1+IF($J226="",Setup!$B$16,$J226)),2))</f>
        <v/>
      </c>
      <c r="L226" s="89">
        <f>IF($K226="","",ROUND($K226*Setup!$B$13,2))</f>
        <v/>
      </c>
      <c r="M226" s="89">
        <f>IF($K226="","",$K226-$L226)</f>
        <v/>
      </c>
      <c r="N226" s="89">
        <f>IF(OR($M226="",$D226=""),"",ROUND($M226*IFERROR(IF(VLOOKUP($D226,Setup!$A$76:$C$87,3,FALSE)="",Setup!$B$14,VLOOKUP($D226,Setup!$A$76:$C$87,3,FALSE)),Setup!$B$14),2))</f>
        <v/>
      </c>
      <c r="O226" s="89">
        <f>IF(OR($M226="",$E226=""),"",ROUND($M226*IFERROR(IF(VLOOKUP($E226,Setup!$A$76:$C$87,3,FALSE)="",Setup!$B$15,VLOOKUP($E226,Setup!$A$76:$C$87,3,FALSE)),Setup!$B$15),2))</f>
        <v/>
      </c>
      <c r="P226" s="98" t="n"/>
      <c r="Q226" s="98" t="n"/>
      <c r="R226" s="98" t="n"/>
      <c r="S226" s="98" t="n"/>
      <c r="T226" s="98" t="n"/>
      <c r="U226" s="89">
        <f>IF($K226="","",SUM($R226:$T226))</f>
        <v/>
      </c>
      <c r="V226" s="89">
        <f>IF($K226="","",$M226-(N($N226)+N($O226)+IF($P226="",Setup!$B$17,$P226)+N($Q226))-N($U226))</f>
        <v/>
      </c>
      <c r="W226" s="94" t="n"/>
      <c r="X226" s="95" t="n"/>
      <c r="Z226" s="92">
        <f>IF($A226="","",DATE(YEAR($A226),MONTH($A226),1))</f>
        <v/>
      </c>
    </row>
    <row r="227">
      <c r="A227" s="85" t="n"/>
      <c r="B227" s="86" t="n"/>
      <c r="C227" s="86" t="n"/>
      <c r="D227" s="87" t="n"/>
      <c r="E227" s="87" t="n"/>
      <c r="F227" s="87" t="n"/>
      <c r="G227" s="87" t="n"/>
      <c r="H227" s="88" t="n"/>
      <c r="I227" s="89">
        <f>IF($G227="","",IF($F227="",IFERROR(INDEX(Setup!$C$21:$C$60,MATCH("|"&amp;UPPER(TRIM($G227)),Setup!$Q$21:$Q$60,0)),"NO RATE"),IFERROR(INDEX(Setup!$C$21:$C$60,MATCH(UPPER(TRIM($F227))&amp;"|"&amp;UPPER(TRIM($G227)),Setup!$P$21:$P$60,0)),IFERROR(INDEX(Setup!$C$21:$C$60,MATCH(UPPER(TRIM($G227))&amp;"|"&amp;UPPER(TRIM($F227)),Setup!$P$21:$P$60,0)),"NO RATE"))))</f>
        <v/>
      </c>
      <c r="J227" s="90" t="n"/>
      <c r="K227" s="89">
        <f>IF(OR($G227="",$H227="",NOT(ISNUMBER($I227))),"",ROUND($H227*$I227*(1+IF($J227="",Setup!$B$16,$J227)),2))</f>
        <v/>
      </c>
      <c r="L227" s="89">
        <f>IF($K227="","",ROUND($K227*Setup!$B$13,2))</f>
        <v/>
      </c>
      <c r="M227" s="89">
        <f>IF($K227="","",$K227-$L227)</f>
        <v/>
      </c>
      <c r="N227" s="89">
        <f>IF(OR($M227="",$D227=""),"",ROUND($M227*IFERROR(IF(VLOOKUP($D227,Setup!$A$76:$C$87,3,FALSE)="",Setup!$B$14,VLOOKUP($D227,Setup!$A$76:$C$87,3,FALSE)),Setup!$B$14),2))</f>
        <v/>
      </c>
      <c r="O227" s="89">
        <f>IF(OR($M227="",$E227=""),"",ROUND($M227*IFERROR(IF(VLOOKUP($E227,Setup!$A$76:$C$87,3,FALSE)="",Setup!$B$15,VLOOKUP($E227,Setup!$A$76:$C$87,3,FALSE)),Setup!$B$15),2))</f>
        <v/>
      </c>
      <c r="P227" s="91" t="n"/>
      <c r="Q227" s="91" t="n"/>
      <c r="R227" s="91" t="n"/>
      <c r="S227" s="91" t="n"/>
      <c r="T227" s="91" t="n"/>
      <c r="U227" s="89">
        <f>IF($K227="","",SUM($R227:$T227))</f>
        <v/>
      </c>
      <c r="V227" s="89">
        <f>IF($K227="","",$M227-(N($N227)+N($O227)+IF($P227="",Setup!$B$17,$P227)+N($Q227))-N($U227))</f>
        <v/>
      </c>
      <c r="W227" s="86" t="n"/>
      <c r="X227" s="87" t="n"/>
      <c r="Z227" s="92">
        <f>IF($A227="","",DATE(YEAR($A227),MONTH($A227),1))</f>
        <v/>
      </c>
    </row>
    <row r="228">
      <c r="A228" s="93" t="n"/>
      <c r="B228" s="94" t="n"/>
      <c r="C228" s="94" t="n"/>
      <c r="D228" s="95" t="n"/>
      <c r="E228" s="95" t="n"/>
      <c r="F228" s="95" t="n"/>
      <c r="G228" s="95" t="n"/>
      <c r="H228" s="96" t="n"/>
      <c r="I228" s="89">
        <f>IF($G228="","",IF($F228="",IFERROR(INDEX(Setup!$C$21:$C$60,MATCH("|"&amp;UPPER(TRIM($G228)),Setup!$Q$21:$Q$60,0)),"NO RATE"),IFERROR(INDEX(Setup!$C$21:$C$60,MATCH(UPPER(TRIM($F228))&amp;"|"&amp;UPPER(TRIM($G228)),Setup!$P$21:$P$60,0)),IFERROR(INDEX(Setup!$C$21:$C$60,MATCH(UPPER(TRIM($G228))&amp;"|"&amp;UPPER(TRIM($F228)),Setup!$P$21:$P$60,0)),"NO RATE"))))</f>
        <v/>
      </c>
      <c r="J228" s="97" t="n"/>
      <c r="K228" s="89">
        <f>IF(OR($G228="",$H228="",NOT(ISNUMBER($I228))),"",ROUND($H228*$I228*(1+IF($J228="",Setup!$B$16,$J228)),2))</f>
        <v/>
      </c>
      <c r="L228" s="89">
        <f>IF($K228="","",ROUND($K228*Setup!$B$13,2))</f>
        <v/>
      </c>
      <c r="M228" s="89">
        <f>IF($K228="","",$K228-$L228)</f>
        <v/>
      </c>
      <c r="N228" s="89">
        <f>IF(OR($M228="",$D228=""),"",ROUND($M228*IFERROR(IF(VLOOKUP($D228,Setup!$A$76:$C$87,3,FALSE)="",Setup!$B$14,VLOOKUP($D228,Setup!$A$76:$C$87,3,FALSE)),Setup!$B$14),2))</f>
        <v/>
      </c>
      <c r="O228" s="89">
        <f>IF(OR($M228="",$E228=""),"",ROUND($M228*IFERROR(IF(VLOOKUP($E228,Setup!$A$76:$C$87,3,FALSE)="",Setup!$B$15,VLOOKUP($E228,Setup!$A$76:$C$87,3,FALSE)),Setup!$B$15),2))</f>
        <v/>
      </c>
      <c r="P228" s="98" t="n"/>
      <c r="Q228" s="98" t="n"/>
      <c r="R228" s="98" t="n"/>
      <c r="S228" s="98" t="n"/>
      <c r="T228" s="98" t="n"/>
      <c r="U228" s="89">
        <f>IF($K228="","",SUM($R228:$T228))</f>
        <v/>
      </c>
      <c r="V228" s="89">
        <f>IF($K228="","",$M228-(N($N228)+N($O228)+IF($P228="",Setup!$B$17,$P228)+N($Q228))-N($U228))</f>
        <v/>
      </c>
      <c r="W228" s="94" t="n"/>
      <c r="X228" s="95" t="n"/>
      <c r="Z228" s="92">
        <f>IF($A228="","",DATE(YEAR($A228),MONTH($A228),1))</f>
        <v/>
      </c>
    </row>
    <row r="229">
      <c r="A229" s="85" t="n"/>
      <c r="B229" s="86" t="n"/>
      <c r="C229" s="86" t="n"/>
      <c r="D229" s="87" t="n"/>
      <c r="E229" s="87" t="n"/>
      <c r="F229" s="87" t="n"/>
      <c r="G229" s="87" t="n"/>
      <c r="H229" s="88" t="n"/>
      <c r="I229" s="89">
        <f>IF($G229="","",IF($F229="",IFERROR(INDEX(Setup!$C$21:$C$60,MATCH("|"&amp;UPPER(TRIM($G229)),Setup!$Q$21:$Q$60,0)),"NO RATE"),IFERROR(INDEX(Setup!$C$21:$C$60,MATCH(UPPER(TRIM($F229))&amp;"|"&amp;UPPER(TRIM($G229)),Setup!$P$21:$P$60,0)),IFERROR(INDEX(Setup!$C$21:$C$60,MATCH(UPPER(TRIM($G229))&amp;"|"&amp;UPPER(TRIM($F229)),Setup!$P$21:$P$60,0)),"NO RATE"))))</f>
        <v/>
      </c>
      <c r="J229" s="90" t="n"/>
      <c r="K229" s="89">
        <f>IF(OR($G229="",$H229="",NOT(ISNUMBER($I229))),"",ROUND($H229*$I229*(1+IF($J229="",Setup!$B$16,$J229)),2))</f>
        <v/>
      </c>
      <c r="L229" s="89">
        <f>IF($K229="","",ROUND($K229*Setup!$B$13,2))</f>
        <v/>
      </c>
      <c r="M229" s="89">
        <f>IF($K229="","",$K229-$L229)</f>
        <v/>
      </c>
      <c r="N229" s="89">
        <f>IF(OR($M229="",$D229=""),"",ROUND($M229*IFERROR(IF(VLOOKUP($D229,Setup!$A$76:$C$87,3,FALSE)="",Setup!$B$14,VLOOKUP($D229,Setup!$A$76:$C$87,3,FALSE)),Setup!$B$14),2))</f>
        <v/>
      </c>
      <c r="O229" s="89">
        <f>IF(OR($M229="",$E229=""),"",ROUND($M229*IFERROR(IF(VLOOKUP($E229,Setup!$A$76:$C$87,3,FALSE)="",Setup!$B$15,VLOOKUP($E229,Setup!$A$76:$C$87,3,FALSE)),Setup!$B$15),2))</f>
        <v/>
      </c>
      <c r="P229" s="91" t="n"/>
      <c r="Q229" s="91" t="n"/>
      <c r="R229" s="91" t="n"/>
      <c r="S229" s="91" t="n"/>
      <c r="T229" s="91" t="n"/>
      <c r="U229" s="89">
        <f>IF($K229="","",SUM($R229:$T229))</f>
        <v/>
      </c>
      <c r="V229" s="89">
        <f>IF($K229="","",$M229-(N($N229)+N($O229)+IF($P229="",Setup!$B$17,$P229)+N($Q229))-N($U229))</f>
        <v/>
      </c>
      <c r="W229" s="86" t="n"/>
      <c r="X229" s="87" t="n"/>
      <c r="Z229" s="92">
        <f>IF($A229="","",DATE(YEAR($A229),MONTH($A229),1))</f>
        <v/>
      </c>
    </row>
    <row r="230">
      <c r="A230" s="93" t="n"/>
      <c r="B230" s="94" t="n"/>
      <c r="C230" s="94" t="n"/>
      <c r="D230" s="95" t="n"/>
      <c r="E230" s="95" t="n"/>
      <c r="F230" s="95" t="n"/>
      <c r="G230" s="95" t="n"/>
      <c r="H230" s="96" t="n"/>
      <c r="I230" s="89">
        <f>IF($G230="","",IF($F230="",IFERROR(INDEX(Setup!$C$21:$C$60,MATCH("|"&amp;UPPER(TRIM($G230)),Setup!$Q$21:$Q$60,0)),"NO RATE"),IFERROR(INDEX(Setup!$C$21:$C$60,MATCH(UPPER(TRIM($F230))&amp;"|"&amp;UPPER(TRIM($G230)),Setup!$P$21:$P$60,0)),IFERROR(INDEX(Setup!$C$21:$C$60,MATCH(UPPER(TRIM($G230))&amp;"|"&amp;UPPER(TRIM($F230)),Setup!$P$21:$P$60,0)),"NO RATE"))))</f>
        <v/>
      </c>
      <c r="J230" s="97" t="n"/>
      <c r="K230" s="89">
        <f>IF(OR($G230="",$H230="",NOT(ISNUMBER($I230))),"",ROUND($H230*$I230*(1+IF($J230="",Setup!$B$16,$J230)),2))</f>
        <v/>
      </c>
      <c r="L230" s="89">
        <f>IF($K230="","",ROUND($K230*Setup!$B$13,2))</f>
        <v/>
      </c>
      <c r="M230" s="89">
        <f>IF($K230="","",$K230-$L230)</f>
        <v/>
      </c>
      <c r="N230" s="89">
        <f>IF(OR($M230="",$D230=""),"",ROUND($M230*IFERROR(IF(VLOOKUP($D230,Setup!$A$76:$C$87,3,FALSE)="",Setup!$B$14,VLOOKUP($D230,Setup!$A$76:$C$87,3,FALSE)),Setup!$B$14),2))</f>
        <v/>
      </c>
      <c r="O230" s="89">
        <f>IF(OR($M230="",$E230=""),"",ROUND($M230*IFERROR(IF(VLOOKUP($E230,Setup!$A$76:$C$87,3,FALSE)="",Setup!$B$15,VLOOKUP($E230,Setup!$A$76:$C$87,3,FALSE)),Setup!$B$15),2))</f>
        <v/>
      </c>
      <c r="P230" s="98" t="n"/>
      <c r="Q230" s="98" t="n"/>
      <c r="R230" s="98" t="n"/>
      <c r="S230" s="98" t="n"/>
      <c r="T230" s="98" t="n"/>
      <c r="U230" s="89">
        <f>IF($K230="","",SUM($R230:$T230))</f>
        <v/>
      </c>
      <c r="V230" s="89">
        <f>IF($K230="","",$M230-(N($N230)+N($O230)+IF($P230="",Setup!$B$17,$P230)+N($Q230))-N($U230))</f>
        <v/>
      </c>
      <c r="W230" s="94" t="n"/>
      <c r="X230" s="95" t="n"/>
      <c r="Z230" s="92">
        <f>IF($A230="","",DATE(YEAR($A230),MONTH($A230),1))</f>
        <v/>
      </c>
    </row>
    <row r="231">
      <c r="A231" s="85" t="n"/>
      <c r="B231" s="86" t="n"/>
      <c r="C231" s="86" t="n"/>
      <c r="D231" s="87" t="n"/>
      <c r="E231" s="87" t="n"/>
      <c r="F231" s="87" t="n"/>
      <c r="G231" s="87" t="n"/>
      <c r="H231" s="88" t="n"/>
      <c r="I231" s="89">
        <f>IF($G231="","",IF($F231="",IFERROR(INDEX(Setup!$C$21:$C$60,MATCH("|"&amp;UPPER(TRIM($G231)),Setup!$Q$21:$Q$60,0)),"NO RATE"),IFERROR(INDEX(Setup!$C$21:$C$60,MATCH(UPPER(TRIM($F231))&amp;"|"&amp;UPPER(TRIM($G231)),Setup!$P$21:$P$60,0)),IFERROR(INDEX(Setup!$C$21:$C$60,MATCH(UPPER(TRIM($G231))&amp;"|"&amp;UPPER(TRIM($F231)),Setup!$P$21:$P$60,0)),"NO RATE"))))</f>
        <v/>
      </c>
      <c r="J231" s="90" t="n"/>
      <c r="K231" s="89">
        <f>IF(OR($G231="",$H231="",NOT(ISNUMBER($I231))),"",ROUND($H231*$I231*(1+IF($J231="",Setup!$B$16,$J231)),2))</f>
        <v/>
      </c>
      <c r="L231" s="89">
        <f>IF($K231="","",ROUND($K231*Setup!$B$13,2))</f>
        <v/>
      </c>
      <c r="M231" s="89">
        <f>IF($K231="","",$K231-$L231)</f>
        <v/>
      </c>
      <c r="N231" s="89">
        <f>IF(OR($M231="",$D231=""),"",ROUND($M231*IFERROR(IF(VLOOKUP($D231,Setup!$A$76:$C$87,3,FALSE)="",Setup!$B$14,VLOOKUP($D231,Setup!$A$76:$C$87,3,FALSE)),Setup!$B$14),2))</f>
        <v/>
      </c>
      <c r="O231" s="89">
        <f>IF(OR($M231="",$E231=""),"",ROUND($M231*IFERROR(IF(VLOOKUP($E231,Setup!$A$76:$C$87,3,FALSE)="",Setup!$B$15,VLOOKUP($E231,Setup!$A$76:$C$87,3,FALSE)),Setup!$B$15),2))</f>
        <v/>
      </c>
      <c r="P231" s="91" t="n"/>
      <c r="Q231" s="91" t="n"/>
      <c r="R231" s="91" t="n"/>
      <c r="S231" s="91" t="n"/>
      <c r="T231" s="91" t="n"/>
      <c r="U231" s="89">
        <f>IF($K231="","",SUM($R231:$T231))</f>
        <v/>
      </c>
      <c r="V231" s="89">
        <f>IF($K231="","",$M231-(N($N231)+N($O231)+IF($P231="",Setup!$B$17,$P231)+N($Q231))-N($U231))</f>
        <v/>
      </c>
      <c r="W231" s="86" t="n"/>
      <c r="X231" s="87" t="n"/>
      <c r="Z231" s="92">
        <f>IF($A231="","",DATE(YEAR($A231),MONTH($A231),1))</f>
        <v/>
      </c>
    </row>
    <row r="232">
      <c r="A232" s="93" t="n"/>
      <c r="B232" s="94" t="n"/>
      <c r="C232" s="94" t="n"/>
      <c r="D232" s="95" t="n"/>
      <c r="E232" s="95" t="n"/>
      <c r="F232" s="95" t="n"/>
      <c r="G232" s="95" t="n"/>
      <c r="H232" s="96" t="n"/>
      <c r="I232" s="89">
        <f>IF($G232="","",IF($F232="",IFERROR(INDEX(Setup!$C$21:$C$60,MATCH("|"&amp;UPPER(TRIM($G232)),Setup!$Q$21:$Q$60,0)),"NO RATE"),IFERROR(INDEX(Setup!$C$21:$C$60,MATCH(UPPER(TRIM($F232))&amp;"|"&amp;UPPER(TRIM($G232)),Setup!$P$21:$P$60,0)),IFERROR(INDEX(Setup!$C$21:$C$60,MATCH(UPPER(TRIM($G232))&amp;"|"&amp;UPPER(TRIM($F232)),Setup!$P$21:$P$60,0)),"NO RATE"))))</f>
        <v/>
      </c>
      <c r="J232" s="97" t="n"/>
      <c r="K232" s="89">
        <f>IF(OR($G232="",$H232="",NOT(ISNUMBER($I232))),"",ROUND($H232*$I232*(1+IF($J232="",Setup!$B$16,$J232)),2))</f>
        <v/>
      </c>
      <c r="L232" s="89">
        <f>IF($K232="","",ROUND($K232*Setup!$B$13,2))</f>
        <v/>
      </c>
      <c r="M232" s="89">
        <f>IF($K232="","",$K232-$L232)</f>
        <v/>
      </c>
      <c r="N232" s="89">
        <f>IF(OR($M232="",$D232=""),"",ROUND($M232*IFERROR(IF(VLOOKUP($D232,Setup!$A$76:$C$87,3,FALSE)="",Setup!$B$14,VLOOKUP($D232,Setup!$A$76:$C$87,3,FALSE)),Setup!$B$14),2))</f>
        <v/>
      </c>
      <c r="O232" s="89">
        <f>IF(OR($M232="",$E232=""),"",ROUND($M232*IFERROR(IF(VLOOKUP($E232,Setup!$A$76:$C$87,3,FALSE)="",Setup!$B$15,VLOOKUP($E232,Setup!$A$76:$C$87,3,FALSE)),Setup!$B$15),2))</f>
        <v/>
      </c>
      <c r="P232" s="98" t="n"/>
      <c r="Q232" s="98" t="n"/>
      <c r="R232" s="98" t="n"/>
      <c r="S232" s="98" t="n"/>
      <c r="T232" s="98" t="n"/>
      <c r="U232" s="89">
        <f>IF($K232="","",SUM($R232:$T232))</f>
        <v/>
      </c>
      <c r="V232" s="89">
        <f>IF($K232="","",$M232-(N($N232)+N($O232)+IF($P232="",Setup!$B$17,$P232)+N($Q232))-N($U232))</f>
        <v/>
      </c>
      <c r="W232" s="94" t="n"/>
      <c r="X232" s="95" t="n"/>
      <c r="Z232" s="92">
        <f>IF($A232="","",DATE(YEAR($A232),MONTH($A232),1))</f>
        <v/>
      </c>
    </row>
    <row r="233">
      <c r="A233" s="85" t="n"/>
      <c r="B233" s="86" t="n"/>
      <c r="C233" s="86" t="n"/>
      <c r="D233" s="87" t="n"/>
      <c r="E233" s="87" t="n"/>
      <c r="F233" s="87" t="n"/>
      <c r="G233" s="87" t="n"/>
      <c r="H233" s="88" t="n"/>
      <c r="I233" s="89">
        <f>IF($G233="","",IF($F233="",IFERROR(INDEX(Setup!$C$21:$C$60,MATCH("|"&amp;UPPER(TRIM($G233)),Setup!$Q$21:$Q$60,0)),"NO RATE"),IFERROR(INDEX(Setup!$C$21:$C$60,MATCH(UPPER(TRIM($F233))&amp;"|"&amp;UPPER(TRIM($G233)),Setup!$P$21:$P$60,0)),IFERROR(INDEX(Setup!$C$21:$C$60,MATCH(UPPER(TRIM($G233))&amp;"|"&amp;UPPER(TRIM($F233)),Setup!$P$21:$P$60,0)),"NO RATE"))))</f>
        <v/>
      </c>
      <c r="J233" s="90" t="n"/>
      <c r="K233" s="89">
        <f>IF(OR($G233="",$H233="",NOT(ISNUMBER($I233))),"",ROUND($H233*$I233*(1+IF($J233="",Setup!$B$16,$J233)),2))</f>
        <v/>
      </c>
      <c r="L233" s="89">
        <f>IF($K233="","",ROUND($K233*Setup!$B$13,2))</f>
        <v/>
      </c>
      <c r="M233" s="89">
        <f>IF($K233="","",$K233-$L233)</f>
        <v/>
      </c>
      <c r="N233" s="89">
        <f>IF(OR($M233="",$D233=""),"",ROUND($M233*IFERROR(IF(VLOOKUP($D233,Setup!$A$76:$C$87,3,FALSE)="",Setup!$B$14,VLOOKUP($D233,Setup!$A$76:$C$87,3,FALSE)),Setup!$B$14),2))</f>
        <v/>
      </c>
      <c r="O233" s="89">
        <f>IF(OR($M233="",$E233=""),"",ROUND($M233*IFERROR(IF(VLOOKUP($E233,Setup!$A$76:$C$87,3,FALSE)="",Setup!$B$15,VLOOKUP($E233,Setup!$A$76:$C$87,3,FALSE)),Setup!$B$15),2))</f>
        <v/>
      </c>
      <c r="P233" s="91" t="n"/>
      <c r="Q233" s="91" t="n"/>
      <c r="R233" s="91" t="n"/>
      <c r="S233" s="91" t="n"/>
      <c r="T233" s="91" t="n"/>
      <c r="U233" s="89">
        <f>IF($K233="","",SUM($R233:$T233))</f>
        <v/>
      </c>
      <c r="V233" s="89">
        <f>IF($K233="","",$M233-(N($N233)+N($O233)+IF($P233="",Setup!$B$17,$P233)+N($Q233))-N($U233))</f>
        <v/>
      </c>
      <c r="W233" s="86" t="n"/>
      <c r="X233" s="87" t="n"/>
      <c r="Z233" s="92">
        <f>IF($A233="","",DATE(YEAR($A233),MONTH($A233),1))</f>
        <v/>
      </c>
    </row>
    <row r="234">
      <c r="A234" s="93" t="n"/>
      <c r="B234" s="94" t="n"/>
      <c r="C234" s="94" t="n"/>
      <c r="D234" s="95" t="n"/>
      <c r="E234" s="95" t="n"/>
      <c r="F234" s="95" t="n"/>
      <c r="G234" s="95" t="n"/>
      <c r="H234" s="96" t="n"/>
      <c r="I234" s="89">
        <f>IF($G234="","",IF($F234="",IFERROR(INDEX(Setup!$C$21:$C$60,MATCH("|"&amp;UPPER(TRIM($G234)),Setup!$Q$21:$Q$60,0)),"NO RATE"),IFERROR(INDEX(Setup!$C$21:$C$60,MATCH(UPPER(TRIM($F234))&amp;"|"&amp;UPPER(TRIM($G234)),Setup!$P$21:$P$60,0)),IFERROR(INDEX(Setup!$C$21:$C$60,MATCH(UPPER(TRIM($G234))&amp;"|"&amp;UPPER(TRIM($F234)),Setup!$P$21:$P$60,0)),"NO RATE"))))</f>
        <v/>
      </c>
      <c r="J234" s="97" t="n"/>
      <c r="K234" s="89">
        <f>IF(OR($G234="",$H234="",NOT(ISNUMBER($I234))),"",ROUND($H234*$I234*(1+IF($J234="",Setup!$B$16,$J234)),2))</f>
        <v/>
      </c>
      <c r="L234" s="89">
        <f>IF($K234="","",ROUND($K234*Setup!$B$13,2))</f>
        <v/>
      </c>
      <c r="M234" s="89">
        <f>IF($K234="","",$K234-$L234)</f>
        <v/>
      </c>
      <c r="N234" s="89">
        <f>IF(OR($M234="",$D234=""),"",ROUND($M234*IFERROR(IF(VLOOKUP($D234,Setup!$A$76:$C$87,3,FALSE)="",Setup!$B$14,VLOOKUP($D234,Setup!$A$76:$C$87,3,FALSE)),Setup!$B$14),2))</f>
        <v/>
      </c>
      <c r="O234" s="89">
        <f>IF(OR($M234="",$E234=""),"",ROUND($M234*IFERROR(IF(VLOOKUP($E234,Setup!$A$76:$C$87,3,FALSE)="",Setup!$B$15,VLOOKUP($E234,Setup!$A$76:$C$87,3,FALSE)),Setup!$B$15),2))</f>
        <v/>
      </c>
      <c r="P234" s="98" t="n"/>
      <c r="Q234" s="98" t="n"/>
      <c r="R234" s="98" t="n"/>
      <c r="S234" s="98" t="n"/>
      <c r="T234" s="98" t="n"/>
      <c r="U234" s="89">
        <f>IF($K234="","",SUM($R234:$T234))</f>
        <v/>
      </c>
      <c r="V234" s="89">
        <f>IF($K234="","",$M234-(N($N234)+N($O234)+IF($P234="",Setup!$B$17,$P234)+N($Q234))-N($U234))</f>
        <v/>
      </c>
      <c r="W234" s="94" t="n"/>
      <c r="X234" s="95" t="n"/>
      <c r="Z234" s="92">
        <f>IF($A234="","",DATE(YEAR($A234),MONTH($A234),1))</f>
        <v/>
      </c>
    </row>
    <row r="235">
      <c r="A235" s="85" t="n"/>
      <c r="B235" s="86" t="n"/>
      <c r="C235" s="86" t="n"/>
      <c r="D235" s="87" t="n"/>
      <c r="E235" s="87" t="n"/>
      <c r="F235" s="87" t="n"/>
      <c r="G235" s="87" t="n"/>
      <c r="H235" s="88" t="n"/>
      <c r="I235" s="89">
        <f>IF($G235="","",IF($F235="",IFERROR(INDEX(Setup!$C$21:$C$60,MATCH("|"&amp;UPPER(TRIM($G235)),Setup!$Q$21:$Q$60,0)),"NO RATE"),IFERROR(INDEX(Setup!$C$21:$C$60,MATCH(UPPER(TRIM($F235))&amp;"|"&amp;UPPER(TRIM($G235)),Setup!$P$21:$P$60,0)),IFERROR(INDEX(Setup!$C$21:$C$60,MATCH(UPPER(TRIM($G235))&amp;"|"&amp;UPPER(TRIM($F235)),Setup!$P$21:$P$60,0)),"NO RATE"))))</f>
        <v/>
      </c>
      <c r="J235" s="90" t="n"/>
      <c r="K235" s="89">
        <f>IF(OR($G235="",$H235="",NOT(ISNUMBER($I235))),"",ROUND($H235*$I235*(1+IF($J235="",Setup!$B$16,$J235)),2))</f>
        <v/>
      </c>
      <c r="L235" s="89">
        <f>IF($K235="","",ROUND($K235*Setup!$B$13,2))</f>
        <v/>
      </c>
      <c r="M235" s="89">
        <f>IF($K235="","",$K235-$L235)</f>
        <v/>
      </c>
      <c r="N235" s="89">
        <f>IF(OR($M235="",$D235=""),"",ROUND($M235*IFERROR(IF(VLOOKUP($D235,Setup!$A$76:$C$87,3,FALSE)="",Setup!$B$14,VLOOKUP($D235,Setup!$A$76:$C$87,3,FALSE)),Setup!$B$14),2))</f>
        <v/>
      </c>
      <c r="O235" s="89">
        <f>IF(OR($M235="",$E235=""),"",ROUND($M235*IFERROR(IF(VLOOKUP($E235,Setup!$A$76:$C$87,3,FALSE)="",Setup!$B$15,VLOOKUP($E235,Setup!$A$76:$C$87,3,FALSE)),Setup!$B$15),2))</f>
        <v/>
      </c>
      <c r="P235" s="91" t="n"/>
      <c r="Q235" s="91" t="n"/>
      <c r="R235" s="91" t="n"/>
      <c r="S235" s="91" t="n"/>
      <c r="T235" s="91" t="n"/>
      <c r="U235" s="89">
        <f>IF($K235="","",SUM($R235:$T235))</f>
        <v/>
      </c>
      <c r="V235" s="89">
        <f>IF($K235="","",$M235-(N($N235)+N($O235)+IF($P235="",Setup!$B$17,$P235)+N($Q235))-N($U235))</f>
        <v/>
      </c>
      <c r="W235" s="86" t="n"/>
      <c r="X235" s="87" t="n"/>
      <c r="Z235" s="92">
        <f>IF($A235="","",DATE(YEAR($A235),MONTH($A235),1))</f>
        <v/>
      </c>
    </row>
    <row r="236">
      <c r="A236" s="93" t="n"/>
      <c r="B236" s="94" t="n"/>
      <c r="C236" s="94" t="n"/>
      <c r="D236" s="95" t="n"/>
      <c r="E236" s="95" t="n"/>
      <c r="F236" s="95" t="n"/>
      <c r="G236" s="95" t="n"/>
      <c r="H236" s="96" t="n"/>
      <c r="I236" s="89">
        <f>IF($G236="","",IF($F236="",IFERROR(INDEX(Setup!$C$21:$C$60,MATCH("|"&amp;UPPER(TRIM($G236)),Setup!$Q$21:$Q$60,0)),"NO RATE"),IFERROR(INDEX(Setup!$C$21:$C$60,MATCH(UPPER(TRIM($F236))&amp;"|"&amp;UPPER(TRIM($G236)),Setup!$P$21:$P$60,0)),IFERROR(INDEX(Setup!$C$21:$C$60,MATCH(UPPER(TRIM($G236))&amp;"|"&amp;UPPER(TRIM($F236)),Setup!$P$21:$P$60,0)),"NO RATE"))))</f>
        <v/>
      </c>
      <c r="J236" s="97" t="n"/>
      <c r="K236" s="89">
        <f>IF(OR($G236="",$H236="",NOT(ISNUMBER($I236))),"",ROUND($H236*$I236*(1+IF($J236="",Setup!$B$16,$J236)),2))</f>
        <v/>
      </c>
      <c r="L236" s="89">
        <f>IF($K236="","",ROUND($K236*Setup!$B$13,2))</f>
        <v/>
      </c>
      <c r="M236" s="89">
        <f>IF($K236="","",$K236-$L236)</f>
        <v/>
      </c>
      <c r="N236" s="89">
        <f>IF(OR($M236="",$D236=""),"",ROUND($M236*IFERROR(IF(VLOOKUP($D236,Setup!$A$76:$C$87,3,FALSE)="",Setup!$B$14,VLOOKUP($D236,Setup!$A$76:$C$87,3,FALSE)),Setup!$B$14),2))</f>
        <v/>
      </c>
      <c r="O236" s="89">
        <f>IF(OR($M236="",$E236=""),"",ROUND($M236*IFERROR(IF(VLOOKUP($E236,Setup!$A$76:$C$87,3,FALSE)="",Setup!$B$15,VLOOKUP($E236,Setup!$A$76:$C$87,3,FALSE)),Setup!$B$15),2))</f>
        <v/>
      </c>
      <c r="P236" s="98" t="n"/>
      <c r="Q236" s="98" t="n"/>
      <c r="R236" s="98" t="n"/>
      <c r="S236" s="98" t="n"/>
      <c r="T236" s="98" t="n"/>
      <c r="U236" s="89">
        <f>IF($K236="","",SUM($R236:$T236))</f>
        <v/>
      </c>
      <c r="V236" s="89">
        <f>IF($K236="","",$M236-(N($N236)+N($O236)+IF($P236="",Setup!$B$17,$P236)+N($Q236))-N($U236))</f>
        <v/>
      </c>
      <c r="W236" s="94" t="n"/>
      <c r="X236" s="95" t="n"/>
      <c r="Z236" s="92">
        <f>IF($A236="","",DATE(YEAR($A236),MONTH($A236),1))</f>
        <v/>
      </c>
    </row>
    <row r="237">
      <c r="A237" s="85" t="n"/>
      <c r="B237" s="86" t="n"/>
      <c r="C237" s="86" t="n"/>
      <c r="D237" s="87" t="n"/>
      <c r="E237" s="87" t="n"/>
      <c r="F237" s="87" t="n"/>
      <c r="G237" s="87" t="n"/>
      <c r="H237" s="88" t="n"/>
      <c r="I237" s="89">
        <f>IF($G237="","",IF($F237="",IFERROR(INDEX(Setup!$C$21:$C$60,MATCH("|"&amp;UPPER(TRIM($G237)),Setup!$Q$21:$Q$60,0)),"NO RATE"),IFERROR(INDEX(Setup!$C$21:$C$60,MATCH(UPPER(TRIM($F237))&amp;"|"&amp;UPPER(TRIM($G237)),Setup!$P$21:$P$60,0)),IFERROR(INDEX(Setup!$C$21:$C$60,MATCH(UPPER(TRIM($G237))&amp;"|"&amp;UPPER(TRIM($F237)),Setup!$P$21:$P$60,0)),"NO RATE"))))</f>
        <v/>
      </c>
      <c r="J237" s="90" t="n"/>
      <c r="K237" s="89">
        <f>IF(OR($G237="",$H237="",NOT(ISNUMBER($I237))),"",ROUND($H237*$I237*(1+IF($J237="",Setup!$B$16,$J237)),2))</f>
        <v/>
      </c>
      <c r="L237" s="89">
        <f>IF($K237="","",ROUND($K237*Setup!$B$13,2))</f>
        <v/>
      </c>
      <c r="M237" s="89">
        <f>IF($K237="","",$K237-$L237)</f>
        <v/>
      </c>
      <c r="N237" s="89">
        <f>IF(OR($M237="",$D237=""),"",ROUND($M237*IFERROR(IF(VLOOKUP($D237,Setup!$A$76:$C$87,3,FALSE)="",Setup!$B$14,VLOOKUP($D237,Setup!$A$76:$C$87,3,FALSE)),Setup!$B$14),2))</f>
        <v/>
      </c>
      <c r="O237" s="89">
        <f>IF(OR($M237="",$E237=""),"",ROUND($M237*IFERROR(IF(VLOOKUP($E237,Setup!$A$76:$C$87,3,FALSE)="",Setup!$B$15,VLOOKUP($E237,Setup!$A$76:$C$87,3,FALSE)),Setup!$B$15),2))</f>
        <v/>
      </c>
      <c r="P237" s="91" t="n"/>
      <c r="Q237" s="91" t="n"/>
      <c r="R237" s="91" t="n"/>
      <c r="S237" s="91" t="n"/>
      <c r="T237" s="91" t="n"/>
      <c r="U237" s="89">
        <f>IF($K237="","",SUM($R237:$T237))</f>
        <v/>
      </c>
      <c r="V237" s="89">
        <f>IF($K237="","",$M237-(N($N237)+N($O237)+IF($P237="",Setup!$B$17,$P237)+N($Q237))-N($U237))</f>
        <v/>
      </c>
      <c r="W237" s="86" t="n"/>
      <c r="X237" s="87" t="n"/>
      <c r="Z237" s="92">
        <f>IF($A237="","",DATE(YEAR($A237),MONTH($A237),1))</f>
        <v/>
      </c>
    </row>
    <row r="238">
      <c r="A238" s="93" t="n"/>
      <c r="B238" s="94" t="n"/>
      <c r="C238" s="94" t="n"/>
      <c r="D238" s="95" t="n"/>
      <c r="E238" s="95" t="n"/>
      <c r="F238" s="95" t="n"/>
      <c r="G238" s="95" t="n"/>
      <c r="H238" s="96" t="n"/>
      <c r="I238" s="89">
        <f>IF($G238="","",IF($F238="",IFERROR(INDEX(Setup!$C$21:$C$60,MATCH("|"&amp;UPPER(TRIM($G238)),Setup!$Q$21:$Q$60,0)),"NO RATE"),IFERROR(INDEX(Setup!$C$21:$C$60,MATCH(UPPER(TRIM($F238))&amp;"|"&amp;UPPER(TRIM($G238)),Setup!$P$21:$P$60,0)),IFERROR(INDEX(Setup!$C$21:$C$60,MATCH(UPPER(TRIM($G238))&amp;"|"&amp;UPPER(TRIM($F238)),Setup!$P$21:$P$60,0)),"NO RATE"))))</f>
        <v/>
      </c>
      <c r="J238" s="97" t="n"/>
      <c r="K238" s="89">
        <f>IF(OR($G238="",$H238="",NOT(ISNUMBER($I238))),"",ROUND($H238*$I238*(1+IF($J238="",Setup!$B$16,$J238)),2))</f>
        <v/>
      </c>
      <c r="L238" s="89">
        <f>IF($K238="","",ROUND($K238*Setup!$B$13,2))</f>
        <v/>
      </c>
      <c r="M238" s="89">
        <f>IF($K238="","",$K238-$L238)</f>
        <v/>
      </c>
      <c r="N238" s="89">
        <f>IF(OR($M238="",$D238=""),"",ROUND($M238*IFERROR(IF(VLOOKUP($D238,Setup!$A$76:$C$87,3,FALSE)="",Setup!$B$14,VLOOKUP($D238,Setup!$A$76:$C$87,3,FALSE)),Setup!$B$14),2))</f>
        <v/>
      </c>
      <c r="O238" s="89">
        <f>IF(OR($M238="",$E238=""),"",ROUND($M238*IFERROR(IF(VLOOKUP($E238,Setup!$A$76:$C$87,3,FALSE)="",Setup!$B$15,VLOOKUP($E238,Setup!$A$76:$C$87,3,FALSE)),Setup!$B$15),2))</f>
        <v/>
      </c>
      <c r="P238" s="98" t="n"/>
      <c r="Q238" s="98" t="n"/>
      <c r="R238" s="98" t="n"/>
      <c r="S238" s="98" t="n"/>
      <c r="T238" s="98" t="n"/>
      <c r="U238" s="89">
        <f>IF($K238="","",SUM($R238:$T238))</f>
        <v/>
      </c>
      <c r="V238" s="89">
        <f>IF($K238="","",$M238-(N($N238)+N($O238)+IF($P238="",Setup!$B$17,$P238)+N($Q238))-N($U238))</f>
        <v/>
      </c>
      <c r="W238" s="94" t="n"/>
      <c r="X238" s="95" t="n"/>
      <c r="Z238" s="92">
        <f>IF($A238="","",DATE(YEAR($A238),MONTH($A238),1))</f>
        <v/>
      </c>
    </row>
    <row r="239">
      <c r="A239" s="85" t="n"/>
      <c r="B239" s="86" t="n"/>
      <c r="C239" s="86" t="n"/>
      <c r="D239" s="87" t="n"/>
      <c r="E239" s="87" t="n"/>
      <c r="F239" s="87" t="n"/>
      <c r="G239" s="87" t="n"/>
      <c r="H239" s="88" t="n"/>
      <c r="I239" s="89">
        <f>IF($G239="","",IF($F239="",IFERROR(INDEX(Setup!$C$21:$C$60,MATCH("|"&amp;UPPER(TRIM($G239)),Setup!$Q$21:$Q$60,0)),"NO RATE"),IFERROR(INDEX(Setup!$C$21:$C$60,MATCH(UPPER(TRIM($F239))&amp;"|"&amp;UPPER(TRIM($G239)),Setup!$P$21:$P$60,0)),IFERROR(INDEX(Setup!$C$21:$C$60,MATCH(UPPER(TRIM($G239))&amp;"|"&amp;UPPER(TRIM($F239)),Setup!$P$21:$P$60,0)),"NO RATE"))))</f>
        <v/>
      </c>
      <c r="J239" s="90" t="n"/>
      <c r="K239" s="89">
        <f>IF(OR($G239="",$H239="",NOT(ISNUMBER($I239))),"",ROUND($H239*$I239*(1+IF($J239="",Setup!$B$16,$J239)),2))</f>
        <v/>
      </c>
      <c r="L239" s="89">
        <f>IF($K239="","",ROUND($K239*Setup!$B$13,2))</f>
        <v/>
      </c>
      <c r="M239" s="89">
        <f>IF($K239="","",$K239-$L239)</f>
        <v/>
      </c>
      <c r="N239" s="89">
        <f>IF(OR($M239="",$D239=""),"",ROUND($M239*IFERROR(IF(VLOOKUP($D239,Setup!$A$76:$C$87,3,FALSE)="",Setup!$B$14,VLOOKUP($D239,Setup!$A$76:$C$87,3,FALSE)),Setup!$B$14),2))</f>
        <v/>
      </c>
      <c r="O239" s="89">
        <f>IF(OR($M239="",$E239=""),"",ROUND($M239*IFERROR(IF(VLOOKUP($E239,Setup!$A$76:$C$87,3,FALSE)="",Setup!$B$15,VLOOKUP($E239,Setup!$A$76:$C$87,3,FALSE)),Setup!$B$15),2))</f>
        <v/>
      </c>
      <c r="P239" s="91" t="n"/>
      <c r="Q239" s="91" t="n"/>
      <c r="R239" s="91" t="n"/>
      <c r="S239" s="91" t="n"/>
      <c r="T239" s="91" t="n"/>
      <c r="U239" s="89">
        <f>IF($K239="","",SUM($R239:$T239))</f>
        <v/>
      </c>
      <c r="V239" s="89">
        <f>IF($K239="","",$M239-(N($N239)+N($O239)+IF($P239="",Setup!$B$17,$P239)+N($Q239))-N($U239))</f>
        <v/>
      </c>
      <c r="W239" s="86" t="n"/>
      <c r="X239" s="87" t="n"/>
      <c r="Z239" s="92">
        <f>IF($A239="","",DATE(YEAR($A239),MONTH($A239),1))</f>
        <v/>
      </c>
    </row>
    <row r="240">
      <c r="A240" s="93" t="n"/>
      <c r="B240" s="94" t="n"/>
      <c r="C240" s="94" t="n"/>
      <c r="D240" s="95" t="n"/>
      <c r="E240" s="95" t="n"/>
      <c r="F240" s="95" t="n"/>
      <c r="G240" s="95" t="n"/>
      <c r="H240" s="96" t="n"/>
      <c r="I240" s="89">
        <f>IF($G240="","",IF($F240="",IFERROR(INDEX(Setup!$C$21:$C$60,MATCH("|"&amp;UPPER(TRIM($G240)),Setup!$Q$21:$Q$60,0)),"NO RATE"),IFERROR(INDEX(Setup!$C$21:$C$60,MATCH(UPPER(TRIM($F240))&amp;"|"&amp;UPPER(TRIM($G240)),Setup!$P$21:$P$60,0)),IFERROR(INDEX(Setup!$C$21:$C$60,MATCH(UPPER(TRIM($G240))&amp;"|"&amp;UPPER(TRIM($F240)),Setup!$P$21:$P$60,0)),"NO RATE"))))</f>
        <v/>
      </c>
      <c r="J240" s="97" t="n"/>
      <c r="K240" s="89">
        <f>IF(OR($G240="",$H240="",NOT(ISNUMBER($I240))),"",ROUND($H240*$I240*(1+IF($J240="",Setup!$B$16,$J240)),2))</f>
        <v/>
      </c>
      <c r="L240" s="89">
        <f>IF($K240="","",ROUND($K240*Setup!$B$13,2))</f>
        <v/>
      </c>
      <c r="M240" s="89">
        <f>IF($K240="","",$K240-$L240)</f>
        <v/>
      </c>
      <c r="N240" s="89">
        <f>IF(OR($M240="",$D240=""),"",ROUND($M240*IFERROR(IF(VLOOKUP($D240,Setup!$A$76:$C$87,3,FALSE)="",Setup!$B$14,VLOOKUP($D240,Setup!$A$76:$C$87,3,FALSE)),Setup!$B$14),2))</f>
        <v/>
      </c>
      <c r="O240" s="89">
        <f>IF(OR($M240="",$E240=""),"",ROUND($M240*IFERROR(IF(VLOOKUP($E240,Setup!$A$76:$C$87,3,FALSE)="",Setup!$B$15,VLOOKUP($E240,Setup!$A$76:$C$87,3,FALSE)),Setup!$B$15),2))</f>
        <v/>
      </c>
      <c r="P240" s="98" t="n"/>
      <c r="Q240" s="98" t="n"/>
      <c r="R240" s="98" t="n"/>
      <c r="S240" s="98" t="n"/>
      <c r="T240" s="98" t="n"/>
      <c r="U240" s="89">
        <f>IF($K240="","",SUM($R240:$T240))</f>
        <v/>
      </c>
      <c r="V240" s="89">
        <f>IF($K240="","",$M240-(N($N240)+N($O240)+IF($P240="",Setup!$B$17,$P240)+N($Q240))-N($U240))</f>
        <v/>
      </c>
      <c r="W240" s="94" t="n"/>
      <c r="X240" s="95" t="n"/>
      <c r="Z240" s="92">
        <f>IF($A240="","",DATE(YEAR($A240),MONTH($A240),1))</f>
        <v/>
      </c>
    </row>
    <row r="241">
      <c r="A241" s="85" t="n"/>
      <c r="B241" s="86" t="n"/>
      <c r="C241" s="86" t="n"/>
      <c r="D241" s="87" t="n"/>
      <c r="E241" s="87" t="n"/>
      <c r="F241" s="87" t="n"/>
      <c r="G241" s="87" t="n"/>
      <c r="H241" s="88" t="n"/>
      <c r="I241" s="89">
        <f>IF($G241="","",IF($F241="",IFERROR(INDEX(Setup!$C$21:$C$60,MATCH("|"&amp;UPPER(TRIM($G241)),Setup!$Q$21:$Q$60,0)),"NO RATE"),IFERROR(INDEX(Setup!$C$21:$C$60,MATCH(UPPER(TRIM($F241))&amp;"|"&amp;UPPER(TRIM($G241)),Setup!$P$21:$P$60,0)),IFERROR(INDEX(Setup!$C$21:$C$60,MATCH(UPPER(TRIM($G241))&amp;"|"&amp;UPPER(TRIM($F241)),Setup!$P$21:$P$60,0)),"NO RATE"))))</f>
        <v/>
      </c>
      <c r="J241" s="90" t="n"/>
      <c r="K241" s="89">
        <f>IF(OR($G241="",$H241="",NOT(ISNUMBER($I241))),"",ROUND($H241*$I241*(1+IF($J241="",Setup!$B$16,$J241)),2))</f>
        <v/>
      </c>
      <c r="L241" s="89">
        <f>IF($K241="","",ROUND($K241*Setup!$B$13,2))</f>
        <v/>
      </c>
      <c r="M241" s="89">
        <f>IF($K241="","",$K241-$L241)</f>
        <v/>
      </c>
      <c r="N241" s="89">
        <f>IF(OR($M241="",$D241=""),"",ROUND($M241*IFERROR(IF(VLOOKUP($D241,Setup!$A$76:$C$87,3,FALSE)="",Setup!$B$14,VLOOKUP($D241,Setup!$A$76:$C$87,3,FALSE)),Setup!$B$14),2))</f>
        <v/>
      </c>
      <c r="O241" s="89">
        <f>IF(OR($M241="",$E241=""),"",ROUND($M241*IFERROR(IF(VLOOKUP($E241,Setup!$A$76:$C$87,3,FALSE)="",Setup!$B$15,VLOOKUP($E241,Setup!$A$76:$C$87,3,FALSE)),Setup!$B$15),2))</f>
        <v/>
      </c>
      <c r="P241" s="91" t="n"/>
      <c r="Q241" s="91" t="n"/>
      <c r="R241" s="91" t="n"/>
      <c r="S241" s="91" t="n"/>
      <c r="T241" s="91" t="n"/>
      <c r="U241" s="89">
        <f>IF($K241="","",SUM($R241:$T241))</f>
        <v/>
      </c>
      <c r="V241" s="89">
        <f>IF($K241="","",$M241-(N($N241)+N($O241)+IF($P241="",Setup!$B$17,$P241)+N($Q241))-N($U241))</f>
        <v/>
      </c>
      <c r="W241" s="86" t="n"/>
      <c r="X241" s="87" t="n"/>
      <c r="Z241" s="92">
        <f>IF($A241="","",DATE(YEAR($A241),MONTH($A241),1))</f>
        <v/>
      </c>
    </row>
    <row r="242">
      <c r="A242" s="93" t="n"/>
      <c r="B242" s="94" t="n"/>
      <c r="C242" s="94" t="n"/>
      <c r="D242" s="95" t="n"/>
      <c r="E242" s="95" t="n"/>
      <c r="F242" s="95" t="n"/>
      <c r="G242" s="95" t="n"/>
      <c r="H242" s="96" t="n"/>
      <c r="I242" s="89">
        <f>IF($G242="","",IF($F242="",IFERROR(INDEX(Setup!$C$21:$C$60,MATCH("|"&amp;UPPER(TRIM($G242)),Setup!$Q$21:$Q$60,0)),"NO RATE"),IFERROR(INDEX(Setup!$C$21:$C$60,MATCH(UPPER(TRIM($F242))&amp;"|"&amp;UPPER(TRIM($G242)),Setup!$P$21:$P$60,0)),IFERROR(INDEX(Setup!$C$21:$C$60,MATCH(UPPER(TRIM($G242))&amp;"|"&amp;UPPER(TRIM($F242)),Setup!$P$21:$P$60,0)),"NO RATE"))))</f>
        <v/>
      </c>
      <c r="J242" s="97" t="n"/>
      <c r="K242" s="89">
        <f>IF(OR($G242="",$H242="",NOT(ISNUMBER($I242))),"",ROUND($H242*$I242*(1+IF($J242="",Setup!$B$16,$J242)),2))</f>
        <v/>
      </c>
      <c r="L242" s="89">
        <f>IF($K242="","",ROUND($K242*Setup!$B$13,2))</f>
        <v/>
      </c>
      <c r="M242" s="89">
        <f>IF($K242="","",$K242-$L242)</f>
        <v/>
      </c>
      <c r="N242" s="89">
        <f>IF(OR($M242="",$D242=""),"",ROUND($M242*IFERROR(IF(VLOOKUP($D242,Setup!$A$76:$C$87,3,FALSE)="",Setup!$B$14,VLOOKUP($D242,Setup!$A$76:$C$87,3,FALSE)),Setup!$B$14),2))</f>
        <v/>
      </c>
      <c r="O242" s="89">
        <f>IF(OR($M242="",$E242=""),"",ROUND($M242*IFERROR(IF(VLOOKUP($E242,Setup!$A$76:$C$87,3,FALSE)="",Setup!$B$15,VLOOKUP($E242,Setup!$A$76:$C$87,3,FALSE)),Setup!$B$15),2))</f>
        <v/>
      </c>
      <c r="P242" s="98" t="n"/>
      <c r="Q242" s="98" t="n"/>
      <c r="R242" s="98" t="n"/>
      <c r="S242" s="98" t="n"/>
      <c r="T242" s="98" t="n"/>
      <c r="U242" s="89">
        <f>IF($K242="","",SUM($R242:$T242))</f>
        <v/>
      </c>
      <c r="V242" s="89">
        <f>IF($K242="","",$M242-(N($N242)+N($O242)+IF($P242="",Setup!$B$17,$P242)+N($Q242))-N($U242))</f>
        <v/>
      </c>
      <c r="W242" s="94" t="n"/>
      <c r="X242" s="95" t="n"/>
      <c r="Z242" s="92">
        <f>IF($A242="","",DATE(YEAR($A242),MONTH($A242),1))</f>
        <v/>
      </c>
    </row>
    <row r="243">
      <c r="A243" s="85" t="n"/>
      <c r="B243" s="86" t="n"/>
      <c r="C243" s="86" t="n"/>
      <c r="D243" s="87" t="n"/>
      <c r="E243" s="87" t="n"/>
      <c r="F243" s="87" t="n"/>
      <c r="G243" s="87" t="n"/>
      <c r="H243" s="88" t="n"/>
      <c r="I243" s="89">
        <f>IF($G243="","",IF($F243="",IFERROR(INDEX(Setup!$C$21:$C$60,MATCH("|"&amp;UPPER(TRIM($G243)),Setup!$Q$21:$Q$60,0)),"NO RATE"),IFERROR(INDEX(Setup!$C$21:$C$60,MATCH(UPPER(TRIM($F243))&amp;"|"&amp;UPPER(TRIM($G243)),Setup!$P$21:$P$60,0)),IFERROR(INDEX(Setup!$C$21:$C$60,MATCH(UPPER(TRIM($G243))&amp;"|"&amp;UPPER(TRIM($F243)),Setup!$P$21:$P$60,0)),"NO RATE"))))</f>
        <v/>
      </c>
      <c r="J243" s="90" t="n"/>
      <c r="K243" s="89">
        <f>IF(OR($G243="",$H243="",NOT(ISNUMBER($I243))),"",ROUND($H243*$I243*(1+IF($J243="",Setup!$B$16,$J243)),2))</f>
        <v/>
      </c>
      <c r="L243" s="89">
        <f>IF($K243="","",ROUND($K243*Setup!$B$13,2))</f>
        <v/>
      </c>
      <c r="M243" s="89">
        <f>IF($K243="","",$K243-$L243)</f>
        <v/>
      </c>
      <c r="N243" s="89">
        <f>IF(OR($M243="",$D243=""),"",ROUND($M243*IFERROR(IF(VLOOKUP($D243,Setup!$A$76:$C$87,3,FALSE)="",Setup!$B$14,VLOOKUP($D243,Setup!$A$76:$C$87,3,FALSE)),Setup!$B$14),2))</f>
        <v/>
      </c>
      <c r="O243" s="89">
        <f>IF(OR($M243="",$E243=""),"",ROUND($M243*IFERROR(IF(VLOOKUP($E243,Setup!$A$76:$C$87,3,FALSE)="",Setup!$B$15,VLOOKUP($E243,Setup!$A$76:$C$87,3,FALSE)),Setup!$B$15),2))</f>
        <v/>
      </c>
      <c r="P243" s="91" t="n"/>
      <c r="Q243" s="91" t="n"/>
      <c r="R243" s="91" t="n"/>
      <c r="S243" s="91" t="n"/>
      <c r="T243" s="91" t="n"/>
      <c r="U243" s="89">
        <f>IF($K243="","",SUM($R243:$T243))</f>
        <v/>
      </c>
      <c r="V243" s="89">
        <f>IF($K243="","",$M243-(N($N243)+N($O243)+IF($P243="",Setup!$B$17,$P243)+N($Q243))-N($U243))</f>
        <v/>
      </c>
      <c r="W243" s="86" t="n"/>
      <c r="X243" s="87" t="n"/>
      <c r="Z243" s="92">
        <f>IF($A243="","",DATE(YEAR($A243),MONTH($A243),1))</f>
        <v/>
      </c>
    </row>
    <row r="244">
      <c r="A244" s="93" t="n"/>
      <c r="B244" s="94" t="n"/>
      <c r="C244" s="94" t="n"/>
      <c r="D244" s="95" t="n"/>
      <c r="E244" s="95" t="n"/>
      <c r="F244" s="95" t="n"/>
      <c r="G244" s="95" t="n"/>
      <c r="H244" s="96" t="n"/>
      <c r="I244" s="89">
        <f>IF($G244="","",IF($F244="",IFERROR(INDEX(Setup!$C$21:$C$60,MATCH("|"&amp;UPPER(TRIM($G244)),Setup!$Q$21:$Q$60,0)),"NO RATE"),IFERROR(INDEX(Setup!$C$21:$C$60,MATCH(UPPER(TRIM($F244))&amp;"|"&amp;UPPER(TRIM($G244)),Setup!$P$21:$P$60,0)),IFERROR(INDEX(Setup!$C$21:$C$60,MATCH(UPPER(TRIM($G244))&amp;"|"&amp;UPPER(TRIM($F244)),Setup!$P$21:$P$60,0)),"NO RATE"))))</f>
        <v/>
      </c>
      <c r="J244" s="97" t="n"/>
      <c r="K244" s="89">
        <f>IF(OR($G244="",$H244="",NOT(ISNUMBER($I244))),"",ROUND($H244*$I244*(1+IF($J244="",Setup!$B$16,$J244)),2))</f>
        <v/>
      </c>
      <c r="L244" s="89">
        <f>IF($K244="","",ROUND($K244*Setup!$B$13,2))</f>
        <v/>
      </c>
      <c r="M244" s="89">
        <f>IF($K244="","",$K244-$L244)</f>
        <v/>
      </c>
      <c r="N244" s="89">
        <f>IF(OR($M244="",$D244=""),"",ROUND($M244*IFERROR(IF(VLOOKUP($D244,Setup!$A$76:$C$87,3,FALSE)="",Setup!$B$14,VLOOKUP($D244,Setup!$A$76:$C$87,3,FALSE)),Setup!$B$14),2))</f>
        <v/>
      </c>
      <c r="O244" s="89">
        <f>IF(OR($M244="",$E244=""),"",ROUND($M244*IFERROR(IF(VLOOKUP($E244,Setup!$A$76:$C$87,3,FALSE)="",Setup!$B$15,VLOOKUP($E244,Setup!$A$76:$C$87,3,FALSE)),Setup!$B$15),2))</f>
        <v/>
      </c>
      <c r="P244" s="98" t="n"/>
      <c r="Q244" s="98" t="n"/>
      <c r="R244" s="98" t="n"/>
      <c r="S244" s="98" t="n"/>
      <c r="T244" s="98" t="n"/>
      <c r="U244" s="89">
        <f>IF($K244="","",SUM($R244:$T244))</f>
        <v/>
      </c>
      <c r="V244" s="89">
        <f>IF($K244="","",$M244-(N($N244)+N($O244)+IF($P244="",Setup!$B$17,$P244)+N($Q244))-N($U244))</f>
        <v/>
      </c>
      <c r="W244" s="94" t="n"/>
      <c r="X244" s="95" t="n"/>
      <c r="Z244" s="92">
        <f>IF($A244="","",DATE(YEAR($A244),MONTH($A244),1))</f>
        <v/>
      </c>
    </row>
    <row r="245">
      <c r="A245" s="85" t="n"/>
      <c r="B245" s="86" t="n"/>
      <c r="C245" s="86" t="n"/>
      <c r="D245" s="87" t="n"/>
      <c r="E245" s="87" t="n"/>
      <c r="F245" s="87" t="n"/>
      <c r="G245" s="87" t="n"/>
      <c r="H245" s="88" t="n"/>
      <c r="I245" s="89">
        <f>IF($G245="","",IF($F245="",IFERROR(INDEX(Setup!$C$21:$C$60,MATCH("|"&amp;UPPER(TRIM($G245)),Setup!$Q$21:$Q$60,0)),"NO RATE"),IFERROR(INDEX(Setup!$C$21:$C$60,MATCH(UPPER(TRIM($F245))&amp;"|"&amp;UPPER(TRIM($G245)),Setup!$P$21:$P$60,0)),IFERROR(INDEX(Setup!$C$21:$C$60,MATCH(UPPER(TRIM($G245))&amp;"|"&amp;UPPER(TRIM($F245)),Setup!$P$21:$P$60,0)),"NO RATE"))))</f>
        <v/>
      </c>
      <c r="J245" s="90" t="n"/>
      <c r="K245" s="89">
        <f>IF(OR($G245="",$H245="",NOT(ISNUMBER($I245))),"",ROUND($H245*$I245*(1+IF($J245="",Setup!$B$16,$J245)),2))</f>
        <v/>
      </c>
      <c r="L245" s="89">
        <f>IF($K245="","",ROUND($K245*Setup!$B$13,2))</f>
        <v/>
      </c>
      <c r="M245" s="89">
        <f>IF($K245="","",$K245-$L245)</f>
        <v/>
      </c>
      <c r="N245" s="89">
        <f>IF(OR($M245="",$D245=""),"",ROUND($M245*IFERROR(IF(VLOOKUP($D245,Setup!$A$76:$C$87,3,FALSE)="",Setup!$B$14,VLOOKUP($D245,Setup!$A$76:$C$87,3,FALSE)),Setup!$B$14),2))</f>
        <v/>
      </c>
      <c r="O245" s="89">
        <f>IF(OR($M245="",$E245=""),"",ROUND($M245*IFERROR(IF(VLOOKUP($E245,Setup!$A$76:$C$87,3,FALSE)="",Setup!$B$15,VLOOKUP($E245,Setup!$A$76:$C$87,3,FALSE)),Setup!$B$15),2))</f>
        <v/>
      </c>
      <c r="P245" s="91" t="n"/>
      <c r="Q245" s="91" t="n"/>
      <c r="R245" s="91" t="n"/>
      <c r="S245" s="91" t="n"/>
      <c r="T245" s="91" t="n"/>
      <c r="U245" s="89">
        <f>IF($K245="","",SUM($R245:$T245))</f>
        <v/>
      </c>
      <c r="V245" s="89">
        <f>IF($K245="","",$M245-(N($N245)+N($O245)+IF($P245="",Setup!$B$17,$P245)+N($Q245))-N($U245))</f>
        <v/>
      </c>
      <c r="W245" s="86" t="n"/>
      <c r="X245" s="87" t="n"/>
      <c r="Z245" s="92">
        <f>IF($A245="","",DATE(YEAR($A245),MONTH($A245),1))</f>
        <v/>
      </c>
    </row>
    <row r="246">
      <c r="A246" s="93" t="n"/>
      <c r="B246" s="94" t="n"/>
      <c r="C246" s="94" t="n"/>
      <c r="D246" s="95" t="n"/>
      <c r="E246" s="95" t="n"/>
      <c r="F246" s="95" t="n"/>
      <c r="G246" s="95" t="n"/>
      <c r="H246" s="96" t="n"/>
      <c r="I246" s="89">
        <f>IF($G246="","",IF($F246="",IFERROR(INDEX(Setup!$C$21:$C$60,MATCH("|"&amp;UPPER(TRIM($G246)),Setup!$Q$21:$Q$60,0)),"NO RATE"),IFERROR(INDEX(Setup!$C$21:$C$60,MATCH(UPPER(TRIM($F246))&amp;"|"&amp;UPPER(TRIM($G246)),Setup!$P$21:$P$60,0)),IFERROR(INDEX(Setup!$C$21:$C$60,MATCH(UPPER(TRIM($G246))&amp;"|"&amp;UPPER(TRIM($F246)),Setup!$P$21:$P$60,0)),"NO RATE"))))</f>
        <v/>
      </c>
      <c r="J246" s="97" t="n"/>
      <c r="K246" s="89">
        <f>IF(OR($G246="",$H246="",NOT(ISNUMBER($I246))),"",ROUND($H246*$I246*(1+IF($J246="",Setup!$B$16,$J246)),2))</f>
        <v/>
      </c>
      <c r="L246" s="89">
        <f>IF($K246="","",ROUND($K246*Setup!$B$13,2))</f>
        <v/>
      </c>
      <c r="M246" s="89">
        <f>IF($K246="","",$K246-$L246)</f>
        <v/>
      </c>
      <c r="N246" s="89">
        <f>IF(OR($M246="",$D246=""),"",ROUND($M246*IFERROR(IF(VLOOKUP($D246,Setup!$A$76:$C$87,3,FALSE)="",Setup!$B$14,VLOOKUP($D246,Setup!$A$76:$C$87,3,FALSE)),Setup!$B$14),2))</f>
        <v/>
      </c>
      <c r="O246" s="89">
        <f>IF(OR($M246="",$E246=""),"",ROUND($M246*IFERROR(IF(VLOOKUP($E246,Setup!$A$76:$C$87,3,FALSE)="",Setup!$B$15,VLOOKUP($E246,Setup!$A$76:$C$87,3,FALSE)),Setup!$B$15),2))</f>
        <v/>
      </c>
      <c r="P246" s="98" t="n"/>
      <c r="Q246" s="98" t="n"/>
      <c r="R246" s="98" t="n"/>
      <c r="S246" s="98" t="n"/>
      <c r="T246" s="98" t="n"/>
      <c r="U246" s="89">
        <f>IF($K246="","",SUM($R246:$T246))</f>
        <v/>
      </c>
      <c r="V246" s="89">
        <f>IF($K246="","",$M246-(N($N246)+N($O246)+IF($P246="",Setup!$B$17,$P246)+N($Q246))-N($U246))</f>
        <v/>
      </c>
      <c r="W246" s="94" t="n"/>
      <c r="X246" s="95" t="n"/>
      <c r="Z246" s="92">
        <f>IF($A246="","",DATE(YEAR($A246),MONTH($A246),1))</f>
        <v/>
      </c>
    </row>
    <row r="247">
      <c r="A247" s="85" t="n"/>
      <c r="B247" s="86" t="n"/>
      <c r="C247" s="86" t="n"/>
      <c r="D247" s="87" t="n"/>
      <c r="E247" s="87" t="n"/>
      <c r="F247" s="87" t="n"/>
      <c r="G247" s="87" t="n"/>
      <c r="H247" s="88" t="n"/>
      <c r="I247" s="89">
        <f>IF($G247="","",IF($F247="",IFERROR(INDEX(Setup!$C$21:$C$60,MATCH("|"&amp;UPPER(TRIM($G247)),Setup!$Q$21:$Q$60,0)),"NO RATE"),IFERROR(INDEX(Setup!$C$21:$C$60,MATCH(UPPER(TRIM($F247))&amp;"|"&amp;UPPER(TRIM($G247)),Setup!$P$21:$P$60,0)),IFERROR(INDEX(Setup!$C$21:$C$60,MATCH(UPPER(TRIM($G247))&amp;"|"&amp;UPPER(TRIM($F247)),Setup!$P$21:$P$60,0)),"NO RATE"))))</f>
        <v/>
      </c>
      <c r="J247" s="90" t="n"/>
      <c r="K247" s="89">
        <f>IF(OR($G247="",$H247="",NOT(ISNUMBER($I247))),"",ROUND($H247*$I247*(1+IF($J247="",Setup!$B$16,$J247)),2))</f>
        <v/>
      </c>
      <c r="L247" s="89">
        <f>IF($K247="","",ROUND($K247*Setup!$B$13,2))</f>
        <v/>
      </c>
      <c r="M247" s="89">
        <f>IF($K247="","",$K247-$L247)</f>
        <v/>
      </c>
      <c r="N247" s="89">
        <f>IF(OR($M247="",$D247=""),"",ROUND($M247*IFERROR(IF(VLOOKUP($D247,Setup!$A$76:$C$87,3,FALSE)="",Setup!$B$14,VLOOKUP($D247,Setup!$A$76:$C$87,3,FALSE)),Setup!$B$14),2))</f>
        <v/>
      </c>
      <c r="O247" s="89">
        <f>IF(OR($M247="",$E247=""),"",ROUND($M247*IFERROR(IF(VLOOKUP($E247,Setup!$A$76:$C$87,3,FALSE)="",Setup!$B$15,VLOOKUP($E247,Setup!$A$76:$C$87,3,FALSE)),Setup!$B$15),2))</f>
        <v/>
      </c>
      <c r="P247" s="91" t="n"/>
      <c r="Q247" s="91" t="n"/>
      <c r="R247" s="91" t="n"/>
      <c r="S247" s="91" t="n"/>
      <c r="T247" s="91" t="n"/>
      <c r="U247" s="89">
        <f>IF($K247="","",SUM($R247:$T247))</f>
        <v/>
      </c>
      <c r="V247" s="89">
        <f>IF($K247="","",$M247-(N($N247)+N($O247)+IF($P247="",Setup!$B$17,$P247)+N($Q247))-N($U247))</f>
        <v/>
      </c>
      <c r="W247" s="86" t="n"/>
      <c r="X247" s="87" t="n"/>
      <c r="Z247" s="92">
        <f>IF($A247="","",DATE(YEAR($A247),MONTH($A247),1))</f>
        <v/>
      </c>
    </row>
    <row r="248">
      <c r="A248" s="93" t="n"/>
      <c r="B248" s="94" t="n"/>
      <c r="C248" s="94" t="n"/>
      <c r="D248" s="95" t="n"/>
      <c r="E248" s="95" t="n"/>
      <c r="F248" s="95" t="n"/>
      <c r="G248" s="95" t="n"/>
      <c r="H248" s="96" t="n"/>
      <c r="I248" s="89">
        <f>IF($G248="","",IF($F248="",IFERROR(INDEX(Setup!$C$21:$C$60,MATCH("|"&amp;UPPER(TRIM($G248)),Setup!$Q$21:$Q$60,0)),"NO RATE"),IFERROR(INDEX(Setup!$C$21:$C$60,MATCH(UPPER(TRIM($F248))&amp;"|"&amp;UPPER(TRIM($G248)),Setup!$P$21:$P$60,0)),IFERROR(INDEX(Setup!$C$21:$C$60,MATCH(UPPER(TRIM($G248))&amp;"|"&amp;UPPER(TRIM($F248)),Setup!$P$21:$P$60,0)),"NO RATE"))))</f>
        <v/>
      </c>
      <c r="J248" s="97" t="n"/>
      <c r="K248" s="89">
        <f>IF(OR($G248="",$H248="",NOT(ISNUMBER($I248))),"",ROUND($H248*$I248*(1+IF($J248="",Setup!$B$16,$J248)),2))</f>
        <v/>
      </c>
      <c r="L248" s="89">
        <f>IF($K248="","",ROUND($K248*Setup!$B$13,2))</f>
        <v/>
      </c>
      <c r="M248" s="89">
        <f>IF($K248="","",$K248-$L248)</f>
        <v/>
      </c>
      <c r="N248" s="89">
        <f>IF(OR($M248="",$D248=""),"",ROUND($M248*IFERROR(IF(VLOOKUP($D248,Setup!$A$76:$C$87,3,FALSE)="",Setup!$B$14,VLOOKUP($D248,Setup!$A$76:$C$87,3,FALSE)),Setup!$B$14),2))</f>
        <v/>
      </c>
      <c r="O248" s="89">
        <f>IF(OR($M248="",$E248=""),"",ROUND($M248*IFERROR(IF(VLOOKUP($E248,Setup!$A$76:$C$87,3,FALSE)="",Setup!$B$15,VLOOKUP($E248,Setup!$A$76:$C$87,3,FALSE)),Setup!$B$15),2))</f>
        <v/>
      </c>
      <c r="P248" s="98" t="n"/>
      <c r="Q248" s="98" t="n"/>
      <c r="R248" s="98" t="n"/>
      <c r="S248" s="98" t="n"/>
      <c r="T248" s="98" t="n"/>
      <c r="U248" s="89">
        <f>IF($K248="","",SUM($R248:$T248))</f>
        <v/>
      </c>
      <c r="V248" s="89">
        <f>IF($K248="","",$M248-(N($N248)+N($O248)+IF($P248="",Setup!$B$17,$P248)+N($Q248))-N($U248))</f>
        <v/>
      </c>
      <c r="W248" s="94" t="n"/>
      <c r="X248" s="95" t="n"/>
      <c r="Z248" s="92">
        <f>IF($A248="","",DATE(YEAR($A248),MONTH($A248),1))</f>
        <v/>
      </c>
    </row>
    <row r="249">
      <c r="A249" s="85" t="n"/>
      <c r="B249" s="86" t="n"/>
      <c r="C249" s="86" t="n"/>
      <c r="D249" s="87" t="n"/>
      <c r="E249" s="87" t="n"/>
      <c r="F249" s="87" t="n"/>
      <c r="G249" s="87" t="n"/>
      <c r="H249" s="88" t="n"/>
      <c r="I249" s="89">
        <f>IF($G249="","",IF($F249="",IFERROR(INDEX(Setup!$C$21:$C$60,MATCH("|"&amp;UPPER(TRIM($G249)),Setup!$Q$21:$Q$60,0)),"NO RATE"),IFERROR(INDEX(Setup!$C$21:$C$60,MATCH(UPPER(TRIM($F249))&amp;"|"&amp;UPPER(TRIM($G249)),Setup!$P$21:$P$60,0)),IFERROR(INDEX(Setup!$C$21:$C$60,MATCH(UPPER(TRIM($G249))&amp;"|"&amp;UPPER(TRIM($F249)),Setup!$P$21:$P$60,0)),"NO RATE"))))</f>
        <v/>
      </c>
      <c r="J249" s="90" t="n"/>
      <c r="K249" s="89">
        <f>IF(OR($G249="",$H249="",NOT(ISNUMBER($I249))),"",ROUND($H249*$I249*(1+IF($J249="",Setup!$B$16,$J249)),2))</f>
        <v/>
      </c>
      <c r="L249" s="89">
        <f>IF($K249="","",ROUND($K249*Setup!$B$13,2))</f>
        <v/>
      </c>
      <c r="M249" s="89">
        <f>IF($K249="","",$K249-$L249)</f>
        <v/>
      </c>
      <c r="N249" s="89">
        <f>IF(OR($M249="",$D249=""),"",ROUND($M249*IFERROR(IF(VLOOKUP($D249,Setup!$A$76:$C$87,3,FALSE)="",Setup!$B$14,VLOOKUP($D249,Setup!$A$76:$C$87,3,FALSE)),Setup!$B$14),2))</f>
        <v/>
      </c>
      <c r="O249" s="89">
        <f>IF(OR($M249="",$E249=""),"",ROUND($M249*IFERROR(IF(VLOOKUP($E249,Setup!$A$76:$C$87,3,FALSE)="",Setup!$B$15,VLOOKUP($E249,Setup!$A$76:$C$87,3,FALSE)),Setup!$B$15),2))</f>
        <v/>
      </c>
      <c r="P249" s="91" t="n"/>
      <c r="Q249" s="91" t="n"/>
      <c r="R249" s="91" t="n"/>
      <c r="S249" s="91" t="n"/>
      <c r="T249" s="91" t="n"/>
      <c r="U249" s="89">
        <f>IF($K249="","",SUM($R249:$T249))</f>
        <v/>
      </c>
      <c r="V249" s="89">
        <f>IF($K249="","",$M249-(N($N249)+N($O249)+IF($P249="",Setup!$B$17,$P249)+N($Q249))-N($U249))</f>
        <v/>
      </c>
      <c r="W249" s="86" t="n"/>
      <c r="X249" s="87" t="n"/>
      <c r="Z249" s="92">
        <f>IF($A249="","",DATE(YEAR($A249),MONTH($A249),1))</f>
        <v/>
      </c>
    </row>
    <row r="250">
      <c r="A250" s="93" t="n"/>
      <c r="B250" s="94" t="n"/>
      <c r="C250" s="94" t="n"/>
      <c r="D250" s="95" t="n"/>
      <c r="E250" s="95" t="n"/>
      <c r="F250" s="95" t="n"/>
      <c r="G250" s="95" t="n"/>
      <c r="H250" s="96" t="n"/>
      <c r="I250" s="89">
        <f>IF($G250="","",IF($F250="",IFERROR(INDEX(Setup!$C$21:$C$60,MATCH("|"&amp;UPPER(TRIM($G250)),Setup!$Q$21:$Q$60,0)),"NO RATE"),IFERROR(INDEX(Setup!$C$21:$C$60,MATCH(UPPER(TRIM($F250))&amp;"|"&amp;UPPER(TRIM($G250)),Setup!$P$21:$P$60,0)),IFERROR(INDEX(Setup!$C$21:$C$60,MATCH(UPPER(TRIM($G250))&amp;"|"&amp;UPPER(TRIM($F250)),Setup!$P$21:$P$60,0)),"NO RATE"))))</f>
        <v/>
      </c>
      <c r="J250" s="97" t="n"/>
      <c r="K250" s="89">
        <f>IF(OR($G250="",$H250="",NOT(ISNUMBER($I250))),"",ROUND($H250*$I250*(1+IF($J250="",Setup!$B$16,$J250)),2))</f>
        <v/>
      </c>
      <c r="L250" s="89">
        <f>IF($K250="","",ROUND($K250*Setup!$B$13,2))</f>
        <v/>
      </c>
      <c r="M250" s="89">
        <f>IF($K250="","",$K250-$L250)</f>
        <v/>
      </c>
      <c r="N250" s="89">
        <f>IF(OR($M250="",$D250=""),"",ROUND($M250*IFERROR(IF(VLOOKUP($D250,Setup!$A$76:$C$87,3,FALSE)="",Setup!$B$14,VLOOKUP($D250,Setup!$A$76:$C$87,3,FALSE)),Setup!$B$14),2))</f>
        <v/>
      </c>
      <c r="O250" s="89">
        <f>IF(OR($M250="",$E250=""),"",ROUND($M250*IFERROR(IF(VLOOKUP($E250,Setup!$A$76:$C$87,3,FALSE)="",Setup!$B$15,VLOOKUP($E250,Setup!$A$76:$C$87,3,FALSE)),Setup!$B$15),2))</f>
        <v/>
      </c>
      <c r="P250" s="98" t="n"/>
      <c r="Q250" s="98" t="n"/>
      <c r="R250" s="98" t="n"/>
      <c r="S250" s="98" t="n"/>
      <c r="T250" s="98" t="n"/>
      <c r="U250" s="89">
        <f>IF($K250="","",SUM($R250:$T250))</f>
        <v/>
      </c>
      <c r="V250" s="89">
        <f>IF($K250="","",$M250-(N($N250)+N($O250)+IF($P250="",Setup!$B$17,$P250)+N($Q250))-N($U250))</f>
        <v/>
      </c>
      <c r="W250" s="94" t="n"/>
      <c r="X250" s="95" t="n"/>
      <c r="Z250" s="92">
        <f>IF($A250="","",DATE(YEAR($A250),MONTH($A250),1))</f>
        <v/>
      </c>
    </row>
    <row r="251">
      <c r="A251" s="85" t="n"/>
      <c r="B251" s="86" t="n"/>
      <c r="C251" s="86" t="n"/>
      <c r="D251" s="87" t="n"/>
      <c r="E251" s="87" t="n"/>
      <c r="F251" s="87" t="n"/>
      <c r="G251" s="87" t="n"/>
      <c r="H251" s="88" t="n"/>
      <c r="I251" s="89">
        <f>IF($G251="","",IF($F251="",IFERROR(INDEX(Setup!$C$21:$C$60,MATCH("|"&amp;UPPER(TRIM($G251)),Setup!$Q$21:$Q$60,0)),"NO RATE"),IFERROR(INDEX(Setup!$C$21:$C$60,MATCH(UPPER(TRIM($F251))&amp;"|"&amp;UPPER(TRIM($G251)),Setup!$P$21:$P$60,0)),IFERROR(INDEX(Setup!$C$21:$C$60,MATCH(UPPER(TRIM($G251))&amp;"|"&amp;UPPER(TRIM($F251)),Setup!$P$21:$P$60,0)),"NO RATE"))))</f>
        <v/>
      </c>
      <c r="J251" s="90" t="n"/>
      <c r="K251" s="89">
        <f>IF(OR($G251="",$H251="",NOT(ISNUMBER($I251))),"",ROUND($H251*$I251*(1+IF($J251="",Setup!$B$16,$J251)),2))</f>
        <v/>
      </c>
      <c r="L251" s="89">
        <f>IF($K251="","",ROUND($K251*Setup!$B$13,2))</f>
        <v/>
      </c>
      <c r="M251" s="89">
        <f>IF($K251="","",$K251-$L251)</f>
        <v/>
      </c>
      <c r="N251" s="89">
        <f>IF(OR($M251="",$D251=""),"",ROUND($M251*IFERROR(IF(VLOOKUP($D251,Setup!$A$76:$C$87,3,FALSE)="",Setup!$B$14,VLOOKUP($D251,Setup!$A$76:$C$87,3,FALSE)),Setup!$B$14),2))</f>
        <v/>
      </c>
      <c r="O251" s="89">
        <f>IF(OR($M251="",$E251=""),"",ROUND($M251*IFERROR(IF(VLOOKUP($E251,Setup!$A$76:$C$87,3,FALSE)="",Setup!$B$15,VLOOKUP($E251,Setup!$A$76:$C$87,3,FALSE)),Setup!$B$15),2))</f>
        <v/>
      </c>
      <c r="P251" s="91" t="n"/>
      <c r="Q251" s="91" t="n"/>
      <c r="R251" s="91" t="n"/>
      <c r="S251" s="91" t="n"/>
      <c r="T251" s="91" t="n"/>
      <c r="U251" s="89">
        <f>IF($K251="","",SUM($R251:$T251))</f>
        <v/>
      </c>
      <c r="V251" s="89">
        <f>IF($K251="","",$M251-(N($N251)+N($O251)+IF($P251="",Setup!$B$17,$P251)+N($Q251))-N($U251))</f>
        <v/>
      </c>
      <c r="W251" s="86" t="n"/>
      <c r="X251" s="87" t="n"/>
      <c r="Z251" s="92">
        <f>IF($A251="","",DATE(YEAR($A251),MONTH($A251),1))</f>
        <v/>
      </c>
    </row>
    <row r="252">
      <c r="A252" s="93" t="n"/>
      <c r="B252" s="94" t="n"/>
      <c r="C252" s="94" t="n"/>
      <c r="D252" s="95" t="n"/>
      <c r="E252" s="95" t="n"/>
      <c r="F252" s="95" t="n"/>
      <c r="G252" s="95" t="n"/>
      <c r="H252" s="96" t="n"/>
      <c r="I252" s="89">
        <f>IF($G252="","",IF($F252="",IFERROR(INDEX(Setup!$C$21:$C$60,MATCH("|"&amp;UPPER(TRIM($G252)),Setup!$Q$21:$Q$60,0)),"NO RATE"),IFERROR(INDEX(Setup!$C$21:$C$60,MATCH(UPPER(TRIM($F252))&amp;"|"&amp;UPPER(TRIM($G252)),Setup!$P$21:$P$60,0)),IFERROR(INDEX(Setup!$C$21:$C$60,MATCH(UPPER(TRIM($G252))&amp;"|"&amp;UPPER(TRIM($F252)),Setup!$P$21:$P$60,0)),"NO RATE"))))</f>
        <v/>
      </c>
      <c r="J252" s="97" t="n"/>
      <c r="K252" s="89">
        <f>IF(OR($G252="",$H252="",NOT(ISNUMBER($I252))),"",ROUND($H252*$I252*(1+IF($J252="",Setup!$B$16,$J252)),2))</f>
        <v/>
      </c>
      <c r="L252" s="89">
        <f>IF($K252="","",ROUND($K252*Setup!$B$13,2))</f>
        <v/>
      </c>
      <c r="M252" s="89">
        <f>IF($K252="","",$K252-$L252)</f>
        <v/>
      </c>
      <c r="N252" s="89">
        <f>IF(OR($M252="",$D252=""),"",ROUND($M252*IFERROR(IF(VLOOKUP($D252,Setup!$A$76:$C$87,3,FALSE)="",Setup!$B$14,VLOOKUP($D252,Setup!$A$76:$C$87,3,FALSE)),Setup!$B$14),2))</f>
        <v/>
      </c>
      <c r="O252" s="89">
        <f>IF(OR($M252="",$E252=""),"",ROUND($M252*IFERROR(IF(VLOOKUP($E252,Setup!$A$76:$C$87,3,FALSE)="",Setup!$B$15,VLOOKUP($E252,Setup!$A$76:$C$87,3,FALSE)),Setup!$B$15),2))</f>
        <v/>
      </c>
      <c r="P252" s="98" t="n"/>
      <c r="Q252" s="98" t="n"/>
      <c r="R252" s="98" t="n"/>
      <c r="S252" s="98" t="n"/>
      <c r="T252" s="98" t="n"/>
      <c r="U252" s="89">
        <f>IF($K252="","",SUM($R252:$T252))</f>
        <v/>
      </c>
      <c r="V252" s="89">
        <f>IF($K252="","",$M252-(N($N252)+N($O252)+IF($P252="",Setup!$B$17,$P252)+N($Q252))-N($U252))</f>
        <v/>
      </c>
      <c r="W252" s="94" t="n"/>
      <c r="X252" s="95" t="n"/>
      <c r="Z252" s="92">
        <f>IF($A252="","",DATE(YEAR($A252),MONTH($A252),1))</f>
        <v/>
      </c>
    </row>
    <row r="253">
      <c r="A253" s="85" t="n"/>
      <c r="B253" s="86" t="n"/>
      <c r="C253" s="86" t="n"/>
      <c r="D253" s="87" t="n"/>
      <c r="E253" s="87" t="n"/>
      <c r="F253" s="87" t="n"/>
      <c r="G253" s="87" t="n"/>
      <c r="H253" s="88" t="n"/>
      <c r="I253" s="89">
        <f>IF($G253="","",IF($F253="",IFERROR(INDEX(Setup!$C$21:$C$60,MATCH("|"&amp;UPPER(TRIM($G253)),Setup!$Q$21:$Q$60,0)),"NO RATE"),IFERROR(INDEX(Setup!$C$21:$C$60,MATCH(UPPER(TRIM($F253))&amp;"|"&amp;UPPER(TRIM($G253)),Setup!$P$21:$P$60,0)),IFERROR(INDEX(Setup!$C$21:$C$60,MATCH(UPPER(TRIM($G253))&amp;"|"&amp;UPPER(TRIM($F253)),Setup!$P$21:$P$60,0)),"NO RATE"))))</f>
        <v/>
      </c>
      <c r="J253" s="90" t="n"/>
      <c r="K253" s="89">
        <f>IF(OR($G253="",$H253="",NOT(ISNUMBER($I253))),"",ROUND($H253*$I253*(1+IF($J253="",Setup!$B$16,$J253)),2))</f>
        <v/>
      </c>
      <c r="L253" s="89">
        <f>IF($K253="","",ROUND($K253*Setup!$B$13,2))</f>
        <v/>
      </c>
      <c r="M253" s="89">
        <f>IF($K253="","",$K253-$L253)</f>
        <v/>
      </c>
      <c r="N253" s="89">
        <f>IF(OR($M253="",$D253=""),"",ROUND($M253*IFERROR(IF(VLOOKUP($D253,Setup!$A$76:$C$87,3,FALSE)="",Setup!$B$14,VLOOKUP($D253,Setup!$A$76:$C$87,3,FALSE)),Setup!$B$14),2))</f>
        <v/>
      </c>
      <c r="O253" s="89">
        <f>IF(OR($M253="",$E253=""),"",ROUND($M253*IFERROR(IF(VLOOKUP($E253,Setup!$A$76:$C$87,3,FALSE)="",Setup!$B$15,VLOOKUP($E253,Setup!$A$76:$C$87,3,FALSE)),Setup!$B$15),2))</f>
        <v/>
      </c>
      <c r="P253" s="91" t="n"/>
      <c r="Q253" s="91" t="n"/>
      <c r="R253" s="91" t="n"/>
      <c r="S253" s="91" t="n"/>
      <c r="T253" s="91" t="n"/>
      <c r="U253" s="89">
        <f>IF($K253="","",SUM($R253:$T253))</f>
        <v/>
      </c>
      <c r="V253" s="89">
        <f>IF($K253="","",$M253-(N($N253)+N($O253)+IF($P253="",Setup!$B$17,$P253)+N($Q253))-N($U253))</f>
        <v/>
      </c>
      <c r="W253" s="86" t="n"/>
      <c r="X253" s="87" t="n"/>
      <c r="Z253" s="92">
        <f>IF($A253="","",DATE(YEAR($A253),MONTH($A253),1))</f>
        <v/>
      </c>
    </row>
    <row r="254">
      <c r="A254" s="93" t="n"/>
      <c r="B254" s="94" t="n"/>
      <c r="C254" s="94" t="n"/>
      <c r="D254" s="95" t="n"/>
      <c r="E254" s="95" t="n"/>
      <c r="F254" s="95" t="n"/>
      <c r="G254" s="95" t="n"/>
      <c r="H254" s="96" t="n"/>
      <c r="I254" s="89">
        <f>IF($G254="","",IF($F254="",IFERROR(INDEX(Setup!$C$21:$C$60,MATCH("|"&amp;UPPER(TRIM($G254)),Setup!$Q$21:$Q$60,0)),"NO RATE"),IFERROR(INDEX(Setup!$C$21:$C$60,MATCH(UPPER(TRIM($F254))&amp;"|"&amp;UPPER(TRIM($G254)),Setup!$P$21:$P$60,0)),IFERROR(INDEX(Setup!$C$21:$C$60,MATCH(UPPER(TRIM($G254))&amp;"|"&amp;UPPER(TRIM($F254)),Setup!$P$21:$P$60,0)),"NO RATE"))))</f>
        <v/>
      </c>
      <c r="J254" s="97" t="n"/>
      <c r="K254" s="89">
        <f>IF(OR($G254="",$H254="",NOT(ISNUMBER($I254))),"",ROUND($H254*$I254*(1+IF($J254="",Setup!$B$16,$J254)),2))</f>
        <v/>
      </c>
      <c r="L254" s="89">
        <f>IF($K254="","",ROUND($K254*Setup!$B$13,2))</f>
        <v/>
      </c>
      <c r="M254" s="89">
        <f>IF($K254="","",$K254-$L254)</f>
        <v/>
      </c>
      <c r="N254" s="89">
        <f>IF(OR($M254="",$D254=""),"",ROUND($M254*IFERROR(IF(VLOOKUP($D254,Setup!$A$76:$C$87,3,FALSE)="",Setup!$B$14,VLOOKUP($D254,Setup!$A$76:$C$87,3,FALSE)),Setup!$B$14),2))</f>
        <v/>
      </c>
      <c r="O254" s="89">
        <f>IF(OR($M254="",$E254=""),"",ROUND($M254*IFERROR(IF(VLOOKUP($E254,Setup!$A$76:$C$87,3,FALSE)="",Setup!$B$15,VLOOKUP($E254,Setup!$A$76:$C$87,3,FALSE)),Setup!$B$15),2))</f>
        <v/>
      </c>
      <c r="P254" s="98" t="n"/>
      <c r="Q254" s="98" t="n"/>
      <c r="R254" s="98" t="n"/>
      <c r="S254" s="98" t="n"/>
      <c r="T254" s="98" t="n"/>
      <c r="U254" s="89">
        <f>IF($K254="","",SUM($R254:$T254))</f>
        <v/>
      </c>
      <c r="V254" s="89">
        <f>IF($K254="","",$M254-(N($N254)+N($O254)+IF($P254="",Setup!$B$17,$P254)+N($Q254))-N($U254))</f>
        <v/>
      </c>
      <c r="W254" s="94" t="n"/>
      <c r="X254" s="95" t="n"/>
      <c r="Z254" s="92">
        <f>IF($A254="","",DATE(YEAR($A254),MONTH($A254),1))</f>
        <v/>
      </c>
    </row>
    <row r="255">
      <c r="A255" s="85" t="n"/>
      <c r="B255" s="86" t="n"/>
      <c r="C255" s="86" t="n"/>
      <c r="D255" s="87" t="n"/>
      <c r="E255" s="87" t="n"/>
      <c r="F255" s="87" t="n"/>
      <c r="G255" s="87" t="n"/>
      <c r="H255" s="88" t="n"/>
      <c r="I255" s="89">
        <f>IF($G255="","",IF($F255="",IFERROR(INDEX(Setup!$C$21:$C$60,MATCH("|"&amp;UPPER(TRIM($G255)),Setup!$Q$21:$Q$60,0)),"NO RATE"),IFERROR(INDEX(Setup!$C$21:$C$60,MATCH(UPPER(TRIM($F255))&amp;"|"&amp;UPPER(TRIM($G255)),Setup!$P$21:$P$60,0)),IFERROR(INDEX(Setup!$C$21:$C$60,MATCH(UPPER(TRIM($G255))&amp;"|"&amp;UPPER(TRIM($F255)),Setup!$P$21:$P$60,0)),"NO RATE"))))</f>
        <v/>
      </c>
      <c r="J255" s="90" t="n"/>
      <c r="K255" s="89">
        <f>IF(OR($G255="",$H255="",NOT(ISNUMBER($I255))),"",ROUND($H255*$I255*(1+IF($J255="",Setup!$B$16,$J255)),2))</f>
        <v/>
      </c>
      <c r="L255" s="89">
        <f>IF($K255="","",ROUND($K255*Setup!$B$13,2))</f>
        <v/>
      </c>
      <c r="M255" s="89">
        <f>IF($K255="","",$K255-$L255)</f>
        <v/>
      </c>
      <c r="N255" s="89">
        <f>IF(OR($M255="",$D255=""),"",ROUND($M255*IFERROR(IF(VLOOKUP($D255,Setup!$A$76:$C$87,3,FALSE)="",Setup!$B$14,VLOOKUP($D255,Setup!$A$76:$C$87,3,FALSE)),Setup!$B$14),2))</f>
        <v/>
      </c>
      <c r="O255" s="89">
        <f>IF(OR($M255="",$E255=""),"",ROUND($M255*IFERROR(IF(VLOOKUP($E255,Setup!$A$76:$C$87,3,FALSE)="",Setup!$B$15,VLOOKUP($E255,Setup!$A$76:$C$87,3,FALSE)),Setup!$B$15),2))</f>
        <v/>
      </c>
      <c r="P255" s="91" t="n"/>
      <c r="Q255" s="91" t="n"/>
      <c r="R255" s="91" t="n"/>
      <c r="S255" s="91" t="n"/>
      <c r="T255" s="91" t="n"/>
      <c r="U255" s="89">
        <f>IF($K255="","",SUM($R255:$T255))</f>
        <v/>
      </c>
      <c r="V255" s="89">
        <f>IF($K255="","",$M255-(N($N255)+N($O255)+IF($P255="",Setup!$B$17,$P255)+N($Q255))-N($U255))</f>
        <v/>
      </c>
      <c r="W255" s="86" t="n"/>
      <c r="X255" s="87" t="n"/>
      <c r="Z255" s="92">
        <f>IF($A255="","",DATE(YEAR($A255),MONTH($A255),1))</f>
        <v/>
      </c>
    </row>
    <row r="256">
      <c r="A256" s="93" t="n"/>
      <c r="B256" s="94" t="n"/>
      <c r="C256" s="94" t="n"/>
      <c r="D256" s="95" t="n"/>
      <c r="E256" s="95" t="n"/>
      <c r="F256" s="95" t="n"/>
      <c r="G256" s="95" t="n"/>
      <c r="H256" s="96" t="n"/>
      <c r="I256" s="89">
        <f>IF($G256="","",IF($F256="",IFERROR(INDEX(Setup!$C$21:$C$60,MATCH("|"&amp;UPPER(TRIM($G256)),Setup!$Q$21:$Q$60,0)),"NO RATE"),IFERROR(INDEX(Setup!$C$21:$C$60,MATCH(UPPER(TRIM($F256))&amp;"|"&amp;UPPER(TRIM($G256)),Setup!$P$21:$P$60,0)),IFERROR(INDEX(Setup!$C$21:$C$60,MATCH(UPPER(TRIM($G256))&amp;"|"&amp;UPPER(TRIM($F256)),Setup!$P$21:$P$60,0)),"NO RATE"))))</f>
        <v/>
      </c>
      <c r="J256" s="97" t="n"/>
      <c r="K256" s="89">
        <f>IF(OR($G256="",$H256="",NOT(ISNUMBER($I256))),"",ROUND($H256*$I256*(1+IF($J256="",Setup!$B$16,$J256)),2))</f>
        <v/>
      </c>
      <c r="L256" s="89">
        <f>IF($K256="","",ROUND($K256*Setup!$B$13,2))</f>
        <v/>
      </c>
      <c r="M256" s="89">
        <f>IF($K256="","",$K256-$L256)</f>
        <v/>
      </c>
      <c r="N256" s="89">
        <f>IF(OR($M256="",$D256=""),"",ROUND($M256*IFERROR(IF(VLOOKUP($D256,Setup!$A$76:$C$87,3,FALSE)="",Setup!$B$14,VLOOKUP($D256,Setup!$A$76:$C$87,3,FALSE)),Setup!$B$14),2))</f>
        <v/>
      </c>
      <c r="O256" s="89">
        <f>IF(OR($M256="",$E256=""),"",ROUND($M256*IFERROR(IF(VLOOKUP($E256,Setup!$A$76:$C$87,3,FALSE)="",Setup!$B$15,VLOOKUP($E256,Setup!$A$76:$C$87,3,FALSE)),Setup!$B$15),2))</f>
        <v/>
      </c>
      <c r="P256" s="98" t="n"/>
      <c r="Q256" s="98" t="n"/>
      <c r="R256" s="98" t="n"/>
      <c r="S256" s="98" t="n"/>
      <c r="T256" s="98" t="n"/>
      <c r="U256" s="89">
        <f>IF($K256="","",SUM($R256:$T256))</f>
        <v/>
      </c>
      <c r="V256" s="89">
        <f>IF($K256="","",$M256-(N($N256)+N($O256)+IF($P256="",Setup!$B$17,$P256)+N($Q256))-N($U256))</f>
        <v/>
      </c>
      <c r="W256" s="94" t="n"/>
      <c r="X256" s="95" t="n"/>
      <c r="Z256" s="92">
        <f>IF($A256="","",DATE(YEAR($A256),MONTH($A256),1))</f>
        <v/>
      </c>
    </row>
    <row r="257">
      <c r="A257" s="85" t="n"/>
      <c r="B257" s="86" t="n"/>
      <c r="C257" s="86" t="n"/>
      <c r="D257" s="87" t="n"/>
      <c r="E257" s="87" t="n"/>
      <c r="F257" s="87" t="n"/>
      <c r="G257" s="87" t="n"/>
      <c r="H257" s="88" t="n"/>
      <c r="I257" s="89">
        <f>IF($G257="","",IF($F257="",IFERROR(INDEX(Setup!$C$21:$C$60,MATCH("|"&amp;UPPER(TRIM($G257)),Setup!$Q$21:$Q$60,0)),"NO RATE"),IFERROR(INDEX(Setup!$C$21:$C$60,MATCH(UPPER(TRIM($F257))&amp;"|"&amp;UPPER(TRIM($G257)),Setup!$P$21:$P$60,0)),IFERROR(INDEX(Setup!$C$21:$C$60,MATCH(UPPER(TRIM($G257))&amp;"|"&amp;UPPER(TRIM($F257)),Setup!$P$21:$P$60,0)),"NO RATE"))))</f>
        <v/>
      </c>
      <c r="J257" s="90" t="n"/>
      <c r="K257" s="89">
        <f>IF(OR($G257="",$H257="",NOT(ISNUMBER($I257))),"",ROUND($H257*$I257*(1+IF($J257="",Setup!$B$16,$J257)),2))</f>
        <v/>
      </c>
      <c r="L257" s="89">
        <f>IF($K257="","",ROUND($K257*Setup!$B$13,2))</f>
        <v/>
      </c>
      <c r="M257" s="89">
        <f>IF($K257="","",$K257-$L257)</f>
        <v/>
      </c>
      <c r="N257" s="89">
        <f>IF(OR($M257="",$D257=""),"",ROUND($M257*IFERROR(IF(VLOOKUP($D257,Setup!$A$76:$C$87,3,FALSE)="",Setup!$B$14,VLOOKUP($D257,Setup!$A$76:$C$87,3,FALSE)),Setup!$B$14),2))</f>
        <v/>
      </c>
      <c r="O257" s="89">
        <f>IF(OR($M257="",$E257=""),"",ROUND($M257*IFERROR(IF(VLOOKUP($E257,Setup!$A$76:$C$87,3,FALSE)="",Setup!$B$15,VLOOKUP($E257,Setup!$A$76:$C$87,3,FALSE)),Setup!$B$15),2))</f>
        <v/>
      </c>
      <c r="P257" s="91" t="n"/>
      <c r="Q257" s="91" t="n"/>
      <c r="R257" s="91" t="n"/>
      <c r="S257" s="91" t="n"/>
      <c r="T257" s="91" t="n"/>
      <c r="U257" s="89">
        <f>IF($K257="","",SUM($R257:$T257))</f>
        <v/>
      </c>
      <c r="V257" s="89">
        <f>IF($K257="","",$M257-(N($N257)+N($O257)+IF($P257="",Setup!$B$17,$P257)+N($Q257))-N($U257))</f>
        <v/>
      </c>
      <c r="W257" s="86" t="n"/>
      <c r="X257" s="87" t="n"/>
      <c r="Z257" s="92">
        <f>IF($A257="","",DATE(YEAR($A257),MONTH($A257),1))</f>
        <v/>
      </c>
    </row>
    <row r="258">
      <c r="A258" s="93" t="n"/>
      <c r="B258" s="94" t="n"/>
      <c r="C258" s="94" t="n"/>
      <c r="D258" s="95" t="n"/>
      <c r="E258" s="95" t="n"/>
      <c r="F258" s="95" t="n"/>
      <c r="G258" s="95" t="n"/>
      <c r="H258" s="96" t="n"/>
      <c r="I258" s="89">
        <f>IF($G258="","",IF($F258="",IFERROR(INDEX(Setup!$C$21:$C$60,MATCH("|"&amp;UPPER(TRIM($G258)),Setup!$Q$21:$Q$60,0)),"NO RATE"),IFERROR(INDEX(Setup!$C$21:$C$60,MATCH(UPPER(TRIM($F258))&amp;"|"&amp;UPPER(TRIM($G258)),Setup!$P$21:$P$60,0)),IFERROR(INDEX(Setup!$C$21:$C$60,MATCH(UPPER(TRIM($G258))&amp;"|"&amp;UPPER(TRIM($F258)),Setup!$P$21:$P$60,0)),"NO RATE"))))</f>
        <v/>
      </c>
      <c r="J258" s="97" t="n"/>
      <c r="K258" s="89">
        <f>IF(OR($G258="",$H258="",NOT(ISNUMBER($I258))),"",ROUND($H258*$I258*(1+IF($J258="",Setup!$B$16,$J258)),2))</f>
        <v/>
      </c>
      <c r="L258" s="89">
        <f>IF($K258="","",ROUND($K258*Setup!$B$13,2))</f>
        <v/>
      </c>
      <c r="M258" s="89">
        <f>IF($K258="","",$K258-$L258)</f>
        <v/>
      </c>
      <c r="N258" s="89">
        <f>IF(OR($M258="",$D258=""),"",ROUND($M258*IFERROR(IF(VLOOKUP($D258,Setup!$A$76:$C$87,3,FALSE)="",Setup!$B$14,VLOOKUP($D258,Setup!$A$76:$C$87,3,FALSE)),Setup!$B$14),2))</f>
        <v/>
      </c>
      <c r="O258" s="89">
        <f>IF(OR($M258="",$E258=""),"",ROUND($M258*IFERROR(IF(VLOOKUP($E258,Setup!$A$76:$C$87,3,FALSE)="",Setup!$B$15,VLOOKUP($E258,Setup!$A$76:$C$87,3,FALSE)),Setup!$B$15),2))</f>
        <v/>
      </c>
      <c r="P258" s="98" t="n"/>
      <c r="Q258" s="98" t="n"/>
      <c r="R258" s="98" t="n"/>
      <c r="S258" s="98" t="n"/>
      <c r="T258" s="98" t="n"/>
      <c r="U258" s="89">
        <f>IF($K258="","",SUM($R258:$T258))</f>
        <v/>
      </c>
      <c r="V258" s="89">
        <f>IF($K258="","",$M258-(N($N258)+N($O258)+IF($P258="",Setup!$B$17,$P258)+N($Q258))-N($U258))</f>
        <v/>
      </c>
      <c r="W258" s="94" t="n"/>
      <c r="X258" s="95" t="n"/>
      <c r="Z258" s="92">
        <f>IF($A258="","",DATE(YEAR($A258),MONTH($A258),1))</f>
        <v/>
      </c>
    </row>
    <row r="259">
      <c r="A259" s="85" t="n"/>
      <c r="B259" s="86" t="n"/>
      <c r="C259" s="86" t="n"/>
      <c r="D259" s="87" t="n"/>
      <c r="E259" s="87" t="n"/>
      <c r="F259" s="87" t="n"/>
      <c r="G259" s="87" t="n"/>
      <c r="H259" s="88" t="n"/>
      <c r="I259" s="89">
        <f>IF($G259="","",IF($F259="",IFERROR(INDEX(Setup!$C$21:$C$60,MATCH("|"&amp;UPPER(TRIM($G259)),Setup!$Q$21:$Q$60,0)),"NO RATE"),IFERROR(INDEX(Setup!$C$21:$C$60,MATCH(UPPER(TRIM($F259))&amp;"|"&amp;UPPER(TRIM($G259)),Setup!$P$21:$P$60,0)),IFERROR(INDEX(Setup!$C$21:$C$60,MATCH(UPPER(TRIM($G259))&amp;"|"&amp;UPPER(TRIM($F259)),Setup!$P$21:$P$60,0)),"NO RATE"))))</f>
        <v/>
      </c>
      <c r="J259" s="90" t="n"/>
      <c r="K259" s="89">
        <f>IF(OR($G259="",$H259="",NOT(ISNUMBER($I259))),"",ROUND($H259*$I259*(1+IF($J259="",Setup!$B$16,$J259)),2))</f>
        <v/>
      </c>
      <c r="L259" s="89">
        <f>IF($K259="","",ROUND($K259*Setup!$B$13,2))</f>
        <v/>
      </c>
      <c r="M259" s="89">
        <f>IF($K259="","",$K259-$L259)</f>
        <v/>
      </c>
      <c r="N259" s="89">
        <f>IF(OR($M259="",$D259=""),"",ROUND($M259*IFERROR(IF(VLOOKUP($D259,Setup!$A$76:$C$87,3,FALSE)="",Setup!$B$14,VLOOKUP($D259,Setup!$A$76:$C$87,3,FALSE)),Setup!$B$14),2))</f>
        <v/>
      </c>
      <c r="O259" s="89">
        <f>IF(OR($M259="",$E259=""),"",ROUND($M259*IFERROR(IF(VLOOKUP($E259,Setup!$A$76:$C$87,3,FALSE)="",Setup!$B$15,VLOOKUP($E259,Setup!$A$76:$C$87,3,FALSE)),Setup!$B$15),2))</f>
        <v/>
      </c>
      <c r="P259" s="91" t="n"/>
      <c r="Q259" s="91" t="n"/>
      <c r="R259" s="91" t="n"/>
      <c r="S259" s="91" t="n"/>
      <c r="T259" s="91" t="n"/>
      <c r="U259" s="89">
        <f>IF($K259="","",SUM($R259:$T259))</f>
        <v/>
      </c>
      <c r="V259" s="89">
        <f>IF($K259="","",$M259-(N($N259)+N($O259)+IF($P259="",Setup!$B$17,$P259)+N($Q259))-N($U259))</f>
        <v/>
      </c>
      <c r="W259" s="86" t="n"/>
      <c r="X259" s="87" t="n"/>
      <c r="Z259" s="92">
        <f>IF($A259="","",DATE(YEAR($A259),MONTH($A259),1))</f>
        <v/>
      </c>
    </row>
    <row r="260">
      <c r="A260" s="93" t="n"/>
      <c r="B260" s="94" t="n"/>
      <c r="C260" s="94" t="n"/>
      <c r="D260" s="95" t="n"/>
      <c r="E260" s="95" t="n"/>
      <c r="F260" s="95" t="n"/>
      <c r="G260" s="95" t="n"/>
      <c r="H260" s="96" t="n"/>
      <c r="I260" s="89">
        <f>IF($G260="","",IF($F260="",IFERROR(INDEX(Setup!$C$21:$C$60,MATCH("|"&amp;UPPER(TRIM($G260)),Setup!$Q$21:$Q$60,0)),"NO RATE"),IFERROR(INDEX(Setup!$C$21:$C$60,MATCH(UPPER(TRIM($F260))&amp;"|"&amp;UPPER(TRIM($G260)),Setup!$P$21:$P$60,0)),IFERROR(INDEX(Setup!$C$21:$C$60,MATCH(UPPER(TRIM($G260))&amp;"|"&amp;UPPER(TRIM($F260)),Setup!$P$21:$P$60,0)),"NO RATE"))))</f>
        <v/>
      </c>
      <c r="J260" s="97" t="n"/>
      <c r="K260" s="89">
        <f>IF(OR($G260="",$H260="",NOT(ISNUMBER($I260))),"",ROUND($H260*$I260*(1+IF($J260="",Setup!$B$16,$J260)),2))</f>
        <v/>
      </c>
      <c r="L260" s="89">
        <f>IF($K260="","",ROUND($K260*Setup!$B$13,2))</f>
        <v/>
      </c>
      <c r="M260" s="89">
        <f>IF($K260="","",$K260-$L260)</f>
        <v/>
      </c>
      <c r="N260" s="89">
        <f>IF(OR($M260="",$D260=""),"",ROUND($M260*IFERROR(IF(VLOOKUP($D260,Setup!$A$76:$C$87,3,FALSE)="",Setup!$B$14,VLOOKUP($D260,Setup!$A$76:$C$87,3,FALSE)),Setup!$B$14),2))</f>
        <v/>
      </c>
      <c r="O260" s="89">
        <f>IF(OR($M260="",$E260=""),"",ROUND($M260*IFERROR(IF(VLOOKUP($E260,Setup!$A$76:$C$87,3,FALSE)="",Setup!$B$15,VLOOKUP($E260,Setup!$A$76:$C$87,3,FALSE)),Setup!$B$15),2))</f>
        <v/>
      </c>
      <c r="P260" s="98" t="n"/>
      <c r="Q260" s="98" t="n"/>
      <c r="R260" s="98" t="n"/>
      <c r="S260" s="98" t="n"/>
      <c r="T260" s="98" t="n"/>
      <c r="U260" s="89">
        <f>IF($K260="","",SUM($R260:$T260))</f>
        <v/>
      </c>
      <c r="V260" s="89">
        <f>IF($K260="","",$M260-(N($N260)+N($O260)+IF($P260="",Setup!$B$17,$P260)+N($Q260))-N($U260))</f>
        <v/>
      </c>
      <c r="W260" s="94" t="n"/>
      <c r="X260" s="95" t="n"/>
      <c r="Z260" s="92">
        <f>IF($A260="","",DATE(YEAR($A260),MONTH($A260),1))</f>
        <v/>
      </c>
    </row>
    <row r="261">
      <c r="A261" s="85" t="n"/>
      <c r="B261" s="86" t="n"/>
      <c r="C261" s="86" t="n"/>
      <c r="D261" s="87" t="n"/>
      <c r="E261" s="87" t="n"/>
      <c r="F261" s="87" t="n"/>
      <c r="G261" s="87" t="n"/>
      <c r="H261" s="88" t="n"/>
      <c r="I261" s="89">
        <f>IF($G261="","",IF($F261="",IFERROR(INDEX(Setup!$C$21:$C$60,MATCH("|"&amp;UPPER(TRIM($G261)),Setup!$Q$21:$Q$60,0)),"NO RATE"),IFERROR(INDEX(Setup!$C$21:$C$60,MATCH(UPPER(TRIM($F261))&amp;"|"&amp;UPPER(TRIM($G261)),Setup!$P$21:$P$60,0)),IFERROR(INDEX(Setup!$C$21:$C$60,MATCH(UPPER(TRIM($G261))&amp;"|"&amp;UPPER(TRIM($F261)),Setup!$P$21:$P$60,0)),"NO RATE"))))</f>
        <v/>
      </c>
      <c r="J261" s="90" t="n"/>
      <c r="K261" s="89">
        <f>IF(OR($G261="",$H261="",NOT(ISNUMBER($I261))),"",ROUND($H261*$I261*(1+IF($J261="",Setup!$B$16,$J261)),2))</f>
        <v/>
      </c>
      <c r="L261" s="89">
        <f>IF($K261="","",ROUND($K261*Setup!$B$13,2))</f>
        <v/>
      </c>
      <c r="M261" s="89">
        <f>IF($K261="","",$K261-$L261)</f>
        <v/>
      </c>
      <c r="N261" s="89">
        <f>IF(OR($M261="",$D261=""),"",ROUND($M261*IFERROR(IF(VLOOKUP($D261,Setup!$A$76:$C$87,3,FALSE)="",Setup!$B$14,VLOOKUP($D261,Setup!$A$76:$C$87,3,FALSE)),Setup!$B$14),2))</f>
        <v/>
      </c>
      <c r="O261" s="89">
        <f>IF(OR($M261="",$E261=""),"",ROUND($M261*IFERROR(IF(VLOOKUP($E261,Setup!$A$76:$C$87,3,FALSE)="",Setup!$B$15,VLOOKUP($E261,Setup!$A$76:$C$87,3,FALSE)),Setup!$B$15),2))</f>
        <v/>
      </c>
      <c r="P261" s="91" t="n"/>
      <c r="Q261" s="91" t="n"/>
      <c r="R261" s="91" t="n"/>
      <c r="S261" s="91" t="n"/>
      <c r="T261" s="91" t="n"/>
      <c r="U261" s="89">
        <f>IF($K261="","",SUM($R261:$T261))</f>
        <v/>
      </c>
      <c r="V261" s="89">
        <f>IF($K261="","",$M261-(N($N261)+N($O261)+IF($P261="",Setup!$B$17,$P261)+N($Q261))-N($U261))</f>
        <v/>
      </c>
      <c r="W261" s="86" t="n"/>
      <c r="X261" s="87" t="n"/>
      <c r="Z261" s="92">
        <f>IF($A261="","",DATE(YEAR($A261),MONTH($A261),1))</f>
        <v/>
      </c>
    </row>
    <row r="262">
      <c r="A262" s="93" t="n"/>
      <c r="B262" s="94" t="n"/>
      <c r="C262" s="94" t="n"/>
      <c r="D262" s="95" t="n"/>
      <c r="E262" s="95" t="n"/>
      <c r="F262" s="95" t="n"/>
      <c r="G262" s="95" t="n"/>
      <c r="H262" s="96" t="n"/>
      <c r="I262" s="89">
        <f>IF($G262="","",IF($F262="",IFERROR(INDEX(Setup!$C$21:$C$60,MATCH("|"&amp;UPPER(TRIM($G262)),Setup!$Q$21:$Q$60,0)),"NO RATE"),IFERROR(INDEX(Setup!$C$21:$C$60,MATCH(UPPER(TRIM($F262))&amp;"|"&amp;UPPER(TRIM($G262)),Setup!$P$21:$P$60,0)),IFERROR(INDEX(Setup!$C$21:$C$60,MATCH(UPPER(TRIM($G262))&amp;"|"&amp;UPPER(TRIM($F262)),Setup!$P$21:$P$60,0)),"NO RATE"))))</f>
        <v/>
      </c>
      <c r="J262" s="97" t="n"/>
      <c r="K262" s="89">
        <f>IF(OR($G262="",$H262="",NOT(ISNUMBER($I262))),"",ROUND($H262*$I262*(1+IF($J262="",Setup!$B$16,$J262)),2))</f>
        <v/>
      </c>
      <c r="L262" s="89">
        <f>IF($K262="","",ROUND($K262*Setup!$B$13,2))</f>
        <v/>
      </c>
      <c r="M262" s="89">
        <f>IF($K262="","",$K262-$L262)</f>
        <v/>
      </c>
      <c r="N262" s="89">
        <f>IF(OR($M262="",$D262=""),"",ROUND($M262*IFERROR(IF(VLOOKUP($D262,Setup!$A$76:$C$87,3,FALSE)="",Setup!$B$14,VLOOKUP($D262,Setup!$A$76:$C$87,3,FALSE)),Setup!$B$14),2))</f>
        <v/>
      </c>
      <c r="O262" s="89">
        <f>IF(OR($M262="",$E262=""),"",ROUND($M262*IFERROR(IF(VLOOKUP($E262,Setup!$A$76:$C$87,3,FALSE)="",Setup!$B$15,VLOOKUP($E262,Setup!$A$76:$C$87,3,FALSE)),Setup!$B$15),2))</f>
        <v/>
      </c>
      <c r="P262" s="98" t="n"/>
      <c r="Q262" s="98" t="n"/>
      <c r="R262" s="98" t="n"/>
      <c r="S262" s="98" t="n"/>
      <c r="T262" s="98" t="n"/>
      <c r="U262" s="89">
        <f>IF($K262="","",SUM($R262:$T262))</f>
        <v/>
      </c>
      <c r="V262" s="89">
        <f>IF($K262="","",$M262-(N($N262)+N($O262)+IF($P262="",Setup!$B$17,$P262)+N($Q262))-N($U262))</f>
        <v/>
      </c>
      <c r="W262" s="94" t="n"/>
      <c r="X262" s="95" t="n"/>
      <c r="Z262" s="92">
        <f>IF($A262="","",DATE(YEAR($A262),MONTH($A262),1))</f>
        <v/>
      </c>
    </row>
    <row r="263">
      <c r="A263" s="85" t="n"/>
      <c r="B263" s="86" t="n"/>
      <c r="C263" s="86" t="n"/>
      <c r="D263" s="87" t="n"/>
      <c r="E263" s="87" t="n"/>
      <c r="F263" s="87" t="n"/>
      <c r="G263" s="87" t="n"/>
      <c r="H263" s="88" t="n"/>
      <c r="I263" s="89">
        <f>IF($G263="","",IF($F263="",IFERROR(INDEX(Setup!$C$21:$C$60,MATCH("|"&amp;UPPER(TRIM($G263)),Setup!$Q$21:$Q$60,0)),"NO RATE"),IFERROR(INDEX(Setup!$C$21:$C$60,MATCH(UPPER(TRIM($F263))&amp;"|"&amp;UPPER(TRIM($G263)),Setup!$P$21:$P$60,0)),IFERROR(INDEX(Setup!$C$21:$C$60,MATCH(UPPER(TRIM($G263))&amp;"|"&amp;UPPER(TRIM($F263)),Setup!$P$21:$P$60,0)),"NO RATE"))))</f>
        <v/>
      </c>
      <c r="J263" s="90" t="n"/>
      <c r="K263" s="89">
        <f>IF(OR($G263="",$H263="",NOT(ISNUMBER($I263))),"",ROUND($H263*$I263*(1+IF($J263="",Setup!$B$16,$J263)),2))</f>
        <v/>
      </c>
      <c r="L263" s="89">
        <f>IF($K263="","",ROUND($K263*Setup!$B$13,2))</f>
        <v/>
      </c>
      <c r="M263" s="89">
        <f>IF($K263="","",$K263-$L263)</f>
        <v/>
      </c>
      <c r="N263" s="89">
        <f>IF(OR($M263="",$D263=""),"",ROUND($M263*IFERROR(IF(VLOOKUP($D263,Setup!$A$76:$C$87,3,FALSE)="",Setup!$B$14,VLOOKUP($D263,Setup!$A$76:$C$87,3,FALSE)),Setup!$B$14),2))</f>
        <v/>
      </c>
      <c r="O263" s="89">
        <f>IF(OR($M263="",$E263=""),"",ROUND($M263*IFERROR(IF(VLOOKUP($E263,Setup!$A$76:$C$87,3,FALSE)="",Setup!$B$15,VLOOKUP($E263,Setup!$A$76:$C$87,3,FALSE)),Setup!$B$15),2))</f>
        <v/>
      </c>
      <c r="P263" s="91" t="n"/>
      <c r="Q263" s="91" t="n"/>
      <c r="R263" s="91" t="n"/>
      <c r="S263" s="91" t="n"/>
      <c r="T263" s="91" t="n"/>
      <c r="U263" s="89">
        <f>IF($K263="","",SUM($R263:$T263))</f>
        <v/>
      </c>
      <c r="V263" s="89">
        <f>IF($K263="","",$M263-(N($N263)+N($O263)+IF($P263="",Setup!$B$17,$P263)+N($Q263))-N($U263))</f>
        <v/>
      </c>
      <c r="W263" s="86" t="n"/>
      <c r="X263" s="87" t="n"/>
      <c r="Z263" s="92">
        <f>IF($A263="","",DATE(YEAR($A263),MONTH($A263),1))</f>
        <v/>
      </c>
    </row>
    <row r="264">
      <c r="A264" s="93" t="n"/>
      <c r="B264" s="94" t="n"/>
      <c r="C264" s="94" t="n"/>
      <c r="D264" s="95" t="n"/>
      <c r="E264" s="95" t="n"/>
      <c r="F264" s="95" t="n"/>
      <c r="G264" s="95" t="n"/>
      <c r="H264" s="96" t="n"/>
      <c r="I264" s="89">
        <f>IF($G264="","",IF($F264="",IFERROR(INDEX(Setup!$C$21:$C$60,MATCH("|"&amp;UPPER(TRIM($G264)),Setup!$Q$21:$Q$60,0)),"NO RATE"),IFERROR(INDEX(Setup!$C$21:$C$60,MATCH(UPPER(TRIM($F264))&amp;"|"&amp;UPPER(TRIM($G264)),Setup!$P$21:$P$60,0)),IFERROR(INDEX(Setup!$C$21:$C$60,MATCH(UPPER(TRIM($G264))&amp;"|"&amp;UPPER(TRIM($F264)),Setup!$P$21:$P$60,0)),"NO RATE"))))</f>
        <v/>
      </c>
      <c r="J264" s="97" t="n"/>
      <c r="K264" s="89">
        <f>IF(OR($G264="",$H264="",NOT(ISNUMBER($I264))),"",ROUND($H264*$I264*(1+IF($J264="",Setup!$B$16,$J264)),2))</f>
        <v/>
      </c>
      <c r="L264" s="89">
        <f>IF($K264="","",ROUND($K264*Setup!$B$13,2))</f>
        <v/>
      </c>
      <c r="M264" s="89">
        <f>IF($K264="","",$K264-$L264)</f>
        <v/>
      </c>
      <c r="N264" s="89">
        <f>IF(OR($M264="",$D264=""),"",ROUND($M264*IFERROR(IF(VLOOKUP($D264,Setup!$A$76:$C$87,3,FALSE)="",Setup!$B$14,VLOOKUP($D264,Setup!$A$76:$C$87,3,FALSE)),Setup!$B$14),2))</f>
        <v/>
      </c>
      <c r="O264" s="89">
        <f>IF(OR($M264="",$E264=""),"",ROUND($M264*IFERROR(IF(VLOOKUP($E264,Setup!$A$76:$C$87,3,FALSE)="",Setup!$B$15,VLOOKUP($E264,Setup!$A$76:$C$87,3,FALSE)),Setup!$B$15),2))</f>
        <v/>
      </c>
      <c r="P264" s="98" t="n"/>
      <c r="Q264" s="98" t="n"/>
      <c r="R264" s="98" t="n"/>
      <c r="S264" s="98" t="n"/>
      <c r="T264" s="98" t="n"/>
      <c r="U264" s="89">
        <f>IF($K264="","",SUM($R264:$T264))</f>
        <v/>
      </c>
      <c r="V264" s="89">
        <f>IF($K264="","",$M264-(N($N264)+N($O264)+IF($P264="",Setup!$B$17,$P264)+N($Q264))-N($U264))</f>
        <v/>
      </c>
      <c r="W264" s="94" t="n"/>
      <c r="X264" s="95" t="n"/>
      <c r="Z264" s="92">
        <f>IF($A264="","",DATE(YEAR($A264),MONTH($A264),1))</f>
        <v/>
      </c>
    </row>
    <row r="265">
      <c r="A265" s="85" t="n"/>
      <c r="B265" s="86" t="n"/>
      <c r="C265" s="86" t="n"/>
      <c r="D265" s="87" t="n"/>
      <c r="E265" s="87" t="n"/>
      <c r="F265" s="87" t="n"/>
      <c r="G265" s="87" t="n"/>
      <c r="H265" s="88" t="n"/>
      <c r="I265" s="89">
        <f>IF($G265="","",IF($F265="",IFERROR(INDEX(Setup!$C$21:$C$60,MATCH("|"&amp;UPPER(TRIM($G265)),Setup!$Q$21:$Q$60,0)),"NO RATE"),IFERROR(INDEX(Setup!$C$21:$C$60,MATCH(UPPER(TRIM($F265))&amp;"|"&amp;UPPER(TRIM($G265)),Setup!$P$21:$P$60,0)),IFERROR(INDEX(Setup!$C$21:$C$60,MATCH(UPPER(TRIM($G265))&amp;"|"&amp;UPPER(TRIM($F265)),Setup!$P$21:$P$60,0)),"NO RATE"))))</f>
        <v/>
      </c>
      <c r="J265" s="90" t="n"/>
      <c r="K265" s="89">
        <f>IF(OR($G265="",$H265="",NOT(ISNUMBER($I265))),"",ROUND($H265*$I265*(1+IF($J265="",Setup!$B$16,$J265)),2))</f>
        <v/>
      </c>
      <c r="L265" s="89">
        <f>IF($K265="","",ROUND($K265*Setup!$B$13,2))</f>
        <v/>
      </c>
      <c r="M265" s="89">
        <f>IF($K265="","",$K265-$L265)</f>
        <v/>
      </c>
      <c r="N265" s="89">
        <f>IF(OR($M265="",$D265=""),"",ROUND($M265*IFERROR(IF(VLOOKUP($D265,Setup!$A$76:$C$87,3,FALSE)="",Setup!$B$14,VLOOKUP($D265,Setup!$A$76:$C$87,3,FALSE)),Setup!$B$14),2))</f>
        <v/>
      </c>
      <c r="O265" s="89">
        <f>IF(OR($M265="",$E265=""),"",ROUND($M265*IFERROR(IF(VLOOKUP($E265,Setup!$A$76:$C$87,3,FALSE)="",Setup!$B$15,VLOOKUP($E265,Setup!$A$76:$C$87,3,FALSE)),Setup!$B$15),2))</f>
        <v/>
      </c>
      <c r="P265" s="91" t="n"/>
      <c r="Q265" s="91" t="n"/>
      <c r="R265" s="91" t="n"/>
      <c r="S265" s="91" t="n"/>
      <c r="T265" s="91" t="n"/>
      <c r="U265" s="89">
        <f>IF($K265="","",SUM($R265:$T265))</f>
        <v/>
      </c>
      <c r="V265" s="89">
        <f>IF($K265="","",$M265-(N($N265)+N($O265)+IF($P265="",Setup!$B$17,$P265)+N($Q265))-N($U265))</f>
        <v/>
      </c>
      <c r="W265" s="86" t="n"/>
      <c r="X265" s="87" t="n"/>
      <c r="Z265" s="92">
        <f>IF($A265="","",DATE(YEAR($A265),MONTH($A265),1))</f>
        <v/>
      </c>
    </row>
    <row r="266">
      <c r="A266" s="93" t="n"/>
      <c r="B266" s="94" t="n"/>
      <c r="C266" s="94" t="n"/>
      <c r="D266" s="95" t="n"/>
      <c r="E266" s="95" t="n"/>
      <c r="F266" s="95" t="n"/>
      <c r="G266" s="95" t="n"/>
      <c r="H266" s="96" t="n"/>
      <c r="I266" s="89">
        <f>IF($G266="","",IF($F266="",IFERROR(INDEX(Setup!$C$21:$C$60,MATCH("|"&amp;UPPER(TRIM($G266)),Setup!$Q$21:$Q$60,0)),"NO RATE"),IFERROR(INDEX(Setup!$C$21:$C$60,MATCH(UPPER(TRIM($F266))&amp;"|"&amp;UPPER(TRIM($G266)),Setup!$P$21:$P$60,0)),IFERROR(INDEX(Setup!$C$21:$C$60,MATCH(UPPER(TRIM($G266))&amp;"|"&amp;UPPER(TRIM($F266)),Setup!$P$21:$P$60,0)),"NO RATE"))))</f>
        <v/>
      </c>
      <c r="J266" s="97" t="n"/>
      <c r="K266" s="89">
        <f>IF(OR($G266="",$H266="",NOT(ISNUMBER($I266))),"",ROUND($H266*$I266*(1+IF($J266="",Setup!$B$16,$J266)),2))</f>
        <v/>
      </c>
      <c r="L266" s="89">
        <f>IF($K266="","",ROUND($K266*Setup!$B$13,2))</f>
        <v/>
      </c>
      <c r="M266" s="89">
        <f>IF($K266="","",$K266-$L266)</f>
        <v/>
      </c>
      <c r="N266" s="89">
        <f>IF(OR($M266="",$D266=""),"",ROUND($M266*IFERROR(IF(VLOOKUP($D266,Setup!$A$76:$C$87,3,FALSE)="",Setup!$B$14,VLOOKUP($D266,Setup!$A$76:$C$87,3,FALSE)),Setup!$B$14),2))</f>
        <v/>
      </c>
      <c r="O266" s="89">
        <f>IF(OR($M266="",$E266=""),"",ROUND($M266*IFERROR(IF(VLOOKUP($E266,Setup!$A$76:$C$87,3,FALSE)="",Setup!$B$15,VLOOKUP($E266,Setup!$A$76:$C$87,3,FALSE)),Setup!$B$15),2))</f>
        <v/>
      </c>
      <c r="P266" s="98" t="n"/>
      <c r="Q266" s="98" t="n"/>
      <c r="R266" s="98" t="n"/>
      <c r="S266" s="98" t="n"/>
      <c r="T266" s="98" t="n"/>
      <c r="U266" s="89">
        <f>IF($K266="","",SUM($R266:$T266))</f>
        <v/>
      </c>
      <c r="V266" s="89">
        <f>IF($K266="","",$M266-(N($N266)+N($O266)+IF($P266="",Setup!$B$17,$P266)+N($Q266))-N($U266))</f>
        <v/>
      </c>
      <c r="W266" s="94" t="n"/>
      <c r="X266" s="95" t="n"/>
      <c r="Z266" s="92">
        <f>IF($A266="","",DATE(YEAR($A266),MONTH($A266),1))</f>
        <v/>
      </c>
    </row>
    <row r="267">
      <c r="A267" s="85" t="n"/>
      <c r="B267" s="86" t="n"/>
      <c r="C267" s="86" t="n"/>
      <c r="D267" s="87" t="n"/>
      <c r="E267" s="87" t="n"/>
      <c r="F267" s="87" t="n"/>
      <c r="G267" s="87" t="n"/>
      <c r="H267" s="88" t="n"/>
      <c r="I267" s="89">
        <f>IF($G267="","",IF($F267="",IFERROR(INDEX(Setup!$C$21:$C$60,MATCH("|"&amp;UPPER(TRIM($G267)),Setup!$Q$21:$Q$60,0)),"NO RATE"),IFERROR(INDEX(Setup!$C$21:$C$60,MATCH(UPPER(TRIM($F267))&amp;"|"&amp;UPPER(TRIM($G267)),Setup!$P$21:$P$60,0)),IFERROR(INDEX(Setup!$C$21:$C$60,MATCH(UPPER(TRIM($G267))&amp;"|"&amp;UPPER(TRIM($F267)),Setup!$P$21:$P$60,0)),"NO RATE"))))</f>
        <v/>
      </c>
      <c r="J267" s="90" t="n"/>
      <c r="K267" s="89">
        <f>IF(OR($G267="",$H267="",NOT(ISNUMBER($I267))),"",ROUND($H267*$I267*(1+IF($J267="",Setup!$B$16,$J267)),2))</f>
        <v/>
      </c>
      <c r="L267" s="89">
        <f>IF($K267="","",ROUND($K267*Setup!$B$13,2))</f>
        <v/>
      </c>
      <c r="M267" s="89">
        <f>IF($K267="","",$K267-$L267)</f>
        <v/>
      </c>
      <c r="N267" s="89">
        <f>IF(OR($M267="",$D267=""),"",ROUND($M267*IFERROR(IF(VLOOKUP($D267,Setup!$A$76:$C$87,3,FALSE)="",Setup!$B$14,VLOOKUP($D267,Setup!$A$76:$C$87,3,FALSE)),Setup!$B$14),2))</f>
        <v/>
      </c>
      <c r="O267" s="89">
        <f>IF(OR($M267="",$E267=""),"",ROUND($M267*IFERROR(IF(VLOOKUP($E267,Setup!$A$76:$C$87,3,FALSE)="",Setup!$B$15,VLOOKUP($E267,Setup!$A$76:$C$87,3,FALSE)),Setup!$B$15),2))</f>
        <v/>
      </c>
      <c r="P267" s="91" t="n"/>
      <c r="Q267" s="91" t="n"/>
      <c r="R267" s="91" t="n"/>
      <c r="S267" s="91" t="n"/>
      <c r="T267" s="91" t="n"/>
      <c r="U267" s="89">
        <f>IF($K267="","",SUM($R267:$T267))</f>
        <v/>
      </c>
      <c r="V267" s="89">
        <f>IF($K267="","",$M267-(N($N267)+N($O267)+IF($P267="",Setup!$B$17,$P267)+N($Q267))-N($U267))</f>
        <v/>
      </c>
      <c r="W267" s="86" t="n"/>
      <c r="X267" s="87" t="n"/>
      <c r="Z267" s="92">
        <f>IF($A267="","",DATE(YEAR($A267),MONTH($A267),1))</f>
        <v/>
      </c>
    </row>
    <row r="268">
      <c r="A268" s="93" t="n"/>
      <c r="B268" s="94" t="n"/>
      <c r="C268" s="94" t="n"/>
      <c r="D268" s="95" t="n"/>
      <c r="E268" s="95" t="n"/>
      <c r="F268" s="95" t="n"/>
      <c r="G268" s="95" t="n"/>
      <c r="H268" s="96" t="n"/>
      <c r="I268" s="89">
        <f>IF($G268="","",IF($F268="",IFERROR(INDEX(Setup!$C$21:$C$60,MATCH("|"&amp;UPPER(TRIM($G268)),Setup!$Q$21:$Q$60,0)),"NO RATE"),IFERROR(INDEX(Setup!$C$21:$C$60,MATCH(UPPER(TRIM($F268))&amp;"|"&amp;UPPER(TRIM($G268)),Setup!$P$21:$P$60,0)),IFERROR(INDEX(Setup!$C$21:$C$60,MATCH(UPPER(TRIM($G268))&amp;"|"&amp;UPPER(TRIM($F268)),Setup!$P$21:$P$60,0)),"NO RATE"))))</f>
        <v/>
      </c>
      <c r="J268" s="97" t="n"/>
      <c r="K268" s="89">
        <f>IF(OR($G268="",$H268="",NOT(ISNUMBER($I268))),"",ROUND($H268*$I268*(1+IF($J268="",Setup!$B$16,$J268)),2))</f>
        <v/>
      </c>
      <c r="L268" s="89">
        <f>IF($K268="","",ROUND($K268*Setup!$B$13,2))</f>
        <v/>
      </c>
      <c r="M268" s="89">
        <f>IF($K268="","",$K268-$L268)</f>
        <v/>
      </c>
      <c r="N268" s="89">
        <f>IF(OR($M268="",$D268=""),"",ROUND($M268*IFERROR(IF(VLOOKUP($D268,Setup!$A$76:$C$87,3,FALSE)="",Setup!$B$14,VLOOKUP($D268,Setup!$A$76:$C$87,3,FALSE)),Setup!$B$14),2))</f>
        <v/>
      </c>
      <c r="O268" s="89">
        <f>IF(OR($M268="",$E268=""),"",ROUND($M268*IFERROR(IF(VLOOKUP($E268,Setup!$A$76:$C$87,3,FALSE)="",Setup!$B$15,VLOOKUP($E268,Setup!$A$76:$C$87,3,FALSE)),Setup!$B$15),2))</f>
        <v/>
      </c>
      <c r="P268" s="98" t="n"/>
      <c r="Q268" s="98" t="n"/>
      <c r="R268" s="98" t="n"/>
      <c r="S268" s="98" t="n"/>
      <c r="T268" s="98" t="n"/>
      <c r="U268" s="89">
        <f>IF($K268="","",SUM($R268:$T268))</f>
        <v/>
      </c>
      <c r="V268" s="89">
        <f>IF($K268="","",$M268-(N($N268)+N($O268)+IF($P268="",Setup!$B$17,$P268)+N($Q268))-N($U268))</f>
        <v/>
      </c>
      <c r="W268" s="94" t="n"/>
      <c r="X268" s="95" t="n"/>
      <c r="Z268" s="92">
        <f>IF($A268="","",DATE(YEAR($A268),MONTH($A268),1))</f>
        <v/>
      </c>
    </row>
    <row r="269">
      <c r="A269" s="85" t="n"/>
      <c r="B269" s="86" t="n"/>
      <c r="C269" s="86" t="n"/>
      <c r="D269" s="87" t="n"/>
      <c r="E269" s="87" t="n"/>
      <c r="F269" s="87" t="n"/>
      <c r="G269" s="87" t="n"/>
      <c r="H269" s="88" t="n"/>
      <c r="I269" s="89">
        <f>IF($G269="","",IF($F269="",IFERROR(INDEX(Setup!$C$21:$C$60,MATCH("|"&amp;UPPER(TRIM($G269)),Setup!$Q$21:$Q$60,0)),"NO RATE"),IFERROR(INDEX(Setup!$C$21:$C$60,MATCH(UPPER(TRIM($F269))&amp;"|"&amp;UPPER(TRIM($G269)),Setup!$P$21:$P$60,0)),IFERROR(INDEX(Setup!$C$21:$C$60,MATCH(UPPER(TRIM($G269))&amp;"|"&amp;UPPER(TRIM($F269)),Setup!$P$21:$P$60,0)),"NO RATE"))))</f>
        <v/>
      </c>
      <c r="J269" s="90" t="n"/>
      <c r="K269" s="89">
        <f>IF(OR($G269="",$H269="",NOT(ISNUMBER($I269))),"",ROUND($H269*$I269*(1+IF($J269="",Setup!$B$16,$J269)),2))</f>
        <v/>
      </c>
      <c r="L269" s="89">
        <f>IF($K269="","",ROUND($K269*Setup!$B$13,2))</f>
        <v/>
      </c>
      <c r="M269" s="89">
        <f>IF($K269="","",$K269-$L269)</f>
        <v/>
      </c>
      <c r="N269" s="89">
        <f>IF(OR($M269="",$D269=""),"",ROUND($M269*IFERROR(IF(VLOOKUP($D269,Setup!$A$76:$C$87,3,FALSE)="",Setup!$B$14,VLOOKUP($D269,Setup!$A$76:$C$87,3,FALSE)),Setup!$B$14),2))</f>
        <v/>
      </c>
      <c r="O269" s="89">
        <f>IF(OR($M269="",$E269=""),"",ROUND($M269*IFERROR(IF(VLOOKUP($E269,Setup!$A$76:$C$87,3,FALSE)="",Setup!$B$15,VLOOKUP($E269,Setup!$A$76:$C$87,3,FALSE)),Setup!$B$15),2))</f>
        <v/>
      </c>
      <c r="P269" s="91" t="n"/>
      <c r="Q269" s="91" t="n"/>
      <c r="R269" s="91" t="n"/>
      <c r="S269" s="91" t="n"/>
      <c r="T269" s="91" t="n"/>
      <c r="U269" s="89">
        <f>IF($K269="","",SUM($R269:$T269))</f>
        <v/>
      </c>
      <c r="V269" s="89">
        <f>IF($K269="","",$M269-(N($N269)+N($O269)+IF($P269="",Setup!$B$17,$P269)+N($Q269))-N($U269))</f>
        <v/>
      </c>
      <c r="W269" s="86" t="n"/>
      <c r="X269" s="87" t="n"/>
      <c r="Z269" s="92">
        <f>IF($A269="","",DATE(YEAR($A269),MONTH($A269),1))</f>
        <v/>
      </c>
    </row>
    <row r="270">
      <c r="A270" s="93" t="n"/>
      <c r="B270" s="94" t="n"/>
      <c r="C270" s="94" t="n"/>
      <c r="D270" s="95" t="n"/>
      <c r="E270" s="95" t="n"/>
      <c r="F270" s="95" t="n"/>
      <c r="G270" s="95" t="n"/>
      <c r="H270" s="96" t="n"/>
      <c r="I270" s="89">
        <f>IF($G270="","",IF($F270="",IFERROR(INDEX(Setup!$C$21:$C$60,MATCH("|"&amp;UPPER(TRIM($G270)),Setup!$Q$21:$Q$60,0)),"NO RATE"),IFERROR(INDEX(Setup!$C$21:$C$60,MATCH(UPPER(TRIM($F270))&amp;"|"&amp;UPPER(TRIM($G270)),Setup!$P$21:$P$60,0)),IFERROR(INDEX(Setup!$C$21:$C$60,MATCH(UPPER(TRIM($G270))&amp;"|"&amp;UPPER(TRIM($F270)),Setup!$P$21:$P$60,0)),"NO RATE"))))</f>
        <v/>
      </c>
      <c r="J270" s="97" t="n"/>
      <c r="K270" s="89">
        <f>IF(OR($G270="",$H270="",NOT(ISNUMBER($I270))),"",ROUND($H270*$I270*(1+IF($J270="",Setup!$B$16,$J270)),2))</f>
        <v/>
      </c>
      <c r="L270" s="89">
        <f>IF($K270="","",ROUND($K270*Setup!$B$13,2))</f>
        <v/>
      </c>
      <c r="M270" s="89">
        <f>IF($K270="","",$K270-$L270)</f>
        <v/>
      </c>
      <c r="N270" s="89">
        <f>IF(OR($M270="",$D270=""),"",ROUND($M270*IFERROR(IF(VLOOKUP($D270,Setup!$A$76:$C$87,3,FALSE)="",Setup!$B$14,VLOOKUP($D270,Setup!$A$76:$C$87,3,FALSE)),Setup!$B$14),2))</f>
        <v/>
      </c>
      <c r="O270" s="89">
        <f>IF(OR($M270="",$E270=""),"",ROUND($M270*IFERROR(IF(VLOOKUP($E270,Setup!$A$76:$C$87,3,FALSE)="",Setup!$B$15,VLOOKUP($E270,Setup!$A$76:$C$87,3,FALSE)),Setup!$B$15),2))</f>
        <v/>
      </c>
      <c r="P270" s="98" t="n"/>
      <c r="Q270" s="98" t="n"/>
      <c r="R270" s="98" t="n"/>
      <c r="S270" s="98" t="n"/>
      <c r="T270" s="98" t="n"/>
      <c r="U270" s="89">
        <f>IF($K270="","",SUM($R270:$T270))</f>
        <v/>
      </c>
      <c r="V270" s="89">
        <f>IF($K270="","",$M270-(N($N270)+N($O270)+IF($P270="",Setup!$B$17,$P270)+N($Q270))-N($U270))</f>
        <v/>
      </c>
      <c r="W270" s="94" t="n"/>
      <c r="X270" s="95" t="n"/>
      <c r="Z270" s="92">
        <f>IF($A270="","",DATE(YEAR($A270),MONTH($A270),1))</f>
        <v/>
      </c>
    </row>
    <row r="271">
      <c r="A271" s="85" t="n"/>
      <c r="B271" s="86" t="n"/>
      <c r="C271" s="86" t="n"/>
      <c r="D271" s="87" t="n"/>
      <c r="E271" s="87" t="n"/>
      <c r="F271" s="87" t="n"/>
      <c r="G271" s="87" t="n"/>
      <c r="H271" s="88" t="n"/>
      <c r="I271" s="89">
        <f>IF($G271="","",IF($F271="",IFERROR(INDEX(Setup!$C$21:$C$60,MATCH("|"&amp;UPPER(TRIM($G271)),Setup!$Q$21:$Q$60,0)),"NO RATE"),IFERROR(INDEX(Setup!$C$21:$C$60,MATCH(UPPER(TRIM($F271))&amp;"|"&amp;UPPER(TRIM($G271)),Setup!$P$21:$P$60,0)),IFERROR(INDEX(Setup!$C$21:$C$60,MATCH(UPPER(TRIM($G271))&amp;"|"&amp;UPPER(TRIM($F271)),Setup!$P$21:$P$60,0)),"NO RATE"))))</f>
        <v/>
      </c>
      <c r="J271" s="90" t="n"/>
      <c r="K271" s="89">
        <f>IF(OR($G271="",$H271="",NOT(ISNUMBER($I271))),"",ROUND($H271*$I271*(1+IF($J271="",Setup!$B$16,$J271)),2))</f>
        <v/>
      </c>
      <c r="L271" s="89">
        <f>IF($K271="","",ROUND($K271*Setup!$B$13,2))</f>
        <v/>
      </c>
      <c r="M271" s="89">
        <f>IF($K271="","",$K271-$L271)</f>
        <v/>
      </c>
      <c r="N271" s="89">
        <f>IF(OR($M271="",$D271=""),"",ROUND($M271*IFERROR(IF(VLOOKUP($D271,Setup!$A$76:$C$87,3,FALSE)="",Setup!$B$14,VLOOKUP($D271,Setup!$A$76:$C$87,3,FALSE)),Setup!$B$14),2))</f>
        <v/>
      </c>
      <c r="O271" s="89">
        <f>IF(OR($M271="",$E271=""),"",ROUND($M271*IFERROR(IF(VLOOKUP($E271,Setup!$A$76:$C$87,3,FALSE)="",Setup!$B$15,VLOOKUP($E271,Setup!$A$76:$C$87,3,FALSE)),Setup!$B$15),2))</f>
        <v/>
      </c>
      <c r="P271" s="91" t="n"/>
      <c r="Q271" s="91" t="n"/>
      <c r="R271" s="91" t="n"/>
      <c r="S271" s="91" t="n"/>
      <c r="T271" s="91" t="n"/>
      <c r="U271" s="89">
        <f>IF($K271="","",SUM($R271:$T271))</f>
        <v/>
      </c>
      <c r="V271" s="89">
        <f>IF($K271="","",$M271-(N($N271)+N($O271)+IF($P271="",Setup!$B$17,$P271)+N($Q271))-N($U271))</f>
        <v/>
      </c>
      <c r="W271" s="86" t="n"/>
      <c r="X271" s="87" t="n"/>
      <c r="Z271" s="92">
        <f>IF($A271="","",DATE(YEAR($A271),MONTH($A271),1))</f>
        <v/>
      </c>
    </row>
    <row r="272">
      <c r="A272" s="93" t="n"/>
      <c r="B272" s="94" t="n"/>
      <c r="C272" s="94" t="n"/>
      <c r="D272" s="95" t="n"/>
      <c r="E272" s="95" t="n"/>
      <c r="F272" s="95" t="n"/>
      <c r="G272" s="95" t="n"/>
      <c r="H272" s="96" t="n"/>
      <c r="I272" s="89">
        <f>IF($G272="","",IF($F272="",IFERROR(INDEX(Setup!$C$21:$C$60,MATCH("|"&amp;UPPER(TRIM($G272)),Setup!$Q$21:$Q$60,0)),"NO RATE"),IFERROR(INDEX(Setup!$C$21:$C$60,MATCH(UPPER(TRIM($F272))&amp;"|"&amp;UPPER(TRIM($G272)),Setup!$P$21:$P$60,0)),IFERROR(INDEX(Setup!$C$21:$C$60,MATCH(UPPER(TRIM($G272))&amp;"|"&amp;UPPER(TRIM($F272)),Setup!$P$21:$P$60,0)),"NO RATE"))))</f>
        <v/>
      </c>
      <c r="J272" s="97" t="n"/>
      <c r="K272" s="89">
        <f>IF(OR($G272="",$H272="",NOT(ISNUMBER($I272))),"",ROUND($H272*$I272*(1+IF($J272="",Setup!$B$16,$J272)),2))</f>
        <v/>
      </c>
      <c r="L272" s="89">
        <f>IF($K272="","",ROUND($K272*Setup!$B$13,2))</f>
        <v/>
      </c>
      <c r="M272" s="89">
        <f>IF($K272="","",$K272-$L272)</f>
        <v/>
      </c>
      <c r="N272" s="89">
        <f>IF(OR($M272="",$D272=""),"",ROUND($M272*IFERROR(IF(VLOOKUP($D272,Setup!$A$76:$C$87,3,FALSE)="",Setup!$B$14,VLOOKUP($D272,Setup!$A$76:$C$87,3,FALSE)),Setup!$B$14),2))</f>
        <v/>
      </c>
      <c r="O272" s="89">
        <f>IF(OR($M272="",$E272=""),"",ROUND($M272*IFERROR(IF(VLOOKUP($E272,Setup!$A$76:$C$87,3,FALSE)="",Setup!$B$15,VLOOKUP($E272,Setup!$A$76:$C$87,3,FALSE)),Setup!$B$15),2))</f>
        <v/>
      </c>
      <c r="P272" s="98" t="n"/>
      <c r="Q272" s="98" t="n"/>
      <c r="R272" s="98" t="n"/>
      <c r="S272" s="98" t="n"/>
      <c r="T272" s="98" t="n"/>
      <c r="U272" s="89">
        <f>IF($K272="","",SUM($R272:$T272))</f>
        <v/>
      </c>
      <c r="V272" s="89">
        <f>IF($K272="","",$M272-(N($N272)+N($O272)+IF($P272="",Setup!$B$17,$P272)+N($Q272))-N($U272))</f>
        <v/>
      </c>
      <c r="W272" s="94" t="n"/>
      <c r="X272" s="95" t="n"/>
      <c r="Z272" s="92">
        <f>IF($A272="","",DATE(YEAR($A272),MONTH($A272),1))</f>
        <v/>
      </c>
    </row>
    <row r="273">
      <c r="A273" s="85" t="n"/>
      <c r="B273" s="86" t="n"/>
      <c r="C273" s="86" t="n"/>
      <c r="D273" s="87" t="n"/>
      <c r="E273" s="87" t="n"/>
      <c r="F273" s="87" t="n"/>
      <c r="G273" s="87" t="n"/>
      <c r="H273" s="88" t="n"/>
      <c r="I273" s="89">
        <f>IF($G273="","",IF($F273="",IFERROR(INDEX(Setup!$C$21:$C$60,MATCH("|"&amp;UPPER(TRIM($G273)),Setup!$Q$21:$Q$60,0)),"NO RATE"),IFERROR(INDEX(Setup!$C$21:$C$60,MATCH(UPPER(TRIM($F273))&amp;"|"&amp;UPPER(TRIM($G273)),Setup!$P$21:$P$60,0)),IFERROR(INDEX(Setup!$C$21:$C$60,MATCH(UPPER(TRIM($G273))&amp;"|"&amp;UPPER(TRIM($F273)),Setup!$P$21:$P$60,0)),"NO RATE"))))</f>
        <v/>
      </c>
      <c r="J273" s="90" t="n"/>
      <c r="K273" s="89">
        <f>IF(OR($G273="",$H273="",NOT(ISNUMBER($I273))),"",ROUND($H273*$I273*(1+IF($J273="",Setup!$B$16,$J273)),2))</f>
        <v/>
      </c>
      <c r="L273" s="89">
        <f>IF($K273="","",ROUND($K273*Setup!$B$13,2))</f>
        <v/>
      </c>
      <c r="M273" s="89">
        <f>IF($K273="","",$K273-$L273)</f>
        <v/>
      </c>
      <c r="N273" s="89">
        <f>IF(OR($M273="",$D273=""),"",ROUND($M273*IFERROR(IF(VLOOKUP($D273,Setup!$A$76:$C$87,3,FALSE)="",Setup!$B$14,VLOOKUP($D273,Setup!$A$76:$C$87,3,FALSE)),Setup!$B$14),2))</f>
        <v/>
      </c>
      <c r="O273" s="89">
        <f>IF(OR($M273="",$E273=""),"",ROUND($M273*IFERROR(IF(VLOOKUP($E273,Setup!$A$76:$C$87,3,FALSE)="",Setup!$B$15,VLOOKUP($E273,Setup!$A$76:$C$87,3,FALSE)),Setup!$B$15),2))</f>
        <v/>
      </c>
      <c r="P273" s="91" t="n"/>
      <c r="Q273" s="91" t="n"/>
      <c r="R273" s="91" t="n"/>
      <c r="S273" s="91" t="n"/>
      <c r="T273" s="91" t="n"/>
      <c r="U273" s="89">
        <f>IF($K273="","",SUM($R273:$T273))</f>
        <v/>
      </c>
      <c r="V273" s="89">
        <f>IF($K273="","",$M273-(N($N273)+N($O273)+IF($P273="",Setup!$B$17,$P273)+N($Q273))-N($U273))</f>
        <v/>
      </c>
      <c r="W273" s="86" t="n"/>
      <c r="X273" s="87" t="n"/>
      <c r="Z273" s="92">
        <f>IF($A273="","",DATE(YEAR($A273),MONTH($A273),1))</f>
        <v/>
      </c>
    </row>
    <row r="274">
      <c r="A274" s="93" t="n"/>
      <c r="B274" s="94" t="n"/>
      <c r="C274" s="94" t="n"/>
      <c r="D274" s="95" t="n"/>
      <c r="E274" s="95" t="n"/>
      <c r="F274" s="95" t="n"/>
      <c r="G274" s="95" t="n"/>
      <c r="H274" s="96" t="n"/>
      <c r="I274" s="89">
        <f>IF($G274="","",IF($F274="",IFERROR(INDEX(Setup!$C$21:$C$60,MATCH("|"&amp;UPPER(TRIM($G274)),Setup!$Q$21:$Q$60,0)),"NO RATE"),IFERROR(INDEX(Setup!$C$21:$C$60,MATCH(UPPER(TRIM($F274))&amp;"|"&amp;UPPER(TRIM($G274)),Setup!$P$21:$P$60,0)),IFERROR(INDEX(Setup!$C$21:$C$60,MATCH(UPPER(TRIM($G274))&amp;"|"&amp;UPPER(TRIM($F274)),Setup!$P$21:$P$60,0)),"NO RATE"))))</f>
        <v/>
      </c>
      <c r="J274" s="97" t="n"/>
      <c r="K274" s="89">
        <f>IF(OR($G274="",$H274="",NOT(ISNUMBER($I274))),"",ROUND($H274*$I274*(1+IF($J274="",Setup!$B$16,$J274)),2))</f>
        <v/>
      </c>
      <c r="L274" s="89">
        <f>IF($K274="","",ROUND($K274*Setup!$B$13,2))</f>
        <v/>
      </c>
      <c r="M274" s="89">
        <f>IF($K274="","",$K274-$L274)</f>
        <v/>
      </c>
      <c r="N274" s="89">
        <f>IF(OR($M274="",$D274=""),"",ROUND($M274*IFERROR(IF(VLOOKUP($D274,Setup!$A$76:$C$87,3,FALSE)="",Setup!$B$14,VLOOKUP($D274,Setup!$A$76:$C$87,3,FALSE)),Setup!$B$14),2))</f>
        <v/>
      </c>
      <c r="O274" s="89">
        <f>IF(OR($M274="",$E274=""),"",ROUND($M274*IFERROR(IF(VLOOKUP($E274,Setup!$A$76:$C$87,3,FALSE)="",Setup!$B$15,VLOOKUP($E274,Setup!$A$76:$C$87,3,FALSE)),Setup!$B$15),2))</f>
        <v/>
      </c>
      <c r="P274" s="98" t="n"/>
      <c r="Q274" s="98" t="n"/>
      <c r="R274" s="98" t="n"/>
      <c r="S274" s="98" t="n"/>
      <c r="T274" s="98" t="n"/>
      <c r="U274" s="89">
        <f>IF($K274="","",SUM($R274:$T274))</f>
        <v/>
      </c>
      <c r="V274" s="89">
        <f>IF($K274="","",$M274-(N($N274)+N($O274)+IF($P274="",Setup!$B$17,$P274)+N($Q274))-N($U274))</f>
        <v/>
      </c>
      <c r="W274" s="94" t="n"/>
      <c r="X274" s="95" t="n"/>
      <c r="Z274" s="92">
        <f>IF($A274="","",DATE(YEAR($A274),MONTH($A274),1))</f>
        <v/>
      </c>
    </row>
    <row r="275">
      <c r="A275" s="85" t="n"/>
      <c r="B275" s="86" t="n"/>
      <c r="C275" s="86" t="n"/>
      <c r="D275" s="87" t="n"/>
      <c r="E275" s="87" t="n"/>
      <c r="F275" s="87" t="n"/>
      <c r="G275" s="87" t="n"/>
      <c r="H275" s="88" t="n"/>
      <c r="I275" s="89">
        <f>IF($G275="","",IF($F275="",IFERROR(INDEX(Setup!$C$21:$C$60,MATCH("|"&amp;UPPER(TRIM($G275)),Setup!$Q$21:$Q$60,0)),"NO RATE"),IFERROR(INDEX(Setup!$C$21:$C$60,MATCH(UPPER(TRIM($F275))&amp;"|"&amp;UPPER(TRIM($G275)),Setup!$P$21:$P$60,0)),IFERROR(INDEX(Setup!$C$21:$C$60,MATCH(UPPER(TRIM($G275))&amp;"|"&amp;UPPER(TRIM($F275)),Setup!$P$21:$P$60,0)),"NO RATE"))))</f>
        <v/>
      </c>
      <c r="J275" s="90" t="n"/>
      <c r="K275" s="89">
        <f>IF(OR($G275="",$H275="",NOT(ISNUMBER($I275))),"",ROUND($H275*$I275*(1+IF($J275="",Setup!$B$16,$J275)),2))</f>
        <v/>
      </c>
      <c r="L275" s="89">
        <f>IF($K275="","",ROUND($K275*Setup!$B$13,2))</f>
        <v/>
      </c>
      <c r="M275" s="89">
        <f>IF($K275="","",$K275-$L275)</f>
        <v/>
      </c>
      <c r="N275" s="89">
        <f>IF(OR($M275="",$D275=""),"",ROUND($M275*IFERROR(IF(VLOOKUP($D275,Setup!$A$76:$C$87,3,FALSE)="",Setup!$B$14,VLOOKUP($D275,Setup!$A$76:$C$87,3,FALSE)),Setup!$B$14),2))</f>
        <v/>
      </c>
      <c r="O275" s="89">
        <f>IF(OR($M275="",$E275=""),"",ROUND($M275*IFERROR(IF(VLOOKUP($E275,Setup!$A$76:$C$87,3,FALSE)="",Setup!$B$15,VLOOKUP($E275,Setup!$A$76:$C$87,3,FALSE)),Setup!$B$15),2))</f>
        <v/>
      </c>
      <c r="P275" s="91" t="n"/>
      <c r="Q275" s="91" t="n"/>
      <c r="R275" s="91" t="n"/>
      <c r="S275" s="91" t="n"/>
      <c r="T275" s="91" t="n"/>
      <c r="U275" s="89">
        <f>IF($K275="","",SUM($R275:$T275))</f>
        <v/>
      </c>
      <c r="V275" s="89">
        <f>IF($K275="","",$M275-(N($N275)+N($O275)+IF($P275="",Setup!$B$17,$P275)+N($Q275))-N($U275))</f>
        <v/>
      </c>
      <c r="W275" s="86" t="n"/>
      <c r="X275" s="87" t="n"/>
      <c r="Z275" s="92">
        <f>IF($A275="","",DATE(YEAR($A275),MONTH($A275),1))</f>
        <v/>
      </c>
    </row>
    <row r="276">
      <c r="A276" s="93" t="n"/>
      <c r="B276" s="94" t="n"/>
      <c r="C276" s="94" t="n"/>
      <c r="D276" s="95" t="n"/>
      <c r="E276" s="95" t="n"/>
      <c r="F276" s="95" t="n"/>
      <c r="G276" s="95" t="n"/>
      <c r="H276" s="96" t="n"/>
      <c r="I276" s="89">
        <f>IF($G276="","",IF($F276="",IFERROR(INDEX(Setup!$C$21:$C$60,MATCH("|"&amp;UPPER(TRIM($G276)),Setup!$Q$21:$Q$60,0)),"NO RATE"),IFERROR(INDEX(Setup!$C$21:$C$60,MATCH(UPPER(TRIM($F276))&amp;"|"&amp;UPPER(TRIM($G276)),Setup!$P$21:$P$60,0)),IFERROR(INDEX(Setup!$C$21:$C$60,MATCH(UPPER(TRIM($G276))&amp;"|"&amp;UPPER(TRIM($F276)),Setup!$P$21:$P$60,0)),"NO RATE"))))</f>
        <v/>
      </c>
      <c r="J276" s="97" t="n"/>
      <c r="K276" s="89">
        <f>IF(OR($G276="",$H276="",NOT(ISNUMBER($I276))),"",ROUND($H276*$I276*(1+IF($J276="",Setup!$B$16,$J276)),2))</f>
        <v/>
      </c>
      <c r="L276" s="89">
        <f>IF($K276="","",ROUND($K276*Setup!$B$13,2))</f>
        <v/>
      </c>
      <c r="M276" s="89">
        <f>IF($K276="","",$K276-$L276)</f>
        <v/>
      </c>
      <c r="N276" s="89">
        <f>IF(OR($M276="",$D276=""),"",ROUND($M276*IFERROR(IF(VLOOKUP($D276,Setup!$A$76:$C$87,3,FALSE)="",Setup!$B$14,VLOOKUP($D276,Setup!$A$76:$C$87,3,FALSE)),Setup!$B$14),2))</f>
        <v/>
      </c>
      <c r="O276" s="89">
        <f>IF(OR($M276="",$E276=""),"",ROUND($M276*IFERROR(IF(VLOOKUP($E276,Setup!$A$76:$C$87,3,FALSE)="",Setup!$B$15,VLOOKUP($E276,Setup!$A$76:$C$87,3,FALSE)),Setup!$B$15),2))</f>
        <v/>
      </c>
      <c r="P276" s="98" t="n"/>
      <c r="Q276" s="98" t="n"/>
      <c r="R276" s="98" t="n"/>
      <c r="S276" s="98" t="n"/>
      <c r="T276" s="98" t="n"/>
      <c r="U276" s="89">
        <f>IF($K276="","",SUM($R276:$T276))</f>
        <v/>
      </c>
      <c r="V276" s="89">
        <f>IF($K276="","",$M276-(N($N276)+N($O276)+IF($P276="",Setup!$B$17,$P276)+N($Q276))-N($U276))</f>
        <v/>
      </c>
      <c r="W276" s="94" t="n"/>
      <c r="X276" s="95" t="n"/>
      <c r="Z276" s="92">
        <f>IF($A276="","",DATE(YEAR($A276),MONTH($A276),1))</f>
        <v/>
      </c>
    </row>
    <row r="277">
      <c r="A277" s="85" t="n"/>
      <c r="B277" s="86" t="n"/>
      <c r="C277" s="86" t="n"/>
      <c r="D277" s="87" t="n"/>
      <c r="E277" s="87" t="n"/>
      <c r="F277" s="87" t="n"/>
      <c r="G277" s="87" t="n"/>
      <c r="H277" s="88" t="n"/>
      <c r="I277" s="89">
        <f>IF($G277="","",IF($F277="",IFERROR(INDEX(Setup!$C$21:$C$60,MATCH("|"&amp;UPPER(TRIM($G277)),Setup!$Q$21:$Q$60,0)),"NO RATE"),IFERROR(INDEX(Setup!$C$21:$C$60,MATCH(UPPER(TRIM($F277))&amp;"|"&amp;UPPER(TRIM($G277)),Setup!$P$21:$P$60,0)),IFERROR(INDEX(Setup!$C$21:$C$60,MATCH(UPPER(TRIM($G277))&amp;"|"&amp;UPPER(TRIM($F277)),Setup!$P$21:$P$60,0)),"NO RATE"))))</f>
        <v/>
      </c>
      <c r="J277" s="90" t="n"/>
      <c r="K277" s="89">
        <f>IF(OR($G277="",$H277="",NOT(ISNUMBER($I277))),"",ROUND($H277*$I277*(1+IF($J277="",Setup!$B$16,$J277)),2))</f>
        <v/>
      </c>
      <c r="L277" s="89">
        <f>IF($K277="","",ROUND($K277*Setup!$B$13,2))</f>
        <v/>
      </c>
      <c r="M277" s="89">
        <f>IF($K277="","",$K277-$L277)</f>
        <v/>
      </c>
      <c r="N277" s="89">
        <f>IF(OR($M277="",$D277=""),"",ROUND($M277*IFERROR(IF(VLOOKUP($D277,Setup!$A$76:$C$87,3,FALSE)="",Setup!$B$14,VLOOKUP($D277,Setup!$A$76:$C$87,3,FALSE)),Setup!$B$14),2))</f>
        <v/>
      </c>
      <c r="O277" s="89">
        <f>IF(OR($M277="",$E277=""),"",ROUND($M277*IFERROR(IF(VLOOKUP($E277,Setup!$A$76:$C$87,3,FALSE)="",Setup!$B$15,VLOOKUP($E277,Setup!$A$76:$C$87,3,FALSE)),Setup!$B$15),2))</f>
        <v/>
      </c>
      <c r="P277" s="91" t="n"/>
      <c r="Q277" s="91" t="n"/>
      <c r="R277" s="91" t="n"/>
      <c r="S277" s="91" t="n"/>
      <c r="T277" s="91" t="n"/>
      <c r="U277" s="89">
        <f>IF($K277="","",SUM($R277:$T277))</f>
        <v/>
      </c>
      <c r="V277" s="89">
        <f>IF($K277="","",$M277-(N($N277)+N($O277)+IF($P277="",Setup!$B$17,$P277)+N($Q277))-N($U277))</f>
        <v/>
      </c>
      <c r="W277" s="86" t="n"/>
      <c r="X277" s="87" t="n"/>
      <c r="Z277" s="92">
        <f>IF($A277="","",DATE(YEAR($A277),MONTH($A277),1))</f>
        <v/>
      </c>
    </row>
    <row r="278">
      <c r="A278" s="93" t="n"/>
      <c r="B278" s="94" t="n"/>
      <c r="C278" s="94" t="n"/>
      <c r="D278" s="95" t="n"/>
      <c r="E278" s="95" t="n"/>
      <c r="F278" s="95" t="n"/>
      <c r="G278" s="95" t="n"/>
      <c r="H278" s="96" t="n"/>
      <c r="I278" s="89">
        <f>IF($G278="","",IF($F278="",IFERROR(INDEX(Setup!$C$21:$C$60,MATCH("|"&amp;UPPER(TRIM($G278)),Setup!$Q$21:$Q$60,0)),"NO RATE"),IFERROR(INDEX(Setup!$C$21:$C$60,MATCH(UPPER(TRIM($F278))&amp;"|"&amp;UPPER(TRIM($G278)),Setup!$P$21:$P$60,0)),IFERROR(INDEX(Setup!$C$21:$C$60,MATCH(UPPER(TRIM($G278))&amp;"|"&amp;UPPER(TRIM($F278)),Setup!$P$21:$P$60,0)),"NO RATE"))))</f>
        <v/>
      </c>
      <c r="J278" s="97" t="n"/>
      <c r="K278" s="89">
        <f>IF(OR($G278="",$H278="",NOT(ISNUMBER($I278))),"",ROUND($H278*$I278*(1+IF($J278="",Setup!$B$16,$J278)),2))</f>
        <v/>
      </c>
      <c r="L278" s="89">
        <f>IF($K278="","",ROUND($K278*Setup!$B$13,2))</f>
        <v/>
      </c>
      <c r="M278" s="89">
        <f>IF($K278="","",$K278-$L278)</f>
        <v/>
      </c>
      <c r="N278" s="89">
        <f>IF(OR($M278="",$D278=""),"",ROUND($M278*IFERROR(IF(VLOOKUP($D278,Setup!$A$76:$C$87,3,FALSE)="",Setup!$B$14,VLOOKUP($D278,Setup!$A$76:$C$87,3,FALSE)),Setup!$B$14),2))</f>
        <v/>
      </c>
      <c r="O278" s="89">
        <f>IF(OR($M278="",$E278=""),"",ROUND($M278*IFERROR(IF(VLOOKUP($E278,Setup!$A$76:$C$87,3,FALSE)="",Setup!$B$15,VLOOKUP($E278,Setup!$A$76:$C$87,3,FALSE)),Setup!$B$15),2))</f>
        <v/>
      </c>
      <c r="P278" s="98" t="n"/>
      <c r="Q278" s="98" t="n"/>
      <c r="R278" s="98" t="n"/>
      <c r="S278" s="98" t="n"/>
      <c r="T278" s="98" t="n"/>
      <c r="U278" s="89">
        <f>IF($K278="","",SUM($R278:$T278))</f>
        <v/>
      </c>
      <c r="V278" s="89">
        <f>IF($K278="","",$M278-(N($N278)+N($O278)+IF($P278="",Setup!$B$17,$P278)+N($Q278))-N($U278))</f>
        <v/>
      </c>
      <c r="W278" s="94" t="n"/>
      <c r="X278" s="95" t="n"/>
      <c r="Z278" s="92">
        <f>IF($A278="","",DATE(YEAR($A278),MONTH($A278),1))</f>
        <v/>
      </c>
    </row>
    <row r="279">
      <c r="A279" s="85" t="n"/>
      <c r="B279" s="86" t="n"/>
      <c r="C279" s="86" t="n"/>
      <c r="D279" s="87" t="n"/>
      <c r="E279" s="87" t="n"/>
      <c r="F279" s="87" t="n"/>
      <c r="G279" s="87" t="n"/>
      <c r="H279" s="88" t="n"/>
      <c r="I279" s="89">
        <f>IF($G279="","",IF($F279="",IFERROR(INDEX(Setup!$C$21:$C$60,MATCH("|"&amp;UPPER(TRIM($G279)),Setup!$Q$21:$Q$60,0)),"NO RATE"),IFERROR(INDEX(Setup!$C$21:$C$60,MATCH(UPPER(TRIM($F279))&amp;"|"&amp;UPPER(TRIM($G279)),Setup!$P$21:$P$60,0)),IFERROR(INDEX(Setup!$C$21:$C$60,MATCH(UPPER(TRIM($G279))&amp;"|"&amp;UPPER(TRIM($F279)),Setup!$P$21:$P$60,0)),"NO RATE"))))</f>
        <v/>
      </c>
      <c r="J279" s="90" t="n"/>
      <c r="K279" s="89">
        <f>IF(OR($G279="",$H279="",NOT(ISNUMBER($I279))),"",ROUND($H279*$I279*(1+IF($J279="",Setup!$B$16,$J279)),2))</f>
        <v/>
      </c>
      <c r="L279" s="89">
        <f>IF($K279="","",ROUND($K279*Setup!$B$13,2))</f>
        <v/>
      </c>
      <c r="M279" s="89">
        <f>IF($K279="","",$K279-$L279)</f>
        <v/>
      </c>
      <c r="N279" s="89">
        <f>IF(OR($M279="",$D279=""),"",ROUND($M279*IFERROR(IF(VLOOKUP($D279,Setup!$A$76:$C$87,3,FALSE)="",Setup!$B$14,VLOOKUP($D279,Setup!$A$76:$C$87,3,FALSE)),Setup!$B$14),2))</f>
        <v/>
      </c>
      <c r="O279" s="89">
        <f>IF(OR($M279="",$E279=""),"",ROUND($M279*IFERROR(IF(VLOOKUP($E279,Setup!$A$76:$C$87,3,FALSE)="",Setup!$B$15,VLOOKUP($E279,Setup!$A$76:$C$87,3,FALSE)),Setup!$B$15),2))</f>
        <v/>
      </c>
      <c r="P279" s="91" t="n"/>
      <c r="Q279" s="91" t="n"/>
      <c r="R279" s="91" t="n"/>
      <c r="S279" s="91" t="n"/>
      <c r="T279" s="91" t="n"/>
      <c r="U279" s="89">
        <f>IF($K279="","",SUM($R279:$T279))</f>
        <v/>
      </c>
      <c r="V279" s="89">
        <f>IF($K279="","",$M279-(N($N279)+N($O279)+IF($P279="",Setup!$B$17,$P279)+N($Q279))-N($U279))</f>
        <v/>
      </c>
      <c r="W279" s="86" t="n"/>
      <c r="X279" s="87" t="n"/>
      <c r="Z279" s="92">
        <f>IF($A279="","",DATE(YEAR($A279),MONTH($A279),1))</f>
        <v/>
      </c>
    </row>
    <row r="280">
      <c r="A280" s="93" t="n"/>
      <c r="B280" s="94" t="n"/>
      <c r="C280" s="94" t="n"/>
      <c r="D280" s="95" t="n"/>
      <c r="E280" s="95" t="n"/>
      <c r="F280" s="95" t="n"/>
      <c r="G280" s="95" t="n"/>
      <c r="H280" s="96" t="n"/>
      <c r="I280" s="89">
        <f>IF($G280="","",IF($F280="",IFERROR(INDEX(Setup!$C$21:$C$60,MATCH("|"&amp;UPPER(TRIM($G280)),Setup!$Q$21:$Q$60,0)),"NO RATE"),IFERROR(INDEX(Setup!$C$21:$C$60,MATCH(UPPER(TRIM($F280))&amp;"|"&amp;UPPER(TRIM($G280)),Setup!$P$21:$P$60,0)),IFERROR(INDEX(Setup!$C$21:$C$60,MATCH(UPPER(TRIM($G280))&amp;"|"&amp;UPPER(TRIM($F280)),Setup!$P$21:$P$60,0)),"NO RATE"))))</f>
        <v/>
      </c>
      <c r="J280" s="97" t="n"/>
      <c r="K280" s="89">
        <f>IF(OR($G280="",$H280="",NOT(ISNUMBER($I280))),"",ROUND($H280*$I280*(1+IF($J280="",Setup!$B$16,$J280)),2))</f>
        <v/>
      </c>
      <c r="L280" s="89">
        <f>IF($K280="","",ROUND($K280*Setup!$B$13,2))</f>
        <v/>
      </c>
      <c r="M280" s="89">
        <f>IF($K280="","",$K280-$L280)</f>
        <v/>
      </c>
      <c r="N280" s="89">
        <f>IF(OR($M280="",$D280=""),"",ROUND($M280*IFERROR(IF(VLOOKUP($D280,Setup!$A$76:$C$87,3,FALSE)="",Setup!$B$14,VLOOKUP($D280,Setup!$A$76:$C$87,3,FALSE)),Setup!$B$14),2))</f>
        <v/>
      </c>
      <c r="O280" s="89">
        <f>IF(OR($M280="",$E280=""),"",ROUND($M280*IFERROR(IF(VLOOKUP($E280,Setup!$A$76:$C$87,3,FALSE)="",Setup!$B$15,VLOOKUP($E280,Setup!$A$76:$C$87,3,FALSE)),Setup!$B$15),2))</f>
        <v/>
      </c>
      <c r="P280" s="98" t="n"/>
      <c r="Q280" s="98" t="n"/>
      <c r="R280" s="98" t="n"/>
      <c r="S280" s="98" t="n"/>
      <c r="T280" s="98" t="n"/>
      <c r="U280" s="89">
        <f>IF($K280="","",SUM($R280:$T280))</f>
        <v/>
      </c>
      <c r="V280" s="89">
        <f>IF($K280="","",$M280-(N($N280)+N($O280)+IF($P280="",Setup!$B$17,$P280)+N($Q280))-N($U280))</f>
        <v/>
      </c>
      <c r="W280" s="94" t="n"/>
      <c r="X280" s="95" t="n"/>
      <c r="Z280" s="92">
        <f>IF($A280="","",DATE(YEAR($A280),MONTH($A280),1))</f>
        <v/>
      </c>
    </row>
    <row r="281">
      <c r="A281" s="85" t="n"/>
      <c r="B281" s="86" t="n"/>
      <c r="C281" s="86" t="n"/>
      <c r="D281" s="87" t="n"/>
      <c r="E281" s="87" t="n"/>
      <c r="F281" s="87" t="n"/>
      <c r="G281" s="87" t="n"/>
      <c r="H281" s="88" t="n"/>
      <c r="I281" s="89">
        <f>IF($G281="","",IF($F281="",IFERROR(INDEX(Setup!$C$21:$C$60,MATCH("|"&amp;UPPER(TRIM($G281)),Setup!$Q$21:$Q$60,0)),"NO RATE"),IFERROR(INDEX(Setup!$C$21:$C$60,MATCH(UPPER(TRIM($F281))&amp;"|"&amp;UPPER(TRIM($G281)),Setup!$P$21:$P$60,0)),IFERROR(INDEX(Setup!$C$21:$C$60,MATCH(UPPER(TRIM($G281))&amp;"|"&amp;UPPER(TRIM($F281)),Setup!$P$21:$P$60,0)),"NO RATE"))))</f>
        <v/>
      </c>
      <c r="J281" s="90" t="n"/>
      <c r="K281" s="89">
        <f>IF(OR($G281="",$H281="",NOT(ISNUMBER($I281))),"",ROUND($H281*$I281*(1+IF($J281="",Setup!$B$16,$J281)),2))</f>
        <v/>
      </c>
      <c r="L281" s="89">
        <f>IF($K281="","",ROUND($K281*Setup!$B$13,2))</f>
        <v/>
      </c>
      <c r="M281" s="89">
        <f>IF($K281="","",$K281-$L281)</f>
        <v/>
      </c>
      <c r="N281" s="89">
        <f>IF(OR($M281="",$D281=""),"",ROUND($M281*IFERROR(IF(VLOOKUP($D281,Setup!$A$76:$C$87,3,FALSE)="",Setup!$B$14,VLOOKUP($D281,Setup!$A$76:$C$87,3,FALSE)),Setup!$B$14),2))</f>
        <v/>
      </c>
      <c r="O281" s="89">
        <f>IF(OR($M281="",$E281=""),"",ROUND($M281*IFERROR(IF(VLOOKUP($E281,Setup!$A$76:$C$87,3,FALSE)="",Setup!$B$15,VLOOKUP($E281,Setup!$A$76:$C$87,3,FALSE)),Setup!$B$15),2))</f>
        <v/>
      </c>
      <c r="P281" s="91" t="n"/>
      <c r="Q281" s="91" t="n"/>
      <c r="R281" s="91" t="n"/>
      <c r="S281" s="91" t="n"/>
      <c r="T281" s="91" t="n"/>
      <c r="U281" s="89">
        <f>IF($K281="","",SUM($R281:$T281))</f>
        <v/>
      </c>
      <c r="V281" s="89">
        <f>IF($K281="","",$M281-(N($N281)+N($O281)+IF($P281="",Setup!$B$17,$P281)+N($Q281))-N($U281))</f>
        <v/>
      </c>
      <c r="W281" s="86" t="n"/>
      <c r="X281" s="87" t="n"/>
      <c r="Z281" s="92">
        <f>IF($A281="","",DATE(YEAR($A281),MONTH($A281),1))</f>
        <v/>
      </c>
    </row>
    <row r="282">
      <c r="A282" s="93" t="n"/>
      <c r="B282" s="94" t="n"/>
      <c r="C282" s="94" t="n"/>
      <c r="D282" s="95" t="n"/>
      <c r="E282" s="95" t="n"/>
      <c r="F282" s="95" t="n"/>
      <c r="G282" s="95" t="n"/>
      <c r="H282" s="96" t="n"/>
      <c r="I282" s="89">
        <f>IF($G282="","",IF($F282="",IFERROR(INDEX(Setup!$C$21:$C$60,MATCH("|"&amp;UPPER(TRIM($G282)),Setup!$Q$21:$Q$60,0)),"NO RATE"),IFERROR(INDEX(Setup!$C$21:$C$60,MATCH(UPPER(TRIM($F282))&amp;"|"&amp;UPPER(TRIM($G282)),Setup!$P$21:$P$60,0)),IFERROR(INDEX(Setup!$C$21:$C$60,MATCH(UPPER(TRIM($G282))&amp;"|"&amp;UPPER(TRIM($F282)),Setup!$P$21:$P$60,0)),"NO RATE"))))</f>
        <v/>
      </c>
      <c r="J282" s="97" t="n"/>
      <c r="K282" s="89">
        <f>IF(OR($G282="",$H282="",NOT(ISNUMBER($I282))),"",ROUND($H282*$I282*(1+IF($J282="",Setup!$B$16,$J282)),2))</f>
        <v/>
      </c>
      <c r="L282" s="89">
        <f>IF($K282="","",ROUND($K282*Setup!$B$13,2))</f>
        <v/>
      </c>
      <c r="M282" s="89">
        <f>IF($K282="","",$K282-$L282)</f>
        <v/>
      </c>
      <c r="N282" s="89">
        <f>IF(OR($M282="",$D282=""),"",ROUND($M282*IFERROR(IF(VLOOKUP($D282,Setup!$A$76:$C$87,3,FALSE)="",Setup!$B$14,VLOOKUP($D282,Setup!$A$76:$C$87,3,FALSE)),Setup!$B$14),2))</f>
        <v/>
      </c>
      <c r="O282" s="89">
        <f>IF(OR($M282="",$E282=""),"",ROUND($M282*IFERROR(IF(VLOOKUP($E282,Setup!$A$76:$C$87,3,FALSE)="",Setup!$B$15,VLOOKUP($E282,Setup!$A$76:$C$87,3,FALSE)),Setup!$B$15),2))</f>
        <v/>
      </c>
      <c r="P282" s="98" t="n"/>
      <c r="Q282" s="98" t="n"/>
      <c r="R282" s="98" t="n"/>
      <c r="S282" s="98" t="n"/>
      <c r="T282" s="98" t="n"/>
      <c r="U282" s="89">
        <f>IF($K282="","",SUM($R282:$T282))</f>
        <v/>
      </c>
      <c r="V282" s="89">
        <f>IF($K282="","",$M282-(N($N282)+N($O282)+IF($P282="",Setup!$B$17,$P282)+N($Q282))-N($U282))</f>
        <v/>
      </c>
      <c r="W282" s="94" t="n"/>
      <c r="X282" s="95" t="n"/>
      <c r="Z282" s="92">
        <f>IF($A282="","",DATE(YEAR($A282),MONTH($A282),1))</f>
        <v/>
      </c>
    </row>
    <row r="283">
      <c r="A283" s="85" t="n"/>
      <c r="B283" s="86" t="n"/>
      <c r="C283" s="86" t="n"/>
      <c r="D283" s="87" t="n"/>
      <c r="E283" s="87" t="n"/>
      <c r="F283" s="87" t="n"/>
      <c r="G283" s="87" t="n"/>
      <c r="H283" s="88" t="n"/>
      <c r="I283" s="89">
        <f>IF($G283="","",IF($F283="",IFERROR(INDEX(Setup!$C$21:$C$60,MATCH("|"&amp;UPPER(TRIM($G283)),Setup!$Q$21:$Q$60,0)),"NO RATE"),IFERROR(INDEX(Setup!$C$21:$C$60,MATCH(UPPER(TRIM($F283))&amp;"|"&amp;UPPER(TRIM($G283)),Setup!$P$21:$P$60,0)),IFERROR(INDEX(Setup!$C$21:$C$60,MATCH(UPPER(TRIM($G283))&amp;"|"&amp;UPPER(TRIM($F283)),Setup!$P$21:$P$60,0)),"NO RATE"))))</f>
        <v/>
      </c>
      <c r="J283" s="90" t="n"/>
      <c r="K283" s="89">
        <f>IF(OR($G283="",$H283="",NOT(ISNUMBER($I283))),"",ROUND($H283*$I283*(1+IF($J283="",Setup!$B$16,$J283)),2))</f>
        <v/>
      </c>
      <c r="L283" s="89">
        <f>IF($K283="","",ROUND($K283*Setup!$B$13,2))</f>
        <v/>
      </c>
      <c r="M283" s="89">
        <f>IF($K283="","",$K283-$L283)</f>
        <v/>
      </c>
      <c r="N283" s="89">
        <f>IF(OR($M283="",$D283=""),"",ROUND($M283*IFERROR(IF(VLOOKUP($D283,Setup!$A$76:$C$87,3,FALSE)="",Setup!$B$14,VLOOKUP($D283,Setup!$A$76:$C$87,3,FALSE)),Setup!$B$14),2))</f>
        <v/>
      </c>
      <c r="O283" s="89">
        <f>IF(OR($M283="",$E283=""),"",ROUND($M283*IFERROR(IF(VLOOKUP($E283,Setup!$A$76:$C$87,3,FALSE)="",Setup!$B$15,VLOOKUP($E283,Setup!$A$76:$C$87,3,FALSE)),Setup!$B$15),2))</f>
        <v/>
      </c>
      <c r="P283" s="91" t="n"/>
      <c r="Q283" s="91" t="n"/>
      <c r="R283" s="91" t="n"/>
      <c r="S283" s="91" t="n"/>
      <c r="T283" s="91" t="n"/>
      <c r="U283" s="89">
        <f>IF($K283="","",SUM($R283:$T283))</f>
        <v/>
      </c>
      <c r="V283" s="89">
        <f>IF($K283="","",$M283-(N($N283)+N($O283)+IF($P283="",Setup!$B$17,$P283)+N($Q283))-N($U283))</f>
        <v/>
      </c>
      <c r="W283" s="86" t="n"/>
      <c r="X283" s="87" t="n"/>
      <c r="Z283" s="92">
        <f>IF($A283="","",DATE(YEAR($A283),MONTH($A283),1))</f>
        <v/>
      </c>
    </row>
    <row r="284">
      <c r="A284" s="93" t="n"/>
      <c r="B284" s="94" t="n"/>
      <c r="C284" s="94" t="n"/>
      <c r="D284" s="95" t="n"/>
      <c r="E284" s="95" t="n"/>
      <c r="F284" s="95" t="n"/>
      <c r="G284" s="95" t="n"/>
      <c r="H284" s="96" t="n"/>
      <c r="I284" s="89">
        <f>IF($G284="","",IF($F284="",IFERROR(INDEX(Setup!$C$21:$C$60,MATCH("|"&amp;UPPER(TRIM($G284)),Setup!$Q$21:$Q$60,0)),"NO RATE"),IFERROR(INDEX(Setup!$C$21:$C$60,MATCH(UPPER(TRIM($F284))&amp;"|"&amp;UPPER(TRIM($G284)),Setup!$P$21:$P$60,0)),IFERROR(INDEX(Setup!$C$21:$C$60,MATCH(UPPER(TRIM($G284))&amp;"|"&amp;UPPER(TRIM($F284)),Setup!$P$21:$P$60,0)),"NO RATE"))))</f>
        <v/>
      </c>
      <c r="J284" s="97" t="n"/>
      <c r="K284" s="89">
        <f>IF(OR($G284="",$H284="",NOT(ISNUMBER($I284))),"",ROUND($H284*$I284*(1+IF($J284="",Setup!$B$16,$J284)),2))</f>
        <v/>
      </c>
      <c r="L284" s="89">
        <f>IF($K284="","",ROUND($K284*Setup!$B$13,2))</f>
        <v/>
      </c>
      <c r="M284" s="89">
        <f>IF($K284="","",$K284-$L284)</f>
        <v/>
      </c>
      <c r="N284" s="89">
        <f>IF(OR($M284="",$D284=""),"",ROUND($M284*IFERROR(IF(VLOOKUP($D284,Setup!$A$76:$C$87,3,FALSE)="",Setup!$B$14,VLOOKUP($D284,Setup!$A$76:$C$87,3,FALSE)),Setup!$B$14),2))</f>
        <v/>
      </c>
      <c r="O284" s="89">
        <f>IF(OR($M284="",$E284=""),"",ROUND($M284*IFERROR(IF(VLOOKUP($E284,Setup!$A$76:$C$87,3,FALSE)="",Setup!$B$15,VLOOKUP($E284,Setup!$A$76:$C$87,3,FALSE)),Setup!$B$15),2))</f>
        <v/>
      </c>
      <c r="P284" s="98" t="n"/>
      <c r="Q284" s="98" t="n"/>
      <c r="R284" s="98" t="n"/>
      <c r="S284" s="98" t="n"/>
      <c r="T284" s="98" t="n"/>
      <c r="U284" s="89">
        <f>IF($K284="","",SUM($R284:$T284))</f>
        <v/>
      </c>
      <c r="V284" s="89">
        <f>IF($K284="","",$M284-(N($N284)+N($O284)+IF($P284="",Setup!$B$17,$P284)+N($Q284))-N($U284))</f>
        <v/>
      </c>
      <c r="W284" s="94" t="n"/>
      <c r="X284" s="95" t="n"/>
      <c r="Z284" s="92">
        <f>IF($A284="","",DATE(YEAR($A284),MONTH($A284),1))</f>
        <v/>
      </c>
    </row>
    <row r="285">
      <c r="A285" s="85" t="n"/>
      <c r="B285" s="86" t="n"/>
      <c r="C285" s="86" t="n"/>
      <c r="D285" s="87" t="n"/>
      <c r="E285" s="87" t="n"/>
      <c r="F285" s="87" t="n"/>
      <c r="G285" s="87" t="n"/>
      <c r="H285" s="88" t="n"/>
      <c r="I285" s="89">
        <f>IF($G285="","",IF($F285="",IFERROR(INDEX(Setup!$C$21:$C$60,MATCH("|"&amp;UPPER(TRIM($G285)),Setup!$Q$21:$Q$60,0)),"NO RATE"),IFERROR(INDEX(Setup!$C$21:$C$60,MATCH(UPPER(TRIM($F285))&amp;"|"&amp;UPPER(TRIM($G285)),Setup!$P$21:$P$60,0)),IFERROR(INDEX(Setup!$C$21:$C$60,MATCH(UPPER(TRIM($G285))&amp;"|"&amp;UPPER(TRIM($F285)),Setup!$P$21:$P$60,0)),"NO RATE"))))</f>
        <v/>
      </c>
      <c r="J285" s="90" t="n"/>
      <c r="K285" s="89">
        <f>IF(OR($G285="",$H285="",NOT(ISNUMBER($I285))),"",ROUND($H285*$I285*(1+IF($J285="",Setup!$B$16,$J285)),2))</f>
        <v/>
      </c>
      <c r="L285" s="89">
        <f>IF($K285="","",ROUND($K285*Setup!$B$13,2))</f>
        <v/>
      </c>
      <c r="M285" s="89">
        <f>IF($K285="","",$K285-$L285)</f>
        <v/>
      </c>
      <c r="N285" s="89">
        <f>IF(OR($M285="",$D285=""),"",ROUND($M285*IFERROR(IF(VLOOKUP($D285,Setup!$A$76:$C$87,3,FALSE)="",Setup!$B$14,VLOOKUP($D285,Setup!$A$76:$C$87,3,FALSE)),Setup!$B$14),2))</f>
        <v/>
      </c>
      <c r="O285" s="89">
        <f>IF(OR($M285="",$E285=""),"",ROUND($M285*IFERROR(IF(VLOOKUP($E285,Setup!$A$76:$C$87,3,FALSE)="",Setup!$B$15,VLOOKUP($E285,Setup!$A$76:$C$87,3,FALSE)),Setup!$B$15),2))</f>
        <v/>
      </c>
      <c r="P285" s="91" t="n"/>
      <c r="Q285" s="91" t="n"/>
      <c r="R285" s="91" t="n"/>
      <c r="S285" s="91" t="n"/>
      <c r="T285" s="91" t="n"/>
      <c r="U285" s="89">
        <f>IF($K285="","",SUM($R285:$T285))</f>
        <v/>
      </c>
      <c r="V285" s="89">
        <f>IF($K285="","",$M285-(N($N285)+N($O285)+IF($P285="",Setup!$B$17,$P285)+N($Q285))-N($U285))</f>
        <v/>
      </c>
      <c r="W285" s="86" t="n"/>
      <c r="X285" s="87" t="n"/>
      <c r="Z285" s="92">
        <f>IF($A285="","",DATE(YEAR($A285),MONTH($A285),1))</f>
        <v/>
      </c>
    </row>
    <row r="286">
      <c r="A286" s="93" t="n"/>
      <c r="B286" s="94" t="n"/>
      <c r="C286" s="94" t="n"/>
      <c r="D286" s="95" t="n"/>
      <c r="E286" s="95" t="n"/>
      <c r="F286" s="95" t="n"/>
      <c r="G286" s="95" t="n"/>
      <c r="H286" s="96" t="n"/>
      <c r="I286" s="89">
        <f>IF($G286="","",IF($F286="",IFERROR(INDEX(Setup!$C$21:$C$60,MATCH("|"&amp;UPPER(TRIM($G286)),Setup!$Q$21:$Q$60,0)),"NO RATE"),IFERROR(INDEX(Setup!$C$21:$C$60,MATCH(UPPER(TRIM($F286))&amp;"|"&amp;UPPER(TRIM($G286)),Setup!$P$21:$P$60,0)),IFERROR(INDEX(Setup!$C$21:$C$60,MATCH(UPPER(TRIM($G286))&amp;"|"&amp;UPPER(TRIM($F286)),Setup!$P$21:$P$60,0)),"NO RATE"))))</f>
        <v/>
      </c>
      <c r="J286" s="97" t="n"/>
      <c r="K286" s="89">
        <f>IF(OR($G286="",$H286="",NOT(ISNUMBER($I286))),"",ROUND($H286*$I286*(1+IF($J286="",Setup!$B$16,$J286)),2))</f>
        <v/>
      </c>
      <c r="L286" s="89">
        <f>IF($K286="","",ROUND($K286*Setup!$B$13,2))</f>
        <v/>
      </c>
      <c r="M286" s="89">
        <f>IF($K286="","",$K286-$L286)</f>
        <v/>
      </c>
      <c r="N286" s="89">
        <f>IF(OR($M286="",$D286=""),"",ROUND($M286*IFERROR(IF(VLOOKUP($D286,Setup!$A$76:$C$87,3,FALSE)="",Setup!$B$14,VLOOKUP($D286,Setup!$A$76:$C$87,3,FALSE)),Setup!$B$14),2))</f>
        <v/>
      </c>
      <c r="O286" s="89">
        <f>IF(OR($M286="",$E286=""),"",ROUND($M286*IFERROR(IF(VLOOKUP($E286,Setup!$A$76:$C$87,3,FALSE)="",Setup!$B$15,VLOOKUP($E286,Setup!$A$76:$C$87,3,FALSE)),Setup!$B$15),2))</f>
        <v/>
      </c>
      <c r="P286" s="98" t="n"/>
      <c r="Q286" s="98" t="n"/>
      <c r="R286" s="98" t="n"/>
      <c r="S286" s="98" t="n"/>
      <c r="T286" s="98" t="n"/>
      <c r="U286" s="89">
        <f>IF($K286="","",SUM($R286:$T286))</f>
        <v/>
      </c>
      <c r="V286" s="89">
        <f>IF($K286="","",$M286-(N($N286)+N($O286)+IF($P286="",Setup!$B$17,$P286)+N($Q286))-N($U286))</f>
        <v/>
      </c>
      <c r="W286" s="94" t="n"/>
      <c r="X286" s="95" t="n"/>
      <c r="Z286" s="92">
        <f>IF($A286="","",DATE(YEAR($A286),MONTH($A286),1))</f>
        <v/>
      </c>
    </row>
    <row r="287">
      <c r="A287" s="85" t="n"/>
      <c r="B287" s="86" t="n"/>
      <c r="C287" s="86" t="n"/>
      <c r="D287" s="87" t="n"/>
      <c r="E287" s="87" t="n"/>
      <c r="F287" s="87" t="n"/>
      <c r="G287" s="87" t="n"/>
      <c r="H287" s="88" t="n"/>
      <c r="I287" s="89">
        <f>IF($G287="","",IF($F287="",IFERROR(INDEX(Setup!$C$21:$C$60,MATCH("|"&amp;UPPER(TRIM($G287)),Setup!$Q$21:$Q$60,0)),"NO RATE"),IFERROR(INDEX(Setup!$C$21:$C$60,MATCH(UPPER(TRIM($F287))&amp;"|"&amp;UPPER(TRIM($G287)),Setup!$P$21:$P$60,0)),IFERROR(INDEX(Setup!$C$21:$C$60,MATCH(UPPER(TRIM($G287))&amp;"|"&amp;UPPER(TRIM($F287)),Setup!$P$21:$P$60,0)),"NO RATE"))))</f>
        <v/>
      </c>
      <c r="J287" s="90" t="n"/>
      <c r="K287" s="89">
        <f>IF(OR($G287="",$H287="",NOT(ISNUMBER($I287))),"",ROUND($H287*$I287*(1+IF($J287="",Setup!$B$16,$J287)),2))</f>
        <v/>
      </c>
      <c r="L287" s="89">
        <f>IF($K287="","",ROUND($K287*Setup!$B$13,2))</f>
        <v/>
      </c>
      <c r="M287" s="89">
        <f>IF($K287="","",$K287-$L287)</f>
        <v/>
      </c>
      <c r="N287" s="89">
        <f>IF(OR($M287="",$D287=""),"",ROUND($M287*IFERROR(IF(VLOOKUP($D287,Setup!$A$76:$C$87,3,FALSE)="",Setup!$B$14,VLOOKUP($D287,Setup!$A$76:$C$87,3,FALSE)),Setup!$B$14),2))</f>
        <v/>
      </c>
      <c r="O287" s="89">
        <f>IF(OR($M287="",$E287=""),"",ROUND($M287*IFERROR(IF(VLOOKUP($E287,Setup!$A$76:$C$87,3,FALSE)="",Setup!$B$15,VLOOKUP($E287,Setup!$A$76:$C$87,3,FALSE)),Setup!$B$15),2))</f>
        <v/>
      </c>
      <c r="P287" s="91" t="n"/>
      <c r="Q287" s="91" t="n"/>
      <c r="R287" s="91" t="n"/>
      <c r="S287" s="91" t="n"/>
      <c r="T287" s="91" t="n"/>
      <c r="U287" s="89">
        <f>IF($K287="","",SUM($R287:$T287))</f>
        <v/>
      </c>
      <c r="V287" s="89">
        <f>IF($K287="","",$M287-(N($N287)+N($O287)+IF($P287="",Setup!$B$17,$P287)+N($Q287))-N($U287))</f>
        <v/>
      </c>
      <c r="W287" s="86" t="n"/>
      <c r="X287" s="87" t="n"/>
      <c r="Z287" s="92">
        <f>IF($A287="","",DATE(YEAR($A287),MONTH($A287),1))</f>
        <v/>
      </c>
    </row>
    <row r="288">
      <c r="A288" s="93" t="n"/>
      <c r="B288" s="94" t="n"/>
      <c r="C288" s="94" t="n"/>
      <c r="D288" s="95" t="n"/>
      <c r="E288" s="95" t="n"/>
      <c r="F288" s="95" t="n"/>
      <c r="G288" s="95" t="n"/>
      <c r="H288" s="96" t="n"/>
      <c r="I288" s="89">
        <f>IF($G288="","",IF($F288="",IFERROR(INDEX(Setup!$C$21:$C$60,MATCH("|"&amp;UPPER(TRIM($G288)),Setup!$Q$21:$Q$60,0)),"NO RATE"),IFERROR(INDEX(Setup!$C$21:$C$60,MATCH(UPPER(TRIM($F288))&amp;"|"&amp;UPPER(TRIM($G288)),Setup!$P$21:$P$60,0)),IFERROR(INDEX(Setup!$C$21:$C$60,MATCH(UPPER(TRIM($G288))&amp;"|"&amp;UPPER(TRIM($F288)),Setup!$P$21:$P$60,0)),"NO RATE"))))</f>
        <v/>
      </c>
      <c r="J288" s="97" t="n"/>
      <c r="K288" s="89">
        <f>IF(OR($G288="",$H288="",NOT(ISNUMBER($I288))),"",ROUND($H288*$I288*(1+IF($J288="",Setup!$B$16,$J288)),2))</f>
        <v/>
      </c>
      <c r="L288" s="89">
        <f>IF($K288="","",ROUND($K288*Setup!$B$13,2))</f>
        <v/>
      </c>
      <c r="M288" s="89">
        <f>IF($K288="","",$K288-$L288)</f>
        <v/>
      </c>
      <c r="N288" s="89">
        <f>IF(OR($M288="",$D288=""),"",ROUND($M288*IFERROR(IF(VLOOKUP($D288,Setup!$A$76:$C$87,3,FALSE)="",Setup!$B$14,VLOOKUP($D288,Setup!$A$76:$C$87,3,FALSE)),Setup!$B$14),2))</f>
        <v/>
      </c>
      <c r="O288" s="89">
        <f>IF(OR($M288="",$E288=""),"",ROUND($M288*IFERROR(IF(VLOOKUP($E288,Setup!$A$76:$C$87,3,FALSE)="",Setup!$B$15,VLOOKUP($E288,Setup!$A$76:$C$87,3,FALSE)),Setup!$B$15),2))</f>
        <v/>
      </c>
      <c r="P288" s="98" t="n"/>
      <c r="Q288" s="98" t="n"/>
      <c r="R288" s="98" t="n"/>
      <c r="S288" s="98" t="n"/>
      <c r="T288" s="98" t="n"/>
      <c r="U288" s="89">
        <f>IF($K288="","",SUM($R288:$T288))</f>
        <v/>
      </c>
      <c r="V288" s="89">
        <f>IF($K288="","",$M288-(N($N288)+N($O288)+IF($P288="",Setup!$B$17,$P288)+N($Q288))-N($U288))</f>
        <v/>
      </c>
      <c r="W288" s="94" t="n"/>
      <c r="X288" s="95" t="n"/>
      <c r="Z288" s="92">
        <f>IF($A288="","",DATE(YEAR($A288),MONTH($A288),1))</f>
        <v/>
      </c>
    </row>
    <row r="289">
      <c r="A289" s="85" t="n"/>
      <c r="B289" s="86" t="n"/>
      <c r="C289" s="86" t="n"/>
      <c r="D289" s="87" t="n"/>
      <c r="E289" s="87" t="n"/>
      <c r="F289" s="87" t="n"/>
      <c r="G289" s="87" t="n"/>
      <c r="H289" s="88" t="n"/>
      <c r="I289" s="89">
        <f>IF($G289="","",IF($F289="",IFERROR(INDEX(Setup!$C$21:$C$60,MATCH("|"&amp;UPPER(TRIM($G289)),Setup!$Q$21:$Q$60,0)),"NO RATE"),IFERROR(INDEX(Setup!$C$21:$C$60,MATCH(UPPER(TRIM($F289))&amp;"|"&amp;UPPER(TRIM($G289)),Setup!$P$21:$P$60,0)),IFERROR(INDEX(Setup!$C$21:$C$60,MATCH(UPPER(TRIM($G289))&amp;"|"&amp;UPPER(TRIM($F289)),Setup!$P$21:$P$60,0)),"NO RATE"))))</f>
        <v/>
      </c>
      <c r="J289" s="90" t="n"/>
      <c r="K289" s="89">
        <f>IF(OR($G289="",$H289="",NOT(ISNUMBER($I289))),"",ROUND($H289*$I289*(1+IF($J289="",Setup!$B$16,$J289)),2))</f>
        <v/>
      </c>
      <c r="L289" s="89">
        <f>IF($K289="","",ROUND($K289*Setup!$B$13,2))</f>
        <v/>
      </c>
      <c r="M289" s="89">
        <f>IF($K289="","",$K289-$L289)</f>
        <v/>
      </c>
      <c r="N289" s="89">
        <f>IF(OR($M289="",$D289=""),"",ROUND($M289*IFERROR(IF(VLOOKUP($D289,Setup!$A$76:$C$87,3,FALSE)="",Setup!$B$14,VLOOKUP($D289,Setup!$A$76:$C$87,3,FALSE)),Setup!$B$14),2))</f>
        <v/>
      </c>
      <c r="O289" s="89">
        <f>IF(OR($M289="",$E289=""),"",ROUND($M289*IFERROR(IF(VLOOKUP($E289,Setup!$A$76:$C$87,3,FALSE)="",Setup!$B$15,VLOOKUP($E289,Setup!$A$76:$C$87,3,FALSE)),Setup!$B$15),2))</f>
        <v/>
      </c>
      <c r="P289" s="91" t="n"/>
      <c r="Q289" s="91" t="n"/>
      <c r="R289" s="91" t="n"/>
      <c r="S289" s="91" t="n"/>
      <c r="T289" s="91" t="n"/>
      <c r="U289" s="89">
        <f>IF($K289="","",SUM($R289:$T289))</f>
        <v/>
      </c>
      <c r="V289" s="89">
        <f>IF($K289="","",$M289-(N($N289)+N($O289)+IF($P289="",Setup!$B$17,$P289)+N($Q289))-N($U289))</f>
        <v/>
      </c>
      <c r="W289" s="86" t="n"/>
      <c r="X289" s="87" t="n"/>
      <c r="Z289" s="92">
        <f>IF($A289="","",DATE(YEAR($A289),MONTH($A289),1))</f>
        <v/>
      </c>
    </row>
    <row r="290">
      <c r="A290" s="93" t="n"/>
      <c r="B290" s="94" t="n"/>
      <c r="C290" s="94" t="n"/>
      <c r="D290" s="95" t="n"/>
      <c r="E290" s="95" t="n"/>
      <c r="F290" s="95" t="n"/>
      <c r="G290" s="95" t="n"/>
      <c r="H290" s="96" t="n"/>
      <c r="I290" s="89">
        <f>IF($G290="","",IF($F290="",IFERROR(INDEX(Setup!$C$21:$C$60,MATCH("|"&amp;UPPER(TRIM($G290)),Setup!$Q$21:$Q$60,0)),"NO RATE"),IFERROR(INDEX(Setup!$C$21:$C$60,MATCH(UPPER(TRIM($F290))&amp;"|"&amp;UPPER(TRIM($G290)),Setup!$P$21:$P$60,0)),IFERROR(INDEX(Setup!$C$21:$C$60,MATCH(UPPER(TRIM($G290))&amp;"|"&amp;UPPER(TRIM($F290)),Setup!$P$21:$P$60,0)),"NO RATE"))))</f>
        <v/>
      </c>
      <c r="J290" s="97" t="n"/>
      <c r="K290" s="89">
        <f>IF(OR($G290="",$H290="",NOT(ISNUMBER($I290))),"",ROUND($H290*$I290*(1+IF($J290="",Setup!$B$16,$J290)),2))</f>
        <v/>
      </c>
      <c r="L290" s="89">
        <f>IF($K290="","",ROUND($K290*Setup!$B$13,2))</f>
        <v/>
      </c>
      <c r="M290" s="89">
        <f>IF($K290="","",$K290-$L290)</f>
        <v/>
      </c>
      <c r="N290" s="89">
        <f>IF(OR($M290="",$D290=""),"",ROUND($M290*IFERROR(IF(VLOOKUP($D290,Setup!$A$76:$C$87,3,FALSE)="",Setup!$B$14,VLOOKUP($D290,Setup!$A$76:$C$87,3,FALSE)),Setup!$B$14),2))</f>
        <v/>
      </c>
      <c r="O290" s="89">
        <f>IF(OR($M290="",$E290=""),"",ROUND($M290*IFERROR(IF(VLOOKUP($E290,Setup!$A$76:$C$87,3,FALSE)="",Setup!$B$15,VLOOKUP($E290,Setup!$A$76:$C$87,3,FALSE)),Setup!$B$15),2))</f>
        <v/>
      </c>
      <c r="P290" s="98" t="n"/>
      <c r="Q290" s="98" t="n"/>
      <c r="R290" s="98" t="n"/>
      <c r="S290" s="98" t="n"/>
      <c r="T290" s="98" t="n"/>
      <c r="U290" s="89">
        <f>IF($K290="","",SUM($R290:$T290))</f>
        <v/>
      </c>
      <c r="V290" s="89">
        <f>IF($K290="","",$M290-(N($N290)+N($O290)+IF($P290="",Setup!$B$17,$P290)+N($Q290))-N($U290))</f>
        <v/>
      </c>
      <c r="W290" s="94" t="n"/>
      <c r="X290" s="95" t="n"/>
      <c r="Z290" s="92">
        <f>IF($A290="","",DATE(YEAR($A290),MONTH($A290),1))</f>
        <v/>
      </c>
    </row>
    <row r="291">
      <c r="A291" s="85" t="n"/>
      <c r="B291" s="86" t="n"/>
      <c r="C291" s="86" t="n"/>
      <c r="D291" s="87" t="n"/>
      <c r="E291" s="87" t="n"/>
      <c r="F291" s="87" t="n"/>
      <c r="G291" s="87" t="n"/>
      <c r="H291" s="88" t="n"/>
      <c r="I291" s="89">
        <f>IF($G291="","",IF($F291="",IFERROR(INDEX(Setup!$C$21:$C$60,MATCH("|"&amp;UPPER(TRIM($G291)),Setup!$Q$21:$Q$60,0)),"NO RATE"),IFERROR(INDEX(Setup!$C$21:$C$60,MATCH(UPPER(TRIM($F291))&amp;"|"&amp;UPPER(TRIM($G291)),Setup!$P$21:$P$60,0)),IFERROR(INDEX(Setup!$C$21:$C$60,MATCH(UPPER(TRIM($G291))&amp;"|"&amp;UPPER(TRIM($F291)),Setup!$P$21:$P$60,0)),"NO RATE"))))</f>
        <v/>
      </c>
      <c r="J291" s="90" t="n"/>
      <c r="K291" s="89">
        <f>IF(OR($G291="",$H291="",NOT(ISNUMBER($I291))),"",ROUND($H291*$I291*(1+IF($J291="",Setup!$B$16,$J291)),2))</f>
        <v/>
      </c>
      <c r="L291" s="89">
        <f>IF($K291="","",ROUND($K291*Setup!$B$13,2))</f>
        <v/>
      </c>
      <c r="M291" s="89">
        <f>IF($K291="","",$K291-$L291)</f>
        <v/>
      </c>
      <c r="N291" s="89">
        <f>IF(OR($M291="",$D291=""),"",ROUND($M291*IFERROR(IF(VLOOKUP($D291,Setup!$A$76:$C$87,3,FALSE)="",Setup!$B$14,VLOOKUP($D291,Setup!$A$76:$C$87,3,FALSE)),Setup!$B$14),2))</f>
        <v/>
      </c>
      <c r="O291" s="89">
        <f>IF(OR($M291="",$E291=""),"",ROUND($M291*IFERROR(IF(VLOOKUP($E291,Setup!$A$76:$C$87,3,FALSE)="",Setup!$B$15,VLOOKUP($E291,Setup!$A$76:$C$87,3,FALSE)),Setup!$B$15),2))</f>
        <v/>
      </c>
      <c r="P291" s="91" t="n"/>
      <c r="Q291" s="91" t="n"/>
      <c r="R291" s="91" t="n"/>
      <c r="S291" s="91" t="n"/>
      <c r="T291" s="91" t="n"/>
      <c r="U291" s="89">
        <f>IF($K291="","",SUM($R291:$T291))</f>
        <v/>
      </c>
      <c r="V291" s="89">
        <f>IF($K291="","",$M291-(N($N291)+N($O291)+IF($P291="",Setup!$B$17,$P291)+N($Q291))-N($U291))</f>
        <v/>
      </c>
      <c r="W291" s="86" t="n"/>
      <c r="X291" s="87" t="n"/>
      <c r="Z291" s="92">
        <f>IF($A291="","",DATE(YEAR($A291),MONTH($A291),1))</f>
        <v/>
      </c>
    </row>
    <row r="292">
      <c r="A292" s="93" t="n"/>
      <c r="B292" s="94" t="n"/>
      <c r="C292" s="94" t="n"/>
      <c r="D292" s="95" t="n"/>
      <c r="E292" s="95" t="n"/>
      <c r="F292" s="95" t="n"/>
      <c r="G292" s="95" t="n"/>
      <c r="H292" s="96" t="n"/>
      <c r="I292" s="89">
        <f>IF($G292="","",IF($F292="",IFERROR(INDEX(Setup!$C$21:$C$60,MATCH("|"&amp;UPPER(TRIM($G292)),Setup!$Q$21:$Q$60,0)),"NO RATE"),IFERROR(INDEX(Setup!$C$21:$C$60,MATCH(UPPER(TRIM($F292))&amp;"|"&amp;UPPER(TRIM($G292)),Setup!$P$21:$P$60,0)),IFERROR(INDEX(Setup!$C$21:$C$60,MATCH(UPPER(TRIM($G292))&amp;"|"&amp;UPPER(TRIM($F292)),Setup!$P$21:$P$60,0)),"NO RATE"))))</f>
        <v/>
      </c>
      <c r="J292" s="97" t="n"/>
      <c r="K292" s="89">
        <f>IF(OR($G292="",$H292="",NOT(ISNUMBER($I292))),"",ROUND($H292*$I292*(1+IF($J292="",Setup!$B$16,$J292)),2))</f>
        <v/>
      </c>
      <c r="L292" s="89">
        <f>IF($K292="","",ROUND($K292*Setup!$B$13,2))</f>
        <v/>
      </c>
      <c r="M292" s="89">
        <f>IF($K292="","",$K292-$L292)</f>
        <v/>
      </c>
      <c r="N292" s="89">
        <f>IF(OR($M292="",$D292=""),"",ROUND($M292*IFERROR(IF(VLOOKUP($D292,Setup!$A$76:$C$87,3,FALSE)="",Setup!$B$14,VLOOKUP($D292,Setup!$A$76:$C$87,3,FALSE)),Setup!$B$14),2))</f>
        <v/>
      </c>
      <c r="O292" s="89">
        <f>IF(OR($M292="",$E292=""),"",ROUND($M292*IFERROR(IF(VLOOKUP($E292,Setup!$A$76:$C$87,3,FALSE)="",Setup!$B$15,VLOOKUP($E292,Setup!$A$76:$C$87,3,FALSE)),Setup!$B$15),2))</f>
        <v/>
      </c>
      <c r="P292" s="98" t="n"/>
      <c r="Q292" s="98" t="n"/>
      <c r="R292" s="98" t="n"/>
      <c r="S292" s="98" t="n"/>
      <c r="T292" s="98" t="n"/>
      <c r="U292" s="89">
        <f>IF($K292="","",SUM($R292:$T292))</f>
        <v/>
      </c>
      <c r="V292" s="89">
        <f>IF($K292="","",$M292-(N($N292)+N($O292)+IF($P292="",Setup!$B$17,$P292)+N($Q292))-N($U292))</f>
        <v/>
      </c>
      <c r="W292" s="94" t="n"/>
      <c r="X292" s="95" t="n"/>
      <c r="Z292" s="92">
        <f>IF($A292="","",DATE(YEAR($A292),MONTH($A292),1))</f>
        <v/>
      </c>
    </row>
    <row r="293">
      <c r="A293" s="85" t="n"/>
      <c r="B293" s="86" t="n"/>
      <c r="C293" s="86" t="n"/>
      <c r="D293" s="87" t="n"/>
      <c r="E293" s="87" t="n"/>
      <c r="F293" s="87" t="n"/>
      <c r="G293" s="87" t="n"/>
      <c r="H293" s="88" t="n"/>
      <c r="I293" s="89">
        <f>IF($G293="","",IF($F293="",IFERROR(INDEX(Setup!$C$21:$C$60,MATCH("|"&amp;UPPER(TRIM($G293)),Setup!$Q$21:$Q$60,0)),"NO RATE"),IFERROR(INDEX(Setup!$C$21:$C$60,MATCH(UPPER(TRIM($F293))&amp;"|"&amp;UPPER(TRIM($G293)),Setup!$P$21:$P$60,0)),IFERROR(INDEX(Setup!$C$21:$C$60,MATCH(UPPER(TRIM($G293))&amp;"|"&amp;UPPER(TRIM($F293)),Setup!$P$21:$P$60,0)),"NO RATE"))))</f>
        <v/>
      </c>
      <c r="J293" s="90" t="n"/>
      <c r="K293" s="89">
        <f>IF(OR($G293="",$H293="",NOT(ISNUMBER($I293))),"",ROUND($H293*$I293*(1+IF($J293="",Setup!$B$16,$J293)),2))</f>
        <v/>
      </c>
      <c r="L293" s="89">
        <f>IF($K293="","",ROUND($K293*Setup!$B$13,2))</f>
        <v/>
      </c>
      <c r="M293" s="89">
        <f>IF($K293="","",$K293-$L293)</f>
        <v/>
      </c>
      <c r="N293" s="89">
        <f>IF(OR($M293="",$D293=""),"",ROUND($M293*IFERROR(IF(VLOOKUP($D293,Setup!$A$76:$C$87,3,FALSE)="",Setup!$B$14,VLOOKUP($D293,Setup!$A$76:$C$87,3,FALSE)),Setup!$B$14),2))</f>
        <v/>
      </c>
      <c r="O293" s="89">
        <f>IF(OR($M293="",$E293=""),"",ROUND($M293*IFERROR(IF(VLOOKUP($E293,Setup!$A$76:$C$87,3,FALSE)="",Setup!$B$15,VLOOKUP($E293,Setup!$A$76:$C$87,3,FALSE)),Setup!$B$15),2))</f>
        <v/>
      </c>
      <c r="P293" s="91" t="n"/>
      <c r="Q293" s="91" t="n"/>
      <c r="R293" s="91" t="n"/>
      <c r="S293" s="91" t="n"/>
      <c r="T293" s="91" t="n"/>
      <c r="U293" s="89">
        <f>IF($K293="","",SUM($R293:$T293))</f>
        <v/>
      </c>
      <c r="V293" s="89">
        <f>IF($K293="","",$M293-(N($N293)+N($O293)+IF($P293="",Setup!$B$17,$P293)+N($Q293))-N($U293))</f>
        <v/>
      </c>
      <c r="W293" s="86" t="n"/>
      <c r="X293" s="87" t="n"/>
      <c r="Z293" s="92">
        <f>IF($A293="","",DATE(YEAR($A293),MONTH($A293),1))</f>
        <v/>
      </c>
    </row>
    <row r="294">
      <c r="A294" s="93" t="n"/>
      <c r="B294" s="94" t="n"/>
      <c r="C294" s="94" t="n"/>
      <c r="D294" s="95" t="n"/>
      <c r="E294" s="95" t="n"/>
      <c r="F294" s="95" t="n"/>
      <c r="G294" s="95" t="n"/>
      <c r="H294" s="96" t="n"/>
      <c r="I294" s="89">
        <f>IF($G294="","",IF($F294="",IFERROR(INDEX(Setup!$C$21:$C$60,MATCH("|"&amp;UPPER(TRIM($G294)),Setup!$Q$21:$Q$60,0)),"NO RATE"),IFERROR(INDEX(Setup!$C$21:$C$60,MATCH(UPPER(TRIM($F294))&amp;"|"&amp;UPPER(TRIM($G294)),Setup!$P$21:$P$60,0)),IFERROR(INDEX(Setup!$C$21:$C$60,MATCH(UPPER(TRIM($G294))&amp;"|"&amp;UPPER(TRIM($F294)),Setup!$P$21:$P$60,0)),"NO RATE"))))</f>
        <v/>
      </c>
      <c r="J294" s="97" t="n"/>
      <c r="K294" s="89">
        <f>IF(OR($G294="",$H294="",NOT(ISNUMBER($I294))),"",ROUND($H294*$I294*(1+IF($J294="",Setup!$B$16,$J294)),2))</f>
        <v/>
      </c>
      <c r="L294" s="89">
        <f>IF($K294="","",ROUND($K294*Setup!$B$13,2))</f>
        <v/>
      </c>
      <c r="M294" s="89">
        <f>IF($K294="","",$K294-$L294)</f>
        <v/>
      </c>
      <c r="N294" s="89">
        <f>IF(OR($M294="",$D294=""),"",ROUND($M294*IFERROR(IF(VLOOKUP($D294,Setup!$A$76:$C$87,3,FALSE)="",Setup!$B$14,VLOOKUP($D294,Setup!$A$76:$C$87,3,FALSE)),Setup!$B$14),2))</f>
        <v/>
      </c>
      <c r="O294" s="89">
        <f>IF(OR($M294="",$E294=""),"",ROUND($M294*IFERROR(IF(VLOOKUP($E294,Setup!$A$76:$C$87,3,FALSE)="",Setup!$B$15,VLOOKUP($E294,Setup!$A$76:$C$87,3,FALSE)),Setup!$B$15),2))</f>
        <v/>
      </c>
      <c r="P294" s="98" t="n"/>
      <c r="Q294" s="98" t="n"/>
      <c r="R294" s="98" t="n"/>
      <c r="S294" s="98" t="n"/>
      <c r="T294" s="98" t="n"/>
      <c r="U294" s="89">
        <f>IF($K294="","",SUM($R294:$T294))</f>
        <v/>
      </c>
      <c r="V294" s="89">
        <f>IF($K294="","",$M294-(N($N294)+N($O294)+IF($P294="",Setup!$B$17,$P294)+N($Q294))-N($U294))</f>
        <v/>
      </c>
      <c r="W294" s="94" t="n"/>
      <c r="X294" s="95" t="n"/>
      <c r="Z294" s="92">
        <f>IF($A294="","",DATE(YEAR($A294),MONTH($A294),1))</f>
        <v/>
      </c>
    </row>
    <row r="295">
      <c r="A295" s="85" t="n"/>
      <c r="B295" s="86" t="n"/>
      <c r="C295" s="86" t="n"/>
      <c r="D295" s="87" t="n"/>
      <c r="E295" s="87" t="n"/>
      <c r="F295" s="87" t="n"/>
      <c r="G295" s="87" t="n"/>
      <c r="H295" s="88" t="n"/>
      <c r="I295" s="89">
        <f>IF($G295="","",IF($F295="",IFERROR(INDEX(Setup!$C$21:$C$60,MATCH("|"&amp;UPPER(TRIM($G295)),Setup!$Q$21:$Q$60,0)),"NO RATE"),IFERROR(INDEX(Setup!$C$21:$C$60,MATCH(UPPER(TRIM($F295))&amp;"|"&amp;UPPER(TRIM($G295)),Setup!$P$21:$P$60,0)),IFERROR(INDEX(Setup!$C$21:$C$60,MATCH(UPPER(TRIM($G295))&amp;"|"&amp;UPPER(TRIM($F295)),Setup!$P$21:$P$60,0)),"NO RATE"))))</f>
        <v/>
      </c>
      <c r="J295" s="90" t="n"/>
      <c r="K295" s="89">
        <f>IF(OR($G295="",$H295="",NOT(ISNUMBER($I295))),"",ROUND($H295*$I295*(1+IF($J295="",Setup!$B$16,$J295)),2))</f>
        <v/>
      </c>
      <c r="L295" s="89">
        <f>IF($K295="","",ROUND($K295*Setup!$B$13,2))</f>
        <v/>
      </c>
      <c r="M295" s="89">
        <f>IF($K295="","",$K295-$L295)</f>
        <v/>
      </c>
      <c r="N295" s="89">
        <f>IF(OR($M295="",$D295=""),"",ROUND($M295*IFERROR(IF(VLOOKUP($D295,Setup!$A$76:$C$87,3,FALSE)="",Setup!$B$14,VLOOKUP($D295,Setup!$A$76:$C$87,3,FALSE)),Setup!$B$14),2))</f>
        <v/>
      </c>
      <c r="O295" s="89">
        <f>IF(OR($M295="",$E295=""),"",ROUND($M295*IFERROR(IF(VLOOKUP($E295,Setup!$A$76:$C$87,3,FALSE)="",Setup!$B$15,VLOOKUP($E295,Setup!$A$76:$C$87,3,FALSE)),Setup!$B$15),2))</f>
        <v/>
      </c>
      <c r="P295" s="91" t="n"/>
      <c r="Q295" s="91" t="n"/>
      <c r="R295" s="91" t="n"/>
      <c r="S295" s="91" t="n"/>
      <c r="T295" s="91" t="n"/>
      <c r="U295" s="89">
        <f>IF($K295="","",SUM($R295:$T295))</f>
        <v/>
      </c>
      <c r="V295" s="89">
        <f>IF($K295="","",$M295-(N($N295)+N($O295)+IF($P295="",Setup!$B$17,$P295)+N($Q295))-N($U295))</f>
        <v/>
      </c>
      <c r="W295" s="86" t="n"/>
      <c r="X295" s="87" t="n"/>
      <c r="Z295" s="92">
        <f>IF($A295="","",DATE(YEAR($A295),MONTH($A295),1))</f>
        <v/>
      </c>
    </row>
    <row r="296">
      <c r="A296" s="93" t="n"/>
      <c r="B296" s="94" t="n"/>
      <c r="C296" s="94" t="n"/>
      <c r="D296" s="95" t="n"/>
      <c r="E296" s="95" t="n"/>
      <c r="F296" s="95" t="n"/>
      <c r="G296" s="95" t="n"/>
      <c r="H296" s="96" t="n"/>
      <c r="I296" s="89">
        <f>IF($G296="","",IF($F296="",IFERROR(INDEX(Setup!$C$21:$C$60,MATCH("|"&amp;UPPER(TRIM($G296)),Setup!$Q$21:$Q$60,0)),"NO RATE"),IFERROR(INDEX(Setup!$C$21:$C$60,MATCH(UPPER(TRIM($F296))&amp;"|"&amp;UPPER(TRIM($G296)),Setup!$P$21:$P$60,0)),IFERROR(INDEX(Setup!$C$21:$C$60,MATCH(UPPER(TRIM($G296))&amp;"|"&amp;UPPER(TRIM($F296)),Setup!$P$21:$P$60,0)),"NO RATE"))))</f>
        <v/>
      </c>
      <c r="J296" s="97" t="n"/>
      <c r="K296" s="89">
        <f>IF(OR($G296="",$H296="",NOT(ISNUMBER($I296))),"",ROUND($H296*$I296*(1+IF($J296="",Setup!$B$16,$J296)),2))</f>
        <v/>
      </c>
      <c r="L296" s="89">
        <f>IF($K296="","",ROUND($K296*Setup!$B$13,2))</f>
        <v/>
      </c>
      <c r="M296" s="89">
        <f>IF($K296="","",$K296-$L296)</f>
        <v/>
      </c>
      <c r="N296" s="89">
        <f>IF(OR($M296="",$D296=""),"",ROUND($M296*IFERROR(IF(VLOOKUP($D296,Setup!$A$76:$C$87,3,FALSE)="",Setup!$B$14,VLOOKUP($D296,Setup!$A$76:$C$87,3,FALSE)),Setup!$B$14),2))</f>
        <v/>
      </c>
      <c r="O296" s="89">
        <f>IF(OR($M296="",$E296=""),"",ROUND($M296*IFERROR(IF(VLOOKUP($E296,Setup!$A$76:$C$87,3,FALSE)="",Setup!$B$15,VLOOKUP($E296,Setup!$A$76:$C$87,3,FALSE)),Setup!$B$15),2))</f>
        <v/>
      </c>
      <c r="P296" s="98" t="n"/>
      <c r="Q296" s="98" t="n"/>
      <c r="R296" s="98" t="n"/>
      <c r="S296" s="98" t="n"/>
      <c r="T296" s="98" t="n"/>
      <c r="U296" s="89">
        <f>IF($K296="","",SUM($R296:$T296))</f>
        <v/>
      </c>
      <c r="V296" s="89">
        <f>IF($K296="","",$M296-(N($N296)+N($O296)+IF($P296="",Setup!$B$17,$P296)+N($Q296))-N($U296))</f>
        <v/>
      </c>
      <c r="W296" s="94" t="n"/>
      <c r="X296" s="95" t="n"/>
      <c r="Z296" s="92">
        <f>IF($A296="","",DATE(YEAR($A296),MONTH($A296),1))</f>
        <v/>
      </c>
    </row>
    <row r="297">
      <c r="A297" s="85" t="n"/>
      <c r="B297" s="86" t="n"/>
      <c r="C297" s="86" t="n"/>
      <c r="D297" s="87" t="n"/>
      <c r="E297" s="87" t="n"/>
      <c r="F297" s="87" t="n"/>
      <c r="G297" s="87" t="n"/>
      <c r="H297" s="88" t="n"/>
      <c r="I297" s="89">
        <f>IF($G297="","",IF($F297="",IFERROR(INDEX(Setup!$C$21:$C$60,MATCH("|"&amp;UPPER(TRIM($G297)),Setup!$Q$21:$Q$60,0)),"NO RATE"),IFERROR(INDEX(Setup!$C$21:$C$60,MATCH(UPPER(TRIM($F297))&amp;"|"&amp;UPPER(TRIM($G297)),Setup!$P$21:$P$60,0)),IFERROR(INDEX(Setup!$C$21:$C$60,MATCH(UPPER(TRIM($G297))&amp;"|"&amp;UPPER(TRIM($F297)),Setup!$P$21:$P$60,0)),"NO RATE"))))</f>
        <v/>
      </c>
      <c r="J297" s="90" t="n"/>
      <c r="K297" s="89">
        <f>IF(OR($G297="",$H297="",NOT(ISNUMBER($I297))),"",ROUND($H297*$I297*(1+IF($J297="",Setup!$B$16,$J297)),2))</f>
        <v/>
      </c>
      <c r="L297" s="89">
        <f>IF($K297="","",ROUND($K297*Setup!$B$13,2))</f>
        <v/>
      </c>
      <c r="M297" s="89">
        <f>IF($K297="","",$K297-$L297)</f>
        <v/>
      </c>
      <c r="N297" s="89">
        <f>IF(OR($M297="",$D297=""),"",ROUND($M297*IFERROR(IF(VLOOKUP($D297,Setup!$A$76:$C$87,3,FALSE)="",Setup!$B$14,VLOOKUP($D297,Setup!$A$76:$C$87,3,FALSE)),Setup!$B$14),2))</f>
        <v/>
      </c>
      <c r="O297" s="89">
        <f>IF(OR($M297="",$E297=""),"",ROUND($M297*IFERROR(IF(VLOOKUP($E297,Setup!$A$76:$C$87,3,FALSE)="",Setup!$B$15,VLOOKUP($E297,Setup!$A$76:$C$87,3,FALSE)),Setup!$B$15),2))</f>
        <v/>
      </c>
      <c r="P297" s="91" t="n"/>
      <c r="Q297" s="91" t="n"/>
      <c r="R297" s="91" t="n"/>
      <c r="S297" s="91" t="n"/>
      <c r="T297" s="91" t="n"/>
      <c r="U297" s="89">
        <f>IF($K297="","",SUM($R297:$T297))</f>
        <v/>
      </c>
      <c r="V297" s="89">
        <f>IF($K297="","",$M297-(N($N297)+N($O297)+IF($P297="",Setup!$B$17,$P297)+N($Q297))-N($U297))</f>
        <v/>
      </c>
      <c r="W297" s="86" t="n"/>
      <c r="X297" s="87" t="n"/>
      <c r="Z297" s="92">
        <f>IF($A297="","",DATE(YEAR($A297),MONTH($A297),1))</f>
        <v/>
      </c>
    </row>
    <row r="298">
      <c r="A298" s="93" t="n"/>
      <c r="B298" s="94" t="n"/>
      <c r="C298" s="94" t="n"/>
      <c r="D298" s="95" t="n"/>
      <c r="E298" s="95" t="n"/>
      <c r="F298" s="95" t="n"/>
      <c r="G298" s="95" t="n"/>
      <c r="H298" s="96" t="n"/>
      <c r="I298" s="89">
        <f>IF($G298="","",IF($F298="",IFERROR(INDEX(Setup!$C$21:$C$60,MATCH("|"&amp;UPPER(TRIM($G298)),Setup!$Q$21:$Q$60,0)),"NO RATE"),IFERROR(INDEX(Setup!$C$21:$C$60,MATCH(UPPER(TRIM($F298))&amp;"|"&amp;UPPER(TRIM($G298)),Setup!$P$21:$P$60,0)),IFERROR(INDEX(Setup!$C$21:$C$60,MATCH(UPPER(TRIM($G298))&amp;"|"&amp;UPPER(TRIM($F298)),Setup!$P$21:$P$60,0)),"NO RATE"))))</f>
        <v/>
      </c>
      <c r="J298" s="97" t="n"/>
      <c r="K298" s="89">
        <f>IF(OR($G298="",$H298="",NOT(ISNUMBER($I298))),"",ROUND($H298*$I298*(1+IF($J298="",Setup!$B$16,$J298)),2))</f>
        <v/>
      </c>
      <c r="L298" s="89">
        <f>IF($K298="","",ROUND($K298*Setup!$B$13,2))</f>
        <v/>
      </c>
      <c r="M298" s="89">
        <f>IF($K298="","",$K298-$L298)</f>
        <v/>
      </c>
      <c r="N298" s="89">
        <f>IF(OR($M298="",$D298=""),"",ROUND($M298*IFERROR(IF(VLOOKUP($D298,Setup!$A$76:$C$87,3,FALSE)="",Setup!$B$14,VLOOKUP($D298,Setup!$A$76:$C$87,3,FALSE)),Setup!$B$14),2))</f>
        <v/>
      </c>
      <c r="O298" s="89">
        <f>IF(OR($M298="",$E298=""),"",ROUND($M298*IFERROR(IF(VLOOKUP($E298,Setup!$A$76:$C$87,3,FALSE)="",Setup!$B$15,VLOOKUP($E298,Setup!$A$76:$C$87,3,FALSE)),Setup!$B$15),2))</f>
        <v/>
      </c>
      <c r="P298" s="98" t="n"/>
      <c r="Q298" s="98" t="n"/>
      <c r="R298" s="98" t="n"/>
      <c r="S298" s="98" t="n"/>
      <c r="T298" s="98" t="n"/>
      <c r="U298" s="89">
        <f>IF($K298="","",SUM($R298:$T298))</f>
        <v/>
      </c>
      <c r="V298" s="89">
        <f>IF($K298="","",$M298-(N($N298)+N($O298)+IF($P298="",Setup!$B$17,$P298)+N($Q298))-N($U298))</f>
        <v/>
      </c>
      <c r="W298" s="94" t="n"/>
      <c r="X298" s="95" t="n"/>
      <c r="Z298" s="92">
        <f>IF($A298="","",DATE(YEAR($A298),MONTH($A298),1))</f>
        <v/>
      </c>
    </row>
    <row r="299">
      <c r="A299" s="85" t="n"/>
      <c r="B299" s="86" t="n"/>
      <c r="C299" s="86" t="n"/>
      <c r="D299" s="87" t="n"/>
      <c r="E299" s="87" t="n"/>
      <c r="F299" s="87" t="n"/>
      <c r="G299" s="87" t="n"/>
      <c r="H299" s="88" t="n"/>
      <c r="I299" s="89">
        <f>IF($G299="","",IF($F299="",IFERROR(INDEX(Setup!$C$21:$C$60,MATCH("|"&amp;UPPER(TRIM($G299)),Setup!$Q$21:$Q$60,0)),"NO RATE"),IFERROR(INDEX(Setup!$C$21:$C$60,MATCH(UPPER(TRIM($F299))&amp;"|"&amp;UPPER(TRIM($G299)),Setup!$P$21:$P$60,0)),IFERROR(INDEX(Setup!$C$21:$C$60,MATCH(UPPER(TRIM($G299))&amp;"|"&amp;UPPER(TRIM($F299)),Setup!$P$21:$P$60,0)),"NO RATE"))))</f>
        <v/>
      </c>
      <c r="J299" s="90" t="n"/>
      <c r="K299" s="89">
        <f>IF(OR($G299="",$H299="",NOT(ISNUMBER($I299))),"",ROUND($H299*$I299*(1+IF($J299="",Setup!$B$16,$J299)),2))</f>
        <v/>
      </c>
      <c r="L299" s="89">
        <f>IF($K299="","",ROUND($K299*Setup!$B$13,2))</f>
        <v/>
      </c>
      <c r="M299" s="89">
        <f>IF($K299="","",$K299-$L299)</f>
        <v/>
      </c>
      <c r="N299" s="89">
        <f>IF(OR($M299="",$D299=""),"",ROUND($M299*IFERROR(IF(VLOOKUP($D299,Setup!$A$76:$C$87,3,FALSE)="",Setup!$B$14,VLOOKUP($D299,Setup!$A$76:$C$87,3,FALSE)),Setup!$B$14),2))</f>
        <v/>
      </c>
      <c r="O299" s="89">
        <f>IF(OR($M299="",$E299=""),"",ROUND($M299*IFERROR(IF(VLOOKUP($E299,Setup!$A$76:$C$87,3,FALSE)="",Setup!$B$15,VLOOKUP($E299,Setup!$A$76:$C$87,3,FALSE)),Setup!$B$15),2))</f>
        <v/>
      </c>
      <c r="P299" s="91" t="n"/>
      <c r="Q299" s="91" t="n"/>
      <c r="R299" s="91" t="n"/>
      <c r="S299" s="91" t="n"/>
      <c r="T299" s="91" t="n"/>
      <c r="U299" s="89">
        <f>IF($K299="","",SUM($R299:$T299))</f>
        <v/>
      </c>
      <c r="V299" s="89">
        <f>IF($K299="","",$M299-(N($N299)+N($O299)+IF($P299="",Setup!$B$17,$P299)+N($Q299))-N($U299))</f>
        <v/>
      </c>
      <c r="W299" s="86" t="n"/>
      <c r="X299" s="87" t="n"/>
      <c r="Z299" s="92">
        <f>IF($A299="","",DATE(YEAR($A299),MONTH($A299),1))</f>
        <v/>
      </c>
    </row>
    <row r="300">
      <c r="A300" s="93" t="n"/>
      <c r="B300" s="94" t="n"/>
      <c r="C300" s="94" t="n"/>
      <c r="D300" s="95" t="n"/>
      <c r="E300" s="95" t="n"/>
      <c r="F300" s="95" t="n"/>
      <c r="G300" s="95" t="n"/>
      <c r="H300" s="96" t="n"/>
      <c r="I300" s="89">
        <f>IF($G300="","",IF($F300="",IFERROR(INDEX(Setup!$C$21:$C$60,MATCH("|"&amp;UPPER(TRIM($G300)),Setup!$Q$21:$Q$60,0)),"NO RATE"),IFERROR(INDEX(Setup!$C$21:$C$60,MATCH(UPPER(TRIM($F300))&amp;"|"&amp;UPPER(TRIM($G300)),Setup!$P$21:$P$60,0)),IFERROR(INDEX(Setup!$C$21:$C$60,MATCH(UPPER(TRIM($G300))&amp;"|"&amp;UPPER(TRIM($F300)),Setup!$P$21:$P$60,0)),"NO RATE"))))</f>
        <v/>
      </c>
      <c r="J300" s="97" t="n"/>
      <c r="K300" s="89">
        <f>IF(OR($G300="",$H300="",NOT(ISNUMBER($I300))),"",ROUND($H300*$I300*(1+IF($J300="",Setup!$B$16,$J300)),2))</f>
        <v/>
      </c>
      <c r="L300" s="89">
        <f>IF($K300="","",ROUND($K300*Setup!$B$13,2))</f>
        <v/>
      </c>
      <c r="M300" s="89">
        <f>IF($K300="","",$K300-$L300)</f>
        <v/>
      </c>
      <c r="N300" s="89">
        <f>IF(OR($M300="",$D300=""),"",ROUND($M300*IFERROR(IF(VLOOKUP($D300,Setup!$A$76:$C$87,3,FALSE)="",Setup!$B$14,VLOOKUP($D300,Setup!$A$76:$C$87,3,FALSE)),Setup!$B$14),2))</f>
        <v/>
      </c>
      <c r="O300" s="89">
        <f>IF(OR($M300="",$E300=""),"",ROUND($M300*IFERROR(IF(VLOOKUP($E300,Setup!$A$76:$C$87,3,FALSE)="",Setup!$B$15,VLOOKUP($E300,Setup!$A$76:$C$87,3,FALSE)),Setup!$B$15),2))</f>
        <v/>
      </c>
      <c r="P300" s="98" t="n"/>
      <c r="Q300" s="98" t="n"/>
      <c r="R300" s="98" t="n"/>
      <c r="S300" s="98" t="n"/>
      <c r="T300" s="98" t="n"/>
      <c r="U300" s="89">
        <f>IF($K300="","",SUM($R300:$T300))</f>
        <v/>
      </c>
      <c r="V300" s="89">
        <f>IF($K300="","",$M300-(N($N300)+N($O300)+IF($P300="",Setup!$B$17,$P300)+N($Q300))-N($U300))</f>
        <v/>
      </c>
      <c r="W300" s="94" t="n"/>
      <c r="X300" s="95" t="n"/>
      <c r="Z300" s="92">
        <f>IF($A300="","",DATE(YEAR($A300),MONTH($A300),1))</f>
        <v/>
      </c>
    </row>
    <row r="301">
      <c r="A301" s="85" t="n"/>
      <c r="B301" s="86" t="n"/>
      <c r="C301" s="86" t="n"/>
      <c r="D301" s="87" t="n"/>
      <c r="E301" s="87" t="n"/>
      <c r="F301" s="87" t="n"/>
      <c r="G301" s="87" t="n"/>
      <c r="H301" s="88" t="n"/>
      <c r="I301" s="89">
        <f>IF($G301="","",IF($F301="",IFERROR(INDEX(Setup!$C$21:$C$60,MATCH("|"&amp;UPPER(TRIM($G301)),Setup!$Q$21:$Q$60,0)),"NO RATE"),IFERROR(INDEX(Setup!$C$21:$C$60,MATCH(UPPER(TRIM($F301))&amp;"|"&amp;UPPER(TRIM($G301)),Setup!$P$21:$P$60,0)),IFERROR(INDEX(Setup!$C$21:$C$60,MATCH(UPPER(TRIM($G301))&amp;"|"&amp;UPPER(TRIM($F301)),Setup!$P$21:$P$60,0)),"NO RATE"))))</f>
        <v/>
      </c>
      <c r="J301" s="90" t="n"/>
      <c r="K301" s="89">
        <f>IF(OR($G301="",$H301="",NOT(ISNUMBER($I301))),"",ROUND($H301*$I301*(1+IF($J301="",Setup!$B$16,$J301)),2))</f>
        <v/>
      </c>
      <c r="L301" s="89">
        <f>IF($K301="","",ROUND($K301*Setup!$B$13,2))</f>
        <v/>
      </c>
      <c r="M301" s="89">
        <f>IF($K301="","",$K301-$L301)</f>
        <v/>
      </c>
      <c r="N301" s="89">
        <f>IF(OR($M301="",$D301=""),"",ROUND($M301*IFERROR(IF(VLOOKUP($D301,Setup!$A$76:$C$87,3,FALSE)="",Setup!$B$14,VLOOKUP($D301,Setup!$A$76:$C$87,3,FALSE)),Setup!$B$14),2))</f>
        <v/>
      </c>
      <c r="O301" s="89">
        <f>IF(OR($M301="",$E301=""),"",ROUND($M301*IFERROR(IF(VLOOKUP($E301,Setup!$A$76:$C$87,3,FALSE)="",Setup!$B$15,VLOOKUP($E301,Setup!$A$76:$C$87,3,FALSE)),Setup!$B$15),2))</f>
        <v/>
      </c>
      <c r="P301" s="91" t="n"/>
      <c r="Q301" s="91" t="n"/>
      <c r="R301" s="91" t="n"/>
      <c r="S301" s="91" t="n"/>
      <c r="T301" s="91" t="n"/>
      <c r="U301" s="89">
        <f>IF($K301="","",SUM($R301:$T301))</f>
        <v/>
      </c>
      <c r="V301" s="89">
        <f>IF($K301="","",$M301-(N($N301)+N($O301)+IF($P301="",Setup!$B$17,$P301)+N($Q301))-N($U301))</f>
        <v/>
      </c>
      <c r="W301" s="86" t="n"/>
      <c r="X301" s="87" t="n"/>
      <c r="Z301" s="92">
        <f>IF($A301="","",DATE(YEAR($A301),MONTH($A301),1))</f>
        <v/>
      </c>
    </row>
    <row r="302">
      <c r="A302" s="93" t="n"/>
      <c r="B302" s="94" t="n"/>
      <c r="C302" s="94" t="n"/>
      <c r="D302" s="95" t="n"/>
      <c r="E302" s="95" t="n"/>
      <c r="F302" s="95" t="n"/>
      <c r="G302" s="95" t="n"/>
      <c r="H302" s="96" t="n"/>
      <c r="I302" s="89">
        <f>IF($G302="","",IF($F302="",IFERROR(INDEX(Setup!$C$21:$C$60,MATCH("|"&amp;UPPER(TRIM($G302)),Setup!$Q$21:$Q$60,0)),"NO RATE"),IFERROR(INDEX(Setup!$C$21:$C$60,MATCH(UPPER(TRIM($F302))&amp;"|"&amp;UPPER(TRIM($G302)),Setup!$P$21:$P$60,0)),IFERROR(INDEX(Setup!$C$21:$C$60,MATCH(UPPER(TRIM($G302))&amp;"|"&amp;UPPER(TRIM($F302)),Setup!$P$21:$P$60,0)),"NO RATE"))))</f>
        <v/>
      </c>
      <c r="J302" s="97" t="n"/>
      <c r="K302" s="89">
        <f>IF(OR($G302="",$H302="",NOT(ISNUMBER($I302))),"",ROUND($H302*$I302*(1+IF($J302="",Setup!$B$16,$J302)),2))</f>
        <v/>
      </c>
      <c r="L302" s="89">
        <f>IF($K302="","",ROUND($K302*Setup!$B$13,2))</f>
        <v/>
      </c>
      <c r="M302" s="89">
        <f>IF($K302="","",$K302-$L302)</f>
        <v/>
      </c>
      <c r="N302" s="89">
        <f>IF(OR($M302="",$D302=""),"",ROUND($M302*IFERROR(IF(VLOOKUP($D302,Setup!$A$76:$C$87,3,FALSE)="",Setup!$B$14,VLOOKUP($D302,Setup!$A$76:$C$87,3,FALSE)),Setup!$B$14),2))</f>
        <v/>
      </c>
      <c r="O302" s="89">
        <f>IF(OR($M302="",$E302=""),"",ROUND($M302*IFERROR(IF(VLOOKUP($E302,Setup!$A$76:$C$87,3,FALSE)="",Setup!$B$15,VLOOKUP($E302,Setup!$A$76:$C$87,3,FALSE)),Setup!$B$15),2))</f>
        <v/>
      </c>
      <c r="P302" s="98" t="n"/>
      <c r="Q302" s="98" t="n"/>
      <c r="R302" s="98" t="n"/>
      <c r="S302" s="98" t="n"/>
      <c r="T302" s="98" t="n"/>
      <c r="U302" s="89">
        <f>IF($K302="","",SUM($R302:$T302))</f>
        <v/>
      </c>
      <c r="V302" s="89">
        <f>IF($K302="","",$M302-(N($N302)+N($O302)+IF($P302="",Setup!$B$17,$P302)+N($Q302))-N($U302))</f>
        <v/>
      </c>
      <c r="W302" s="94" t="n"/>
      <c r="X302" s="95" t="n"/>
      <c r="Z302" s="92">
        <f>IF($A302="","",DATE(YEAR($A302),MONTH($A302),1))</f>
        <v/>
      </c>
    </row>
    <row r="303">
      <c r="A303" s="85" t="n"/>
      <c r="B303" s="86" t="n"/>
      <c r="C303" s="86" t="n"/>
      <c r="D303" s="87" t="n"/>
      <c r="E303" s="87" t="n"/>
      <c r="F303" s="87" t="n"/>
      <c r="G303" s="87" t="n"/>
      <c r="H303" s="88" t="n"/>
      <c r="I303" s="89">
        <f>IF($G303="","",IF($F303="",IFERROR(INDEX(Setup!$C$21:$C$60,MATCH("|"&amp;UPPER(TRIM($G303)),Setup!$Q$21:$Q$60,0)),"NO RATE"),IFERROR(INDEX(Setup!$C$21:$C$60,MATCH(UPPER(TRIM($F303))&amp;"|"&amp;UPPER(TRIM($G303)),Setup!$P$21:$P$60,0)),IFERROR(INDEX(Setup!$C$21:$C$60,MATCH(UPPER(TRIM($G303))&amp;"|"&amp;UPPER(TRIM($F303)),Setup!$P$21:$P$60,0)),"NO RATE"))))</f>
        <v/>
      </c>
      <c r="J303" s="90" t="n"/>
      <c r="K303" s="89">
        <f>IF(OR($G303="",$H303="",NOT(ISNUMBER($I303))),"",ROUND($H303*$I303*(1+IF($J303="",Setup!$B$16,$J303)),2))</f>
        <v/>
      </c>
      <c r="L303" s="89">
        <f>IF($K303="","",ROUND($K303*Setup!$B$13,2))</f>
        <v/>
      </c>
      <c r="M303" s="89">
        <f>IF($K303="","",$K303-$L303)</f>
        <v/>
      </c>
      <c r="N303" s="89">
        <f>IF(OR($M303="",$D303=""),"",ROUND($M303*IFERROR(IF(VLOOKUP($D303,Setup!$A$76:$C$87,3,FALSE)="",Setup!$B$14,VLOOKUP($D303,Setup!$A$76:$C$87,3,FALSE)),Setup!$B$14),2))</f>
        <v/>
      </c>
      <c r="O303" s="89">
        <f>IF(OR($M303="",$E303=""),"",ROUND($M303*IFERROR(IF(VLOOKUP($E303,Setup!$A$76:$C$87,3,FALSE)="",Setup!$B$15,VLOOKUP($E303,Setup!$A$76:$C$87,3,FALSE)),Setup!$B$15),2))</f>
        <v/>
      </c>
      <c r="P303" s="91" t="n"/>
      <c r="Q303" s="91" t="n"/>
      <c r="R303" s="91" t="n"/>
      <c r="S303" s="91" t="n"/>
      <c r="T303" s="91" t="n"/>
      <c r="U303" s="89">
        <f>IF($K303="","",SUM($R303:$T303))</f>
        <v/>
      </c>
      <c r="V303" s="89">
        <f>IF($K303="","",$M303-(N($N303)+N($O303)+IF($P303="",Setup!$B$17,$P303)+N($Q303))-N($U303))</f>
        <v/>
      </c>
      <c r="W303" s="86" t="n"/>
      <c r="X303" s="87" t="n"/>
      <c r="Z303" s="92">
        <f>IF($A303="","",DATE(YEAR($A303),MONTH($A303),1))</f>
        <v/>
      </c>
    </row>
    <row r="304">
      <c r="A304" s="93" t="n"/>
      <c r="B304" s="94" t="n"/>
      <c r="C304" s="94" t="n"/>
      <c r="D304" s="95" t="n"/>
      <c r="E304" s="95" t="n"/>
      <c r="F304" s="95" t="n"/>
      <c r="G304" s="95" t="n"/>
      <c r="H304" s="96" t="n"/>
      <c r="I304" s="89">
        <f>IF($G304="","",IF($F304="",IFERROR(INDEX(Setup!$C$21:$C$60,MATCH("|"&amp;UPPER(TRIM($G304)),Setup!$Q$21:$Q$60,0)),"NO RATE"),IFERROR(INDEX(Setup!$C$21:$C$60,MATCH(UPPER(TRIM($F304))&amp;"|"&amp;UPPER(TRIM($G304)),Setup!$P$21:$P$60,0)),IFERROR(INDEX(Setup!$C$21:$C$60,MATCH(UPPER(TRIM($G304))&amp;"|"&amp;UPPER(TRIM($F304)),Setup!$P$21:$P$60,0)),"NO RATE"))))</f>
        <v/>
      </c>
      <c r="J304" s="97" t="n"/>
      <c r="K304" s="89">
        <f>IF(OR($G304="",$H304="",NOT(ISNUMBER($I304))),"",ROUND($H304*$I304*(1+IF($J304="",Setup!$B$16,$J304)),2))</f>
        <v/>
      </c>
      <c r="L304" s="89">
        <f>IF($K304="","",ROUND($K304*Setup!$B$13,2))</f>
        <v/>
      </c>
      <c r="M304" s="89">
        <f>IF($K304="","",$K304-$L304)</f>
        <v/>
      </c>
      <c r="N304" s="89">
        <f>IF(OR($M304="",$D304=""),"",ROUND($M304*IFERROR(IF(VLOOKUP($D304,Setup!$A$76:$C$87,3,FALSE)="",Setup!$B$14,VLOOKUP($D304,Setup!$A$76:$C$87,3,FALSE)),Setup!$B$14),2))</f>
        <v/>
      </c>
      <c r="O304" s="89">
        <f>IF(OR($M304="",$E304=""),"",ROUND($M304*IFERROR(IF(VLOOKUP($E304,Setup!$A$76:$C$87,3,FALSE)="",Setup!$B$15,VLOOKUP($E304,Setup!$A$76:$C$87,3,FALSE)),Setup!$B$15),2))</f>
        <v/>
      </c>
      <c r="P304" s="98" t="n"/>
      <c r="Q304" s="98" t="n"/>
      <c r="R304" s="98" t="n"/>
      <c r="S304" s="98" t="n"/>
      <c r="T304" s="98" t="n"/>
      <c r="U304" s="89">
        <f>IF($K304="","",SUM($R304:$T304))</f>
        <v/>
      </c>
      <c r="V304" s="89">
        <f>IF($K304="","",$M304-(N($N304)+N($O304)+IF($P304="",Setup!$B$17,$P304)+N($Q304))-N($U304))</f>
        <v/>
      </c>
      <c r="W304" s="94" t="n"/>
      <c r="X304" s="95" t="n"/>
      <c r="Z304" s="92">
        <f>IF($A304="","",DATE(YEAR($A304),MONTH($A304),1))</f>
        <v/>
      </c>
    </row>
    <row r="305">
      <c r="A305" s="85" t="n"/>
      <c r="B305" s="86" t="n"/>
      <c r="C305" s="86" t="n"/>
      <c r="D305" s="87" t="n"/>
      <c r="E305" s="87" t="n"/>
      <c r="F305" s="87" t="n"/>
      <c r="G305" s="87" t="n"/>
      <c r="H305" s="88" t="n"/>
      <c r="I305" s="89">
        <f>IF($G305="","",IF($F305="",IFERROR(INDEX(Setup!$C$21:$C$60,MATCH("|"&amp;UPPER(TRIM($G305)),Setup!$Q$21:$Q$60,0)),"NO RATE"),IFERROR(INDEX(Setup!$C$21:$C$60,MATCH(UPPER(TRIM($F305))&amp;"|"&amp;UPPER(TRIM($G305)),Setup!$P$21:$P$60,0)),IFERROR(INDEX(Setup!$C$21:$C$60,MATCH(UPPER(TRIM($G305))&amp;"|"&amp;UPPER(TRIM($F305)),Setup!$P$21:$P$60,0)),"NO RATE"))))</f>
        <v/>
      </c>
      <c r="J305" s="90" t="n"/>
      <c r="K305" s="89">
        <f>IF(OR($G305="",$H305="",NOT(ISNUMBER($I305))),"",ROUND($H305*$I305*(1+IF($J305="",Setup!$B$16,$J305)),2))</f>
        <v/>
      </c>
      <c r="L305" s="89">
        <f>IF($K305="","",ROUND($K305*Setup!$B$13,2))</f>
        <v/>
      </c>
      <c r="M305" s="89">
        <f>IF($K305="","",$K305-$L305)</f>
        <v/>
      </c>
      <c r="N305" s="89">
        <f>IF(OR($M305="",$D305=""),"",ROUND($M305*IFERROR(IF(VLOOKUP($D305,Setup!$A$76:$C$87,3,FALSE)="",Setup!$B$14,VLOOKUP($D305,Setup!$A$76:$C$87,3,FALSE)),Setup!$B$14),2))</f>
        <v/>
      </c>
      <c r="O305" s="89">
        <f>IF(OR($M305="",$E305=""),"",ROUND($M305*IFERROR(IF(VLOOKUP($E305,Setup!$A$76:$C$87,3,FALSE)="",Setup!$B$15,VLOOKUP($E305,Setup!$A$76:$C$87,3,FALSE)),Setup!$B$15),2))</f>
        <v/>
      </c>
      <c r="P305" s="91" t="n"/>
      <c r="Q305" s="91" t="n"/>
      <c r="R305" s="91" t="n"/>
      <c r="S305" s="91" t="n"/>
      <c r="T305" s="91" t="n"/>
      <c r="U305" s="89">
        <f>IF($K305="","",SUM($R305:$T305))</f>
        <v/>
      </c>
      <c r="V305" s="89">
        <f>IF($K305="","",$M305-(N($N305)+N($O305)+IF($P305="",Setup!$B$17,$P305)+N($Q305))-N($U305))</f>
        <v/>
      </c>
      <c r="W305" s="86" t="n"/>
      <c r="X305" s="87" t="n"/>
      <c r="Z305" s="92">
        <f>IF($A305="","",DATE(YEAR($A305),MONTH($A305),1))</f>
        <v/>
      </c>
    </row>
    <row r="306">
      <c r="A306" s="93" t="n"/>
      <c r="B306" s="94" t="n"/>
      <c r="C306" s="94" t="n"/>
      <c r="D306" s="95" t="n"/>
      <c r="E306" s="95" t="n"/>
      <c r="F306" s="95" t="n"/>
      <c r="G306" s="95" t="n"/>
      <c r="H306" s="96" t="n"/>
      <c r="I306" s="89">
        <f>IF($G306="","",IF($F306="",IFERROR(INDEX(Setup!$C$21:$C$60,MATCH("|"&amp;UPPER(TRIM($G306)),Setup!$Q$21:$Q$60,0)),"NO RATE"),IFERROR(INDEX(Setup!$C$21:$C$60,MATCH(UPPER(TRIM($F306))&amp;"|"&amp;UPPER(TRIM($G306)),Setup!$P$21:$P$60,0)),IFERROR(INDEX(Setup!$C$21:$C$60,MATCH(UPPER(TRIM($G306))&amp;"|"&amp;UPPER(TRIM($F306)),Setup!$P$21:$P$60,0)),"NO RATE"))))</f>
        <v/>
      </c>
      <c r="J306" s="97" t="n"/>
      <c r="K306" s="89">
        <f>IF(OR($G306="",$H306="",NOT(ISNUMBER($I306))),"",ROUND($H306*$I306*(1+IF($J306="",Setup!$B$16,$J306)),2))</f>
        <v/>
      </c>
      <c r="L306" s="89">
        <f>IF($K306="","",ROUND($K306*Setup!$B$13,2))</f>
        <v/>
      </c>
      <c r="M306" s="89">
        <f>IF($K306="","",$K306-$L306)</f>
        <v/>
      </c>
      <c r="N306" s="89">
        <f>IF(OR($M306="",$D306=""),"",ROUND($M306*IFERROR(IF(VLOOKUP($D306,Setup!$A$76:$C$87,3,FALSE)="",Setup!$B$14,VLOOKUP($D306,Setup!$A$76:$C$87,3,FALSE)),Setup!$B$14),2))</f>
        <v/>
      </c>
      <c r="O306" s="89">
        <f>IF(OR($M306="",$E306=""),"",ROUND($M306*IFERROR(IF(VLOOKUP($E306,Setup!$A$76:$C$87,3,FALSE)="",Setup!$B$15,VLOOKUP($E306,Setup!$A$76:$C$87,3,FALSE)),Setup!$B$15),2))</f>
        <v/>
      </c>
      <c r="P306" s="98" t="n"/>
      <c r="Q306" s="98" t="n"/>
      <c r="R306" s="98" t="n"/>
      <c r="S306" s="98" t="n"/>
      <c r="T306" s="98" t="n"/>
      <c r="U306" s="89">
        <f>IF($K306="","",SUM($R306:$T306))</f>
        <v/>
      </c>
      <c r="V306" s="89">
        <f>IF($K306="","",$M306-(N($N306)+N($O306)+IF($P306="",Setup!$B$17,$P306)+N($Q306))-N($U306))</f>
        <v/>
      </c>
      <c r="W306" s="94" t="n"/>
      <c r="X306" s="95" t="n"/>
      <c r="Z306" s="92">
        <f>IF($A306="","",DATE(YEAR($A306),MONTH($A306),1))</f>
        <v/>
      </c>
    </row>
    <row r="307">
      <c r="A307" s="85" t="n"/>
      <c r="B307" s="86" t="n"/>
      <c r="C307" s="86" t="n"/>
      <c r="D307" s="87" t="n"/>
      <c r="E307" s="87" t="n"/>
      <c r="F307" s="87" t="n"/>
      <c r="G307" s="87" t="n"/>
      <c r="H307" s="88" t="n"/>
      <c r="I307" s="89">
        <f>IF($G307="","",IF($F307="",IFERROR(INDEX(Setup!$C$21:$C$60,MATCH("|"&amp;UPPER(TRIM($G307)),Setup!$Q$21:$Q$60,0)),"NO RATE"),IFERROR(INDEX(Setup!$C$21:$C$60,MATCH(UPPER(TRIM($F307))&amp;"|"&amp;UPPER(TRIM($G307)),Setup!$P$21:$P$60,0)),IFERROR(INDEX(Setup!$C$21:$C$60,MATCH(UPPER(TRIM($G307))&amp;"|"&amp;UPPER(TRIM($F307)),Setup!$P$21:$P$60,0)),"NO RATE"))))</f>
        <v/>
      </c>
      <c r="J307" s="90" t="n"/>
      <c r="K307" s="89">
        <f>IF(OR($G307="",$H307="",NOT(ISNUMBER($I307))),"",ROUND($H307*$I307*(1+IF($J307="",Setup!$B$16,$J307)),2))</f>
        <v/>
      </c>
      <c r="L307" s="89">
        <f>IF($K307="","",ROUND($K307*Setup!$B$13,2))</f>
        <v/>
      </c>
      <c r="M307" s="89">
        <f>IF($K307="","",$K307-$L307)</f>
        <v/>
      </c>
      <c r="N307" s="89">
        <f>IF(OR($M307="",$D307=""),"",ROUND($M307*IFERROR(IF(VLOOKUP($D307,Setup!$A$76:$C$87,3,FALSE)="",Setup!$B$14,VLOOKUP($D307,Setup!$A$76:$C$87,3,FALSE)),Setup!$B$14),2))</f>
        <v/>
      </c>
      <c r="O307" s="89">
        <f>IF(OR($M307="",$E307=""),"",ROUND($M307*IFERROR(IF(VLOOKUP($E307,Setup!$A$76:$C$87,3,FALSE)="",Setup!$B$15,VLOOKUP($E307,Setup!$A$76:$C$87,3,FALSE)),Setup!$B$15),2))</f>
        <v/>
      </c>
      <c r="P307" s="91" t="n"/>
      <c r="Q307" s="91" t="n"/>
      <c r="R307" s="91" t="n"/>
      <c r="S307" s="91" t="n"/>
      <c r="T307" s="91" t="n"/>
      <c r="U307" s="89">
        <f>IF($K307="","",SUM($R307:$T307))</f>
        <v/>
      </c>
      <c r="V307" s="89">
        <f>IF($K307="","",$M307-(N($N307)+N($O307)+IF($P307="",Setup!$B$17,$P307)+N($Q307))-N($U307))</f>
        <v/>
      </c>
      <c r="W307" s="86" t="n"/>
      <c r="X307" s="87" t="n"/>
      <c r="Z307" s="92">
        <f>IF($A307="","",DATE(YEAR($A307),MONTH($A307),1))</f>
        <v/>
      </c>
    </row>
    <row r="308">
      <c r="A308" s="93" t="n"/>
      <c r="B308" s="94" t="n"/>
      <c r="C308" s="94" t="n"/>
      <c r="D308" s="95" t="n"/>
      <c r="E308" s="95" t="n"/>
      <c r="F308" s="95" t="n"/>
      <c r="G308" s="95" t="n"/>
      <c r="H308" s="96" t="n"/>
      <c r="I308" s="89">
        <f>IF($G308="","",IF($F308="",IFERROR(INDEX(Setup!$C$21:$C$60,MATCH("|"&amp;UPPER(TRIM($G308)),Setup!$Q$21:$Q$60,0)),"NO RATE"),IFERROR(INDEX(Setup!$C$21:$C$60,MATCH(UPPER(TRIM($F308))&amp;"|"&amp;UPPER(TRIM($G308)),Setup!$P$21:$P$60,0)),IFERROR(INDEX(Setup!$C$21:$C$60,MATCH(UPPER(TRIM($G308))&amp;"|"&amp;UPPER(TRIM($F308)),Setup!$P$21:$P$60,0)),"NO RATE"))))</f>
        <v/>
      </c>
      <c r="J308" s="97" t="n"/>
      <c r="K308" s="89">
        <f>IF(OR($G308="",$H308="",NOT(ISNUMBER($I308))),"",ROUND($H308*$I308*(1+IF($J308="",Setup!$B$16,$J308)),2))</f>
        <v/>
      </c>
      <c r="L308" s="89">
        <f>IF($K308="","",ROUND($K308*Setup!$B$13,2))</f>
        <v/>
      </c>
      <c r="M308" s="89">
        <f>IF($K308="","",$K308-$L308)</f>
        <v/>
      </c>
      <c r="N308" s="89">
        <f>IF(OR($M308="",$D308=""),"",ROUND($M308*IFERROR(IF(VLOOKUP($D308,Setup!$A$76:$C$87,3,FALSE)="",Setup!$B$14,VLOOKUP($D308,Setup!$A$76:$C$87,3,FALSE)),Setup!$B$14),2))</f>
        <v/>
      </c>
      <c r="O308" s="89">
        <f>IF(OR($M308="",$E308=""),"",ROUND($M308*IFERROR(IF(VLOOKUP($E308,Setup!$A$76:$C$87,3,FALSE)="",Setup!$B$15,VLOOKUP($E308,Setup!$A$76:$C$87,3,FALSE)),Setup!$B$15),2))</f>
        <v/>
      </c>
      <c r="P308" s="98" t="n"/>
      <c r="Q308" s="98" t="n"/>
      <c r="R308" s="98" t="n"/>
      <c r="S308" s="98" t="n"/>
      <c r="T308" s="98" t="n"/>
      <c r="U308" s="89">
        <f>IF($K308="","",SUM($R308:$T308))</f>
        <v/>
      </c>
      <c r="V308" s="89">
        <f>IF($K308="","",$M308-(N($N308)+N($O308)+IF($P308="",Setup!$B$17,$P308)+N($Q308))-N($U308))</f>
        <v/>
      </c>
      <c r="W308" s="94" t="n"/>
      <c r="X308" s="95" t="n"/>
      <c r="Z308" s="92">
        <f>IF($A308="","",DATE(YEAR($A308),MONTH($A308),1))</f>
        <v/>
      </c>
    </row>
    <row r="309">
      <c r="A309" s="85" t="n"/>
      <c r="B309" s="86" t="n"/>
      <c r="C309" s="86" t="n"/>
      <c r="D309" s="87" t="n"/>
      <c r="E309" s="87" t="n"/>
      <c r="F309" s="87" t="n"/>
      <c r="G309" s="87" t="n"/>
      <c r="H309" s="88" t="n"/>
      <c r="I309" s="89">
        <f>IF($G309="","",IF($F309="",IFERROR(INDEX(Setup!$C$21:$C$60,MATCH("|"&amp;UPPER(TRIM($G309)),Setup!$Q$21:$Q$60,0)),"NO RATE"),IFERROR(INDEX(Setup!$C$21:$C$60,MATCH(UPPER(TRIM($F309))&amp;"|"&amp;UPPER(TRIM($G309)),Setup!$P$21:$P$60,0)),IFERROR(INDEX(Setup!$C$21:$C$60,MATCH(UPPER(TRIM($G309))&amp;"|"&amp;UPPER(TRIM($F309)),Setup!$P$21:$P$60,0)),"NO RATE"))))</f>
        <v/>
      </c>
      <c r="J309" s="90" t="n"/>
      <c r="K309" s="89">
        <f>IF(OR($G309="",$H309="",NOT(ISNUMBER($I309))),"",ROUND($H309*$I309*(1+IF($J309="",Setup!$B$16,$J309)),2))</f>
        <v/>
      </c>
      <c r="L309" s="89">
        <f>IF($K309="","",ROUND($K309*Setup!$B$13,2))</f>
        <v/>
      </c>
      <c r="M309" s="89">
        <f>IF($K309="","",$K309-$L309)</f>
        <v/>
      </c>
      <c r="N309" s="89">
        <f>IF(OR($M309="",$D309=""),"",ROUND($M309*IFERROR(IF(VLOOKUP($D309,Setup!$A$76:$C$87,3,FALSE)="",Setup!$B$14,VLOOKUP($D309,Setup!$A$76:$C$87,3,FALSE)),Setup!$B$14),2))</f>
        <v/>
      </c>
      <c r="O309" s="89">
        <f>IF(OR($M309="",$E309=""),"",ROUND($M309*IFERROR(IF(VLOOKUP($E309,Setup!$A$76:$C$87,3,FALSE)="",Setup!$B$15,VLOOKUP($E309,Setup!$A$76:$C$87,3,FALSE)),Setup!$B$15),2))</f>
        <v/>
      </c>
      <c r="P309" s="91" t="n"/>
      <c r="Q309" s="91" t="n"/>
      <c r="R309" s="91" t="n"/>
      <c r="S309" s="91" t="n"/>
      <c r="T309" s="91" t="n"/>
      <c r="U309" s="89">
        <f>IF($K309="","",SUM($R309:$T309))</f>
        <v/>
      </c>
      <c r="V309" s="89">
        <f>IF($K309="","",$M309-(N($N309)+N($O309)+IF($P309="",Setup!$B$17,$P309)+N($Q309))-N($U309))</f>
        <v/>
      </c>
      <c r="W309" s="86" t="n"/>
      <c r="X309" s="87" t="n"/>
      <c r="Z309" s="92">
        <f>IF($A309="","",DATE(YEAR($A309),MONTH($A309),1))</f>
        <v/>
      </c>
    </row>
    <row r="310">
      <c r="A310" s="93" t="n"/>
      <c r="B310" s="94" t="n"/>
      <c r="C310" s="94" t="n"/>
      <c r="D310" s="95" t="n"/>
      <c r="E310" s="95" t="n"/>
      <c r="F310" s="95" t="n"/>
      <c r="G310" s="95" t="n"/>
      <c r="H310" s="96" t="n"/>
      <c r="I310" s="89">
        <f>IF($G310="","",IF($F310="",IFERROR(INDEX(Setup!$C$21:$C$60,MATCH("|"&amp;UPPER(TRIM($G310)),Setup!$Q$21:$Q$60,0)),"NO RATE"),IFERROR(INDEX(Setup!$C$21:$C$60,MATCH(UPPER(TRIM($F310))&amp;"|"&amp;UPPER(TRIM($G310)),Setup!$P$21:$P$60,0)),IFERROR(INDEX(Setup!$C$21:$C$60,MATCH(UPPER(TRIM($G310))&amp;"|"&amp;UPPER(TRIM($F310)),Setup!$P$21:$P$60,0)),"NO RATE"))))</f>
        <v/>
      </c>
      <c r="J310" s="97" t="n"/>
      <c r="K310" s="89">
        <f>IF(OR($G310="",$H310="",NOT(ISNUMBER($I310))),"",ROUND($H310*$I310*(1+IF($J310="",Setup!$B$16,$J310)),2))</f>
        <v/>
      </c>
      <c r="L310" s="89">
        <f>IF($K310="","",ROUND($K310*Setup!$B$13,2))</f>
        <v/>
      </c>
      <c r="M310" s="89">
        <f>IF($K310="","",$K310-$L310)</f>
        <v/>
      </c>
      <c r="N310" s="89">
        <f>IF(OR($M310="",$D310=""),"",ROUND($M310*IFERROR(IF(VLOOKUP($D310,Setup!$A$76:$C$87,3,FALSE)="",Setup!$B$14,VLOOKUP($D310,Setup!$A$76:$C$87,3,FALSE)),Setup!$B$14),2))</f>
        <v/>
      </c>
      <c r="O310" s="89">
        <f>IF(OR($M310="",$E310=""),"",ROUND($M310*IFERROR(IF(VLOOKUP($E310,Setup!$A$76:$C$87,3,FALSE)="",Setup!$B$15,VLOOKUP($E310,Setup!$A$76:$C$87,3,FALSE)),Setup!$B$15),2))</f>
        <v/>
      </c>
      <c r="P310" s="98" t="n"/>
      <c r="Q310" s="98" t="n"/>
      <c r="R310" s="98" t="n"/>
      <c r="S310" s="98" t="n"/>
      <c r="T310" s="98" t="n"/>
      <c r="U310" s="89">
        <f>IF($K310="","",SUM($R310:$T310))</f>
        <v/>
      </c>
      <c r="V310" s="89">
        <f>IF($K310="","",$M310-(N($N310)+N($O310)+IF($P310="",Setup!$B$17,$P310)+N($Q310))-N($U310))</f>
        <v/>
      </c>
      <c r="W310" s="94" t="n"/>
      <c r="X310" s="95" t="n"/>
      <c r="Z310" s="92">
        <f>IF($A310="","",DATE(YEAR($A310),MONTH($A310),1))</f>
        <v/>
      </c>
    </row>
    <row r="311">
      <c r="A311" s="85" t="n"/>
      <c r="B311" s="86" t="n"/>
      <c r="C311" s="86" t="n"/>
      <c r="D311" s="87" t="n"/>
      <c r="E311" s="87" t="n"/>
      <c r="F311" s="87" t="n"/>
      <c r="G311" s="87" t="n"/>
      <c r="H311" s="88" t="n"/>
      <c r="I311" s="89">
        <f>IF($G311="","",IF($F311="",IFERROR(INDEX(Setup!$C$21:$C$60,MATCH("|"&amp;UPPER(TRIM($G311)),Setup!$Q$21:$Q$60,0)),"NO RATE"),IFERROR(INDEX(Setup!$C$21:$C$60,MATCH(UPPER(TRIM($F311))&amp;"|"&amp;UPPER(TRIM($G311)),Setup!$P$21:$P$60,0)),IFERROR(INDEX(Setup!$C$21:$C$60,MATCH(UPPER(TRIM($G311))&amp;"|"&amp;UPPER(TRIM($F311)),Setup!$P$21:$P$60,0)),"NO RATE"))))</f>
        <v/>
      </c>
      <c r="J311" s="90" t="n"/>
      <c r="K311" s="89">
        <f>IF(OR($G311="",$H311="",NOT(ISNUMBER($I311))),"",ROUND($H311*$I311*(1+IF($J311="",Setup!$B$16,$J311)),2))</f>
        <v/>
      </c>
      <c r="L311" s="89">
        <f>IF($K311="","",ROUND($K311*Setup!$B$13,2))</f>
        <v/>
      </c>
      <c r="M311" s="89">
        <f>IF($K311="","",$K311-$L311)</f>
        <v/>
      </c>
      <c r="N311" s="89">
        <f>IF(OR($M311="",$D311=""),"",ROUND($M311*IFERROR(IF(VLOOKUP($D311,Setup!$A$76:$C$87,3,FALSE)="",Setup!$B$14,VLOOKUP($D311,Setup!$A$76:$C$87,3,FALSE)),Setup!$B$14),2))</f>
        <v/>
      </c>
      <c r="O311" s="89">
        <f>IF(OR($M311="",$E311=""),"",ROUND($M311*IFERROR(IF(VLOOKUP($E311,Setup!$A$76:$C$87,3,FALSE)="",Setup!$B$15,VLOOKUP($E311,Setup!$A$76:$C$87,3,FALSE)),Setup!$B$15),2))</f>
        <v/>
      </c>
      <c r="P311" s="91" t="n"/>
      <c r="Q311" s="91" t="n"/>
      <c r="R311" s="91" t="n"/>
      <c r="S311" s="91" t="n"/>
      <c r="T311" s="91" t="n"/>
      <c r="U311" s="89">
        <f>IF($K311="","",SUM($R311:$T311))</f>
        <v/>
      </c>
      <c r="V311" s="89">
        <f>IF($K311="","",$M311-(N($N311)+N($O311)+IF($P311="",Setup!$B$17,$P311)+N($Q311))-N($U311))</f>
        <v/>
      </c>
      <c r="W311" s="86" t="n"/>
      <c r="X311" s="87" t="n"/>
      <c r="Z311" s="92">
        <f>IF($A311="","",DATE(YEAR($A311),MONTH($A311),1))</f>
        <v/>
      </c>
    </row>
    <row r="312">
      <c r="A312" s="93" t="n"/>
      <c r="B312" s="94" t="n"/>
      <c r="C312" s="94" t="n"/>
      <c r="D312" s="95" t="n"/>
      <c r="E312" s="95" t="n"/>
      <c r="F312" s="95" t="n"/>
      <c r="G312" s="95" t="n"/>
      <c r="H312" s="96" t="n"/>
      <c r="I312" s="89">
        <f>IF($G312="","",IF($F312="",IFERROR(INDEX(Setup!$C$21:$C$60,MATCH("|"&amp;UPPER(TRIM($G312)),Setup!$Q$21:$Q$60,0)),"NO RATE"),IFERROR(INDEX(Setup!$C$21:$C$60,MATCH(UPPER(TRIM($F312))&amp;"|"&amp;UPPER(TRIM($G312)),Setup!$P$21:$P$60,0)),IFERROR(INDEX(Setup!$C$21:$C$60,MATCH(UPPER(TRIM($G312))&amp;"|"&amp;UPPER(TRIM($F312)),Setup!$P$21:$P$60,0)),"NO RATE"))))</f>
        <v/>
      </c>
      <c r="J312" s="97" t="n"/>
      <c r="K312" s="89">
        <f>IF(OR($G312="",$H312="",NOT(ISNUMBER($I312))),"",ROUND($H312*$I312*(1+IF($J312="",Setup!$B$16,$J312)),2))</f>
        <v/>
      </c>
      <c r="L312" s="89">
        <f>IF($K312="","",ROUND($K312*Setup!$B$13,2))</f>
        <v/>
      </c>
      <c r="M312" s="89">
        <f>IF($K312="","",$K312-$L312)</f>
        <v/>
      </c>
      <c r="N312" s="89">
        <f>IF(OR($M312="",$D312=""),"",ROUND($M312*IFERROR(IF(VLOOKUP($D312,Setup!$A$76:$C$87,3,FALSE)="",Setup!$B$14,VLOOKUP($D312,Setup!$A$76:$C$87,3,FALSE)),Setup!$B$14),2))</f>
        <v/>
      </c>
      <c r="O312" s="89">
        <f>IF(OR($M312="",$E312=""),"",ROUND($M312*IFERROR(IF(VLOOKUP($E312,Setup!$A$76:$C$87,3,FALSE)="",Setup!$B$15,VLOOKUP($E312,Setup!$A$76:$C$87,3,FALSE)),Setup!$B$15),2))</f>
        <v/>
      </c>
      <c r="P312" s="98" t="n"/>
      <c r="Q312" s="98" t="n"/>
      <c r="R312" s="98" t="n"/>
      <c r="S312" s="98" t="n"/>
      <c r="T312" s="98" t="n"/>
      <c r="U312" s="89">
        <f>IF($K312="","",SUM($R312:$T312))</f>
        <v/>
      </c>
      <c r="V312" s="89">
        <f>IF($K312="","",$M312-(N($N312)+N($O312)+IF($P312="",Setup!$B$17,$P312)+N($Q312))-N($U312))</f>
        <v/>
      </c>
      <c r="W312" s="94" t="n"/>
      <c r="X312" s="95" t="n"/>
      <c r="Z312" s="92">
        <f>IF($A312="","",DATE(YEAR($A312),MONTH($A312),1))</f>
        <v/>
      </c>
    </row>
    <row r="313">
      <c r="A313" s="85" t="n"/>
      <c r="B313" s="86" t="n"/>
      <c r="C313" s="86" t="n"/>
      <c r="D313" s="87" t="n"/>
      <c r="E313" s="87" t="n"/>
      <c r="F313" s="87" t="n"/>
      <c r="G313" s="87" t="n"/>
      <c r="H313" s="88" t="n"/>
      <c r="I313" s="89">
        <f>IF($G313="","",IF($F313="",IFERROR(INDEX(Setup!$C$21:$C$60,MATCH("|"&amp;UPPER(TRIM($G313)),Setup!$Q$21:$Q$60,0)),"NO RATE"),IFERROR(INDEX(Setup!$C$21:$C$60,MATCH(UPPER(TRIM($F313))&amp;"|"&amp;UPPER(TRIM($G313)),Setup!$P$21:$P$60,0)),IFERROR(INDEX(Setup!$C$21:$C$60,MATCH(UPPER(TRIM($G313))&amp;"|"&amp;UPPER(TRIM($F313)),Setup!$P$21:$P$60,0)),"NO RATE"))))</f>
        <v/>
      </c>
      <c r="J313" s="90" t="n"/>
      <c r="K313" s="89">
        <f>IF(OR($G313="",$H313="",NOT(ISNUMBER($I313))),"",ROUND($H313*$I313*(1+IF($J313="",Setup!$B$16,$J313)),2))</f>
        <v/>
      </c>
      <c r="L313" s="89">
        <f>IF($K313="","",ROUND($K313*Setup!$B$13,2))</f>
        <v/>
      </c>
      <c r="M313" s="89">
        <f>IF($K313="","",$K313-$L313)</f>
        <v/>
      </c>
      <c r="N313" s="89">
        <f>IF(OR($M313="",$D313=""),"",ROUND($M313*IFERROR(IF(VLOOKUP($D313,Setup!$A$76:$C$87,3,FALSE)="",Setup!$B$14,VLOOKUP($D313,Setup!$A$76:$C$87,3,FALSE)),Setup!$B$14),2))</f>
        <v/>
      </c>
      <c r="O313" s="89">
        <f>IF(OR($M313="",$E313=""),"",ROUND($M313*IFERROR(IF(VLOOKUP($E313,Setup!$A$76:$C$87,3,FALSE)="",Setup!$B$15,VLOOKUP($E313,Setup!$A$76:$C$87,3,FALSE)),Setup!$B$15),2))</f>
        <v/>
      </c>
      <c r="P313" s="91" t="n"/>
      <c r="Q313" s="91" t="n"/>
      <c r="R313" s="91" t="n"/>
      <c r="S313" s="91" t="n"/>
      <c r="T313" s="91" t="n"/>
      <c r="U313" s="89">
        <f>IF($K313="","",SUM($R313:$T313))</f>
        <v/>
      </c>
      <c r="V313" s="89">
        <f>IF($K313="","",$M313-(N($N313)+N($O313)+IF($P313="",Setup!$B$17,$P313)+N($Q313))-N($U313))</f>
        <v/>
      </c>
      <c r="W313" s="86" t="n"/>
      <c r="X313" s="87" t="n"/>
      <c r="Z313" s="92">
        <f>IF($A313="","",DATE(YEAR($A313),MONTH($A313),1))</f>
        <v/>
      </c>
    </row>
    <row r="314">
      <c r="A314" s="93" t="n"/>
      <c r="B314" s="94" t="n"/>
      <c r="C314" s="94" t="n"/>
      <c r="D314" s="95" t="n"/>
      <c r="E314" s="95" t="n"/>
      <c r="F314" s="95" t="n"/>
      <c r="G314" s="95" t="n"/>
      <c r="H314" s="96" t="n"/>
      <c r="I314" s="89">
        <f>IF($G314="","",IF($F314="",IFERROR(INDEX(Setup!$C$21:$C$60,MATCH("|"&amp;UPPER(TRIM($G314)),Setup!$Q$21:$Q$60,0)),"NO RATE"),IFERROR(INDEX(Setup!$C$21:$C$60,MATCH(UPPER(TRIM($F314))&amp;"|"&amp;UPPER(TRIM($G314)),Setup!$P$21:$P$60,0)),IFERROR(INDEX(Setup!$C$21:$C$60,MATCH(UPPER(TRIM($G314))&amp;"|"&amp;UPPER(TRIM($F314)),Setup!$P$21:$P$60,0)),"NO RATE"))))</f>
        <v/>
      </c>
      <c r="J314" s="97" t="n"/>
      <c r="K314" s="89">
        <f>IF(OR($G314="",$H314="",NOT(ISNUMBER($I314))),"",ROUND($H314*$I314*(1+IF($J314="",Setup!$B$16,$J314)),2))</f>
        <v/>
      </c>
      <c r="L314" s="89">
        <f>IF($K314="","",ROUND($K314*Setup!$B$13,2))</f>
        <v/>
      </c>
      <c r="M314" s="89">
        <f>IF($K314="","",$K314-$L314)</f>
        <v/>
      </c>
      <c r="N314" s="89">
        <f>IF(OR($M314="",$D314=""),"",ROUND($M314*IFERROR(IF(VLOOKUP($D314,Setup!$A$76:$C$87,3,FALSE)="",Setup!$B$14,VLOOKUP($D314,Setup!$A$76:$C$87,3,FALSE)),Setup!$B$14),2))</f>
        <v/>
      </c>
      <c r="O314" s="89">
        <f>IF(OR($M314="",$E314=""),"",ROUND($M314*IFERROR(IF(VLOOKUP($E314,Setup!$A$76:$C$87,3,FALSE)="",Setup!$B$15,VLOOKUP($E314,Setup!$A$76:$C$87,3,FALSE)),Setup!$B$15),2))</f>
        <v/>
      </c>
      <c r="P314" s="98" t="n"/>
      <c r="Q314" s="98" t="n"/>
      <c r="R314" s="98" t="n"/>
      <c r="S314" s="98" t="n"/>
      <c r="T314" s="98" t="n"/>
      <c r="U314" s="89">
        <f>IF($K314="","",SUM($R314:$T314))</f>
        <v/>
      </c>
      <c r="V314" s="89">
        <f>IF($K314="","",$M314-(N($N314)+N($O314)+IF($P314="",Setup!$B$17,$P314)+N($Q314))-N($U314))</f>
        <v/>
      </c>
      <c r="W314" s="94" t="n"/>
      <c r="X314" s="95" t="n"/>
      <c r="Z314" s="92">
        <f>IF($A314="","",DATE(YEAR($A314),MONTH($A314),1))</f>
        <v/>
      </c>
    </row>
    <row r="315">
      <c r="A315" s="85" t="n"/>
      <c r="B315" s="86" t="n"/>
      <c r="C315" s="86" t="n"/>
      <c r="D315" s="87" t="n"/>
      <c r="E315" s="87" t="n"/>
      <c r="F315" s="87" t="n"/>
      <c r="G315" s="87" t="n"/>
      <c r="H315" s="88" t="n"/>
      <c r="I315" s="89">
        <f>IF($G315="","",IF($F315="",IFERROR(INDEX(Setup!$C$21:$C$60,MATCH("|"&amp;UPPER(TRIM($G315)),Setup!$Q$21:$Q$60,0)),"NO RATE"),IFERROR(INDEX(Setup!$C$21:$C$60,MATCH(UPPER(TRIM($F315))&amp;"|"&amp;UPPER(TRIM($G315)),Setup!$P$21:$P$60,0)),IFERROR(INDEX(Setup!$C$21:$C$60,MATCH(UPPER(TRIM($G315))&amp;"|"&amp;UPPER(TRIM($F315)),Setup!$P$21:$P$60,0)),"NO RATE"))))</f>
        <v/>
      </c>
      <c r="J315" s="90" t="n"/>
      <c r="K315" s="89">
        <f>IF(OR($G315="",$H315="",NOT(ISNUMBER($I315))),"",ROUND($H315*$I315*(1+IF($J315="",Setup!$B$16,$J315)),2))</f>
        <v/>
      </c>
      <c r="L315" s="89">
        <f>IF($K315="","",ROUND($K315*Setup!$B$13,2))</f>
        <v/>
      </c>
      <c r="M315" s="89">
        <f>IF($K315="","",$K315-$L315)</f>
        <v/>
      </c>
      <c r="N315" s="89">
        <f>IF(OR($M315="",$D315=""),"",ROUND($M315*IFERROR(IF(VLOOKUP($D315,Setup!$A$76:$C$87,3,FALSE)="",Setup!$B$14,VLOOKUP($D315,Setup!$A$76:$C$87,3,FALSE)),Setup!$B$14),2))</f>
        <v/>
      </c>
      <c r="O315" s="89">
        <f>IF(OR($M315="",$E315=""),"",ROUND($M315*IFERROR(IF(VLOOKUP($E315,Setup!$A$76:$C$87,3,FALSE)="",Setup!$B$15,VLOOKUP($E315,Setup!$A$76:$C$87,3,FALSE)),Setup!$B$15),2))</f>
        <v/>
      </c>
      <c r="P315" s="91" t="n"/>
      <c r="Q315" s="91" t="n"/>
      <c r="R315" s="91" t="n"/>
      <c r="S315" s="91" t="n"/>
      <c r="T315" s="91" t="n"/>
      <c r="U315" s="89">
        <f>IF($K315="","",SUM($R315:$T315))</f>
        <v/>
      </c>
      <c r="V315" s="89">
        <f>IF($K315="","",$M315-(N($N315)+N($O315)+IF($P315="",Setup!$B$17,$P315)+N($Q315))-N($U315))</f>
        <v/>
      </c>
      <c r="W315" s="86" t="n"/>
      <c r="X315" s="87" t="n"/>
      <c r="Z315" s="92">
        <f>IF($A315="","",DATE(YEAR($A315),MONTH($A315),1))</f>
        <v/>
      </c>
    </row>
    <row r="316">
      <c r="A316" s="93" t="n"/>
      <c r="B316" s="94" t="n"/>
      <c r="C316" s="94" t="n"/>
      <c r="D316" s="95" t="n"/>
      <c r="E316" s="95" t="n"/>
      <c r="F316" s="95" t="n"/>
      <c r="G316" s="95" t="n"/>
      <c r="H316" s="96" t="n"/>
      <c r="I316" s="89">
        <f>IF($G316="","",IF($F316="",IFERROR(INDEX(Setup!$C$21:$C$60,MATCH("|"&amp;UPPER(TRIM($G316)),Setup!$Q$21:$Q$60,0)),"NO RATE"),IFERROR(INDEX(Setup!$C$21:$C$60,MATCH(UPPER(TRIM($F316))&amp;"|"&amp;UPPER(TRIM($G316)),Setup!$P$21:$P$60,0)),IFERROR(INDEX(Setup!$C$21:$C$60,MATCH(UPPER(TRIM($G316))&amp;"|"&amp;UPPER(TRIM($F316)),Setup!$P$21:$P$60,0)),"NO RATE"))))</f>
        <v/>
      </c>
      <c r="J316" s="97" t="n"/>
      <c r="K316" s="89">
        <f>IF(OR($G316="",$H316="",NOT(ISNUMBER($I316))),"",ROUND($H316*$I316*(1+IF($J316="",Setup!$B$16,$J316)),2))</f>
        <v/>
      </c>
      <c r="L316" s="89">
        <f>IF($K316="","",ROUND($K316*Setup!$B$13,2))</f>
        <v/>
      </c>
      <c r="M316" s="89">
        <f>IF($K316="","",$K316-$L316)</f>
        <v/>
      </c>
      <c r="N316" s="89">
        <f>IF(OR($M316="",$D316=""),"",ROUND($M316*IFERROR(IF(VLOOKUP($D316,Setup!$A$76:$C$87,3,FALSE)="",Setup!$B$14,VLOOKUP($D316,Setup!$A$76:$C$87,3,FALSE)),Setup!$B$14),2))</f>
        <v/>
      </c>
      <c r="O316" s="89">
        <f>IF(OR($M316="",$E316=""),"",ROUND($M316*IFERROR(IF(VLOOKUP($E316,Setup!$A$76:$C$87,3,FALSE)="",Setup!$B$15,VLOOKUP($E316,Setup!$A$76:$C$87,3,FALSE)),Setup!$B$15),2))</f>
        <v/>
      </c>
      <c r="P316" s="98" t="n"/>
      <c r="Q316" s="98" t="n"/>
      <c r="R316" s="98" t="n"/>
      <c r="S316" s="98" t="n"/>
      <c r="T316" s="98" t="n"/>
      <c r="U316" s="89">
        <f>IF($K316="","",SUM($R316:$T316))</f>
        <v/>
      </c>
      <c r="V316" s="89">
        <f>IF($K316="","",$M316-(N($N316)+N($O316)+IF($P316="",Setup!$B$17,$P316)+N($Q316))-N($U316))</f>
        <v/>
      </c>
      <c r="W316" s="94" t="n"/>
      <c r="X316" s="95" t="n"/>
      <c r="Z316" s="92">
        <f>IF($A316="","",DATE(YEAR($A316),MONTH($A316),1))</f>
        <v/>
      </c>
    </row>
    <row r="317">
      <c r="A317" s="85" t="n"/>
      <c r="B317" s="86" t="n"/>
      <c r="C317" s="86" t="n"/>
      <c r="D317" s="87" t="n"/>
      <c r="E317" s="87" t="n"/>
      <c r="F317" s="87" t="n"/>
      <c r="G317" s="87" t="n"/>
      <c r="H317" s="88" t="n"/>
      <c r="I317" s="89">
        <f>IF($G317="","",IF($F317="",IFERROR(INDEX(Setup!$C$21:$C$60,MATCH("|"&amp;UPPER(TRIM($G317)),Setup!$Q$21:$Q$60,0)),"NO RATE"),IFERROR(INDEX(Setup!$C$21:$C$60,MATCH(UPPER(TRIM($F317))&amp;"|"&amp;UPPER(TRIM($G317)),Setup!$P$21:$P$60,0)),IFERROR(INDEX(Setup!$C$21:$C$60,MATCH(UPPER(TRIM($G317))&amp;"|"&amp;UPPER(TRIM($F317)),Setup!$P$21:$P$60,0)),"NO RATE"))))</f>
        <v/>
      </c>
      <c r="J317" s="90" t="n"/>
      <c r="K317" s="89">
        <f>IF(OR($G317="",$H317="",NOT(ISNUMBER($I317))),"",ROUND($H317*$I317*(1+IF($J317="",Setup!$B$16,$J317)),2))</f>
        <v/>
      </c>
      <c r="L317" s="89">
        <f>IF($K317="","",ROUND($K317*Setup!$B$13,2))</f>
        <v/>
      </c>
      <c r="M317" s="89">
        <f>IF($K317="","",$K317-$L317)</f>
        <v/>
      </c>
      <c r="N317" s="89">
        <f>IF(OR($M317="",$D317=""),"",ROUND($M317*IFERROR(IF(VLOOKUP($D317,Setup!$A$76:$C$87,3,FALSE)="",Setup!$B$14,VLOOKUP($D317,Setup!$A$76:$C$87,3,FALSE)),Setup!$B$14),2))</f>
        <v/>
      </c>
      <c r="O317" s="89">
        <f>IF(OR($M317="",$E317=""),"",ROUND($M317*IFERROR(IF(VLOOKUP($E317,Setup!$A$76:$C$87,3,FALSE)="",Setup!$B$15,VLOOKUP($E317,Setup!$A$76:$C$87,3,FALSE)),Setup!$B$15),2))</f>
        <v/>
      </c>
      <c r="P317" s="91" t="n"/>
      <c r="Q317" s="91" t="n"/>
      <c r="R317" s="91" t="n"/>
      <c r="S317" s="91" t="n"/>
      <c r="T317" s="91" t="n"/>
      <c r="U317" s="89">
        <f>IF($K317="","",SUM($R317:$T317))</f>
        <v/>
      </c>
      <c r="V317" s="89">
        <f>IF($K317="","",$M317-(N($N317)+N($O317)+IF($P317="",Setup!$B$17,$P317)+N($Q317))-N($U317))</f>
        <v/>
      </c>
      <c r="W317" s="86" t="n"/>
      <c r="X317" s="87" t="n"/>
      <c r="Z317" s="92">
        <f>IF($A317="","",DATE(YEAR($A317),MONTH($A317),1))</f>
        <v/>
      </c>
    </row>
    <row r="318">
      <c r="A318" s="93" t="n"/>
      <c r="B318" s="94" t="n"/>
      <c r="C318" s="94" t="n"/>
      <c r="D318" s="95" t="n"/>
      <c r="E318" s="95" t="n"/>
      <c r="F318" s="95" t="n"/>
      <c r="G318" s="95" t="n"/>
      <c r="H318" s="96" t="n"/>
      <c r="I318" s="89">
        <f>IF($G318="","",IF($F318="",IFERROR(INDEX(Setup!$C$21:$C$60,MATCH("|"&amp;UPPER(TRIM($G318)),Setup!$Q$21:$Q$60,0)),"NO RATE"),IFERROR(INDEX(Setup!$C$21:$C$60,MATCH(UPPER(TRIM($F318))&amp;"|"&amp;UPPER(TRIM($G318)),Setup!$P$21:$P$60,0)),IFERROR(INDEX(Setup!$C$21:$C$60,MATCH(UPPER(TRIM($G318))&amp;"|"&amp;UPPER(TRIM($F318)),Setup!$P$21:$P$60,0)),"NO RATE"))))</f>
        <v/>
      </c>
      <c r="J318" s="97" t="n"/>
      <c r="K318" s="89">
        <f>IF(OR($G318="",$H318="",NOT(ISNUMBER($I318))),"",ROUND($H318*$I318*(1+IF($J318="",Setup!$B$16,$J318)),2))</f>
        <v/>
      </c>
      <c r="L318" s="89">
        <f>IF($K318="","",ROUND($K318*Setup!$B$13,2))</f>
        <v/>
      </c>
      <c r="M318" s="89">
        <f>IF($K318="","",$K318-$L318)</f>
        <v/>
      </c>
      <c r="N318" s="89">
        <f>IF(OR($M318="",$D318=""),"",ROUND($M318*IFERROR(IF(VLOOKUP($D318,Setup!$A$76:$C$87,3,FALSE)="",Setup!$B$14,VLOOKUP($D318,Setup!$A$76:$C$87,3,FALSE)),Setup!$B$14),2))</f>
        <v/>
      </c>
      <c r="O318" s="89">
        <f>IF(OR($M318="",$E318=""),"",ROUND($M318*IFERROR(IF(VLOOKUP($E318,Setup!$A$76:$C$87,3,FALSE)="",Setup!$B$15,VLOOKUP($E318,Setup!$A$76:$C$87,3,FALSE)),Setup!$B$15),2))</f>
        <v/>
      </c>
      <c r="P318" s="98" t="n"/>
      <c r="Q318" s="98" t="n"/>
      <c r="R318" s="98" t="n"/>
      <c r="S318" s="98" t="n"/>
      <c r="T318" s="98" t="n"/>
      <c r="U318" s="89">
        <f>IF($K318="","",SUM($R318:$T318))</f>
        <v/>
      </c>
      <c r="V318" s="89">
        <f>IF($K318="","",$M318-(N($N318)+N($O318)+IF($P318="",Setup!$B$17,$P318)+N($Q318))-N($U318))</f>
        <v/>
      </c>
      <c r="W318" s="94" t="n"/>
      <c r="X318" s="95" t="n"/>
      <c r="Z318" s="92">
        <f>IF($A318="","",DATE(YEAR($A318),MONTH($A318),1))</f>
        <v/>
      </c>
    </row>
    <row r="319">
      <c r="A319" s="85" t="n"/>
      <c r="B319" s="86" t="n"/>
      <c r="C319" s="86" t="n"/>
      <c r="D319" s="87" t="n"/>
      <c r="E319" s="87" t="n"/>
      <c r="F319" s="87" t="n"/>
      <c r="G319" s="87" t="n"/>
      <c r="H319" s="88" t="n"/>
      <c r="I319" s="89">
        <f>IF($G319="","",IF($F319="",IFERROR(INDEX(Setup!$C$21:$C$60,MATCH("|"&amp;UPPER(TRIM($G319)),Setup!$Q$21:$Q$60,0)),"NO RATE"),IFERROR(INDEX(Setup!$C$21:$C$60,MATCH(UPPER(TRIM($F319))&amp;"|"&amp;UPPER(TRIM($G319)),Setup!$P$21:$P$60,0)),IFERROR(INDEX(Setup!$C$21:$C$60,MATCH(UPPER(TRIM($G319))&amp;"|"&amp;UPPER(TRIM($F319)),Setup!$P$21:$P$60,0)),"NO RATE"))))</f>
        <v/>
      </c>
      <c r="J319" s="90" t="n"/>
      <c r="K319" s="89">
        <f>IF(OR($G319="",$H319="",NOT(ISNUMBER($I319))),"",ROUND($H319*$I319*(1+IF($J319="",Setup!$B$16,$J319)),2))</f>
        <v/>
      </c>
      <c r="L319" s="89">
        <f>IF($K319="","",ROUND($K319*Setup!$B$13,2))</f>
        <v/>
      </c>
      <c r="M319" s="89">
        <f>IF($K319="","",$K319-$L319)</f>
        <v/>
      </c>
      <c r="N319" s="89">
        <f>IF(OR($M319="",$D319=""),"",ROUND($M319*IFERROR(IF(VLOOKUP($D319,Setup!$A$76:$C$87,3,FALSE)="",Setup!$B$14,VLOOKUP($D319,Setup!$A$76:$C$87,3,FALSE)),Setup!$B$14),2))</f>
        <v/>
      </c>
      <c r="O319" s="89">
        <f>IF(OR($M319="",$E319=""),"",ROUND($M319*IFERROR(IF(VLOOKUP($E319,Setup!$A$76:$C$87,3,FALSE)="",Setup!$B$15,VLOOKUP($E319,Setup!$A$76:$C$87,3,FALSE)),Setup!$B$15),2))</f>
        <v/>
      </c>
      <c r="P319" s="91" t="n"/>
      <c r="Q319" s="91" t="n"/>
      <c r="R319" s="91" t="n"/>
      <c r="S319" s="91" t="n"/>
      <c r="T319" s="91" t="n"/>
      <c r="U319" s="89">
        <f>IF($K319="","",SUM($R319:$T319))</f>
        <v/>
      </c>
      <c r="V319" s="89">
        <f>IF($K319="","",$M319-(N($N319)+N($O319)+IF($P319="",Setup!$B$17,$P319)+N($Q319))-N($U319))</f>
        <v/>
      </c>
      <c r="W319" s="86" t="n"/>
      <c r="X319" s="87" t="n"/>
      <c r="Z319" s="92">
        <f>IF($A319="","",DATE(YEAR($A319),MONTH($A319),1))</f>
        <v/>
      </c>
    </row>
    <row r="320">
      <c r="A320" s="93" t="n"/>
      <c r="B320" s="94" t="n"/>
      <c r="C320" s="94" t="n"/>
      <c r="D320" s="95" t="n"/>
      <c r="E320" s="95" t="n"/>
      <c r="F320" s="95" t="n"/>
      <c r="G320" s="95" t="n"/>
      <c r="H320" s="96" t="n"/>
      <c r="I320" s="89">
        <f>IF($G320="","",IF($F320="",IFERROR(INDEX(Setup!$C$21:$C$60,MATCH("|"&amp;UPPER(TRIM($G320)),Setup!$Q$21:$Q$60,0)),"NO RATE"),IFERROR(INDEX(Setup!$C$21:$C$60,MATCH(UPPER(TRIM($F320))&amp;"|"&amp;UPPER(TRIM($G320)),Setup!$P$21:$P$60,0)),IFERROR(INDEX(Setup!$C$21:$C$60,MATCH(UPPER(TRIM($G320))&amp;"|"&amp;UPPER(TRIM($F320)),Setup!$P$21:$P$60,0)),"NO RATE"))))</f>
        <v/>
      </c>
      <c r="J320" s="97" t="n"/>
      <c r="K320" s="89">
        <f>IF(OR($G320="",$H320="",NOT(ISNUMBER($I320))),"",ROUND($H320*$I320*(1+IF($J320="",Setup!$B$16,$J320)),2))</f>
        <v/>
      </c>
      <c r="L320" s="89">
        <f>IF($K320="","",ROUND($K320*Setup!$B$13,2))</f>
        <v/>
      </c>
      <c r="M320" s="89">
        <f>IF($K320="","",$K320-$L320)</f>
        <v/>
      </c>
      <c r="N320" s="89">
        <f>IF(OR($M320="",$D320=""),"",ROUND($M320*IFERROR(IF(VLOOKUP($D320,Setup!$A$76:$C$87,3,FALSE)="",Setup!$B$14,VLOOKUP($D320,Setup!$A$76:$C$87,3,FALSE)),Setup!$B$14),2))</f>
        <v/>
      </c>
      <c r="O320" s="89">
        <f>IF(OR($M320="",$E320=""),"",ROUND($M320*IFERROR(IF(VLOOKUP($E320,Setup!$A$76:$C$87,3,FALSE)="",Setup!$B$15,VLOOKUP($E320,Setup!$A$76:$C$87,3,FALSE)),Setup!$B$15),2))</f>
        <v/>
      </c>
      <c r="P320" s="98" t="n"/>
      <c r="Q320" s="98" t="n"/>
      <c r="R320" s="98" t="n"/>
      <c r="S320" s="98" t="n"/>
      <c r="T320" s="98" t="n"/>
      <c r="U320" s="89">
        <f>IF($K320="","",SUM($R320:$T320))</f>
        <v/>
      </c>
      <c r="V320" s="89">
        <f>IF($K320="","",$M320-(N($N320)+N($O320)+IF($P320="",Setup!$B$17,$P320)+N($Q320))-N($U320))</f>
        <v/>
      </c>
      <c r="W320" s="94" t="n"/>
      <c r="X320" s="95" t="n"/>
      <c r="Z320" s="92">
        <f>IF($A320="","",DATE(YEAR($A320),MONTH($A320),1))</f>
        <v/>
      </c>
    </row>
    <row r="321">
      <c r="A321" s="85" t="n"/>
      <c r="B321" s="86" t="n"/>
      <c r="C321" s="86" t="n"/>
      <c r="D321" s="87" t="n"/>
      <c r="E321" s="87" t="n"/>
      <c r="F321" s="87" t="n"/>
      <c r="G321" s="87" t="n"/>
      <c r="H321" s="88" t="n"/>
      <c r="I321" s="89">
        <f>IF($G321="","",IF($F321="",IFERROR(INDEX(Setup!$C$21:$C$60,MATCH("|"&amp;UPPER(TRIM($G321)),Setup!$Q$21:$Q$60,0)),"NO RATE"),IFERROR(INDEX(Setup!$C$21:$C$60,MATCH(UPPER(TRIM($F321))&amp;"|"&amp;UPPER(TRIM($G321)),Setup!$P$21:$P$60,0)),IFERROR(INDEX(Setup!$C$21:$C$60,MATCH(UPPER(TRIM($G321))&amp;"|"&amp;UPPER(TRIM($F321)),Setup!$P$21:$P$60,0)),"NO RATE"))))</f>
        <v/>
      </c>
      <c r="J321" s="90" t="n"/>
      <c r="K321" s="89">
        <f>IF(OR($G321="",$H321="",NOT(ISNUMBER($I321))),"",ROUND($H321*$I321*(1+IF($J321="",Setup!$B$16,$J321)),2))</f>
        <v/>
      </c>
      <c r="L321" s="89">
        <f>IF($K321="","",ROUND($K321*Setup!$B$13,2))</f>
        <v/>
      </c>
      <c r="M321" s="89">
        <f>IF($K321="","",$K321-$L321)</f>
        <v/>
      </c>
      <c r="N321" s="89">
        <f>IF(OR($M321="",$D321=""),"",ROUND($M321*IFERROR(IF(VLOOKUP($D321,Setup!$A$76:$C$87,3,FALSE)="",Setup!$B$14,VLOOKUP($D321,Setup!$A$76:$C$87,3,FALSE)),Setup!$B$14),2))</f>
        <v/>
      </c>
      <c r="O321" s="89">
        <f>IF(OR($M321="",$E321=""),"",ROUND($M321*IFERROR(IF(VLOOKUP($E321,Setup!$A$76:$C$87,3,FALSE)="",Setup!$B$15,VLOOKUP($E321,Setup!$A$76:$C$87,3,FALSE)),Setup!$B$15),2))</f>
        <v/>
      </c>
      <c r="P321" s="91" t="n"/>
      <c r="Q321" s="91" t="n"/>
      <c r="R321" s="91" t="n"/>
      <c r="S321" s="91" t="n"/>
      <c r="T321" s="91" t="n"/>
      <c r="U321" s="89">
        <f>IF($K321="","",SUM($R321:$T321))</f>
        <v/>
      </c>
      <c r="V321" s="89">
        <f>IF($K321="","",$M321-(N($N321)+N($O321)+IF($P321="",Setup!$B$17,$P321)+N($Q321))-N($U321))</f>
        <v/>
      </c>
      <c r="W321" s="86" t="n"/>
      <c r="X321" s="87" t="n"/>
      <c r="Z321" s="92">
        <f>IF($A321="","",DATE(YEAR($A321),MONTH($A321),1))</f>
        <v/>
      </c>
    </row>
    <row r="322">
      <c r="A322" s="93" t="n"/>
      <c r="B322" s="94" t="n"/>
      <c r="C322" s="94" t="n"/>
      <c r="D322" s="95" t="n"/>
      <c r="E322" s="95" t="n"/>
      <c r="F322" s="95" t="n"/>
      <c r="G322" s="95" t="n"/>
      <c r="H322" s="96" t="n"/>
      <c r="I322" s="89">
        <f>IF($G322="","",IF($F322="",IFERROR(INDEX(Setup!$C$21:$C$60,MATCH("|"&amp;UPPER(TRIM($G322)),Setup!$Q$21:$Q$60,0)),"NO RATE"),IFERROR(INDEX(Setup!$C$21:$C$60,MATCH(UPPER(TRIM($F322))&amp;"|"&amp;UPPER(TRIM($G322)),Setup!$P$21:$P$60,0)),IFERROR(INDEX(Setup!$C$21:$C$60,MATCH(UPPER(TRIM($G322))&amp;"|"&amp;UPPER(TRIM($F322)),Setup!$P$21:$P$60,0)),"NO RATE"))))</f>
        <v/>
      </c>
      <c r="J322" s="97" t="n"/>
      <c r="K322" s="89">
        <f>IF(OR($G322="",$H322="",NOT(ISNUMBER($I322))),"",ROUND($H322*$I322*(1+IF($J322="",Setup!$B$16,$J322)),2))</f>
        <v/>
      </c>
      <c r="L322" s="89">
        <f>IF($K322="","",ROUND($K322*Setup!$B$13,2))</f>
        <v/>
      </c>
      <c r="M322" s="89">
        <f>IF($K322="","",$K322-$L322)</f>
        <v/>
      </c>
      <c r="N322" s="89">
        <f>IF(OR($M322="",$D322=""),"",ROUND($M322*IFERROR(IF(VLOOKUP($D322,Setup!$A$76:$C$87,3,FALSE)="",Setup!$B$14,VLOOKUP($D322,Setup!$A$76:$C$87,3,FALSE)),Setup!$B$14),2))</f>
        <v/>
      </c>
      <c r="O322" s="89">
        <f>IF(OR($M322="",$E322=""),"",ROUND($M322*IFERROR(IF(VLOOKUP($E322,Setup!$A$76:$C$87,3,FALSE)="",Setup!$B$15,VLOOKUP($E322,Setup!$A$76:$C$87,3,FALSE)),Setup!$B$15),2))</f>
        <v/>
      </c>
      <c r="P322" s="98" t="n"/>
      <c r="Q322" s="98" t="n"/>
      <c r="R322" s="98" t="n"/>
      <c r="S322" s="98" t="n"/>
      <c r="T322" s="98" t="n"/>
      <c r="U322" s="89">
        <f>IF($K322="","",SUM($R322:$T322))</f>
        <v/>
      </c>
      <c r="V322" s="89">
        <f>IF($K322="","",$M322-(N($N322)+N($O322)+IF($P322="",Setup!$B$17,$P322)+N($Q322))-N($U322))</f>
        <v/>
      </c>
      <c r="W322" s="94" t="n"/>
      <c r="X322" s="95" t="n"/>
      <c r="Z322" s="92">
        <f>IF($A322="","",DATE(YEAR($A322),MONTH($A322),1))</f>
        <v/>
      </c>
    </row>
    <row r="323">
      <c r="A323" s="85" t="n"/>
      <c r="B323" s="86" t="n"/>
      <c r="C323" s="86" t="n"/>
      <c r="D323" s="87" t="n"/>
      <c r="E323" s="87" t="n"/>
      <c r="F323" s="87" t="n"/>
      <c r="G323" s="87" t="n"/>
      <c r="H323" s="88" t="n"/>
      <c r="I323" s="89">
        <f>IF($G323="","",IF($F323="",IFERROR(INDEX(Setup!$C$21:$C$60,MATCH("|"&amp;UPPER(TRIM($G323)),Setup!$Q$21:$Q$60,0)),"NO RATE"),IFERROR(INDEX(Setup!$C$21:$C$60,MATCH(UPPER(TRIM($F323))&amp;"|"&amp;UPPER(TRIM($G323)),Setup!$P$21:$P$60,0)),IFERROR(INDEX(Setup!$C$21:$C$60,MATCH(UPPER(TRIM($G323))&amp;"|"&amp;UPPER(TRIM($F323)),Setup!$P$21:$P$60,0)),"NO RATE"))))</f>
        <v/>
      </c>
      <c r="J323" s="90" t="n"/>
      <c r="K323" s="89">
        <f>IF(OR($G323="",$H323="",NOT(ISNUMBER($I323))),"",ROUND($H323*$I323*(1+IF($J323="",Setup!$B$16,$J323)),2))</f>
        <v/>
      </c>
      <c r="L323" s="89">
        <f>IF($K323="","",ROUND($K323*Setup!$B$13,2))</f>
        <v/>
      </c>
      <c r="M323" s="89">
        <f>IF($K323="","",$K323-$L323)</f>
        <v/>
      </c>
      <c r="N323" s="89">
        <f>IF(OR($M323="",$D323=""),"",ROUND($M323*IFERROR(IF(VLOOKUP($D323,Setup!$A$76:$C$87,3,FALSE)="",Setup!$B$14,VLOOKUP($D323,Setup!$A$76:$C$87,3,FALSE)),Setup!$B$14),2))</f>
        <v/>
      </c>
      <c r="O323" s="89">
        <f>IF(OR($M323="",$E323=""),"",ROUND($M323*IFERROR(IF(VLOOKUP($E323,Setup!$A$76:$C$87,3,FALSE)="",Setup!$B$15,VLOOKUP($E323,Setup!$A$76:$C$87,3,FALSE)),Setup!$B$15),2))</f>
        <v/>
      </c>
      <c r="P323" s="91" t="n"/>
      <c r="Q323" s="91" t="n"/>
      <c r="R323" s="91" t="n"/>
      <c r="S323" s="91" t="n"/>
      <c r="T323" s="91" t="n"/>
      <c r="U323" s="89">
        <f>IF($K323="","",SUM($R323:$T323))</f>
        <v/>
      </c>
      <c r="V323" s="89">
        <f>IF($K323="","",$M323-(N($N323)+N($O323)+IF($P323="",Setup!$B$17,$P323)+N($Q323))-N($U323))</f>
        <v/>
      </c>
      <c r="W323" s="86" t="n"/>
      <c r="X323" s="87" t="n"/>
      <c r="Z323" s="92">
        <f>IF($A323="","",DATE(YEAR($A323),MONTH($A323),1))</f>
        <v/>
      </c>
    </row>
    <row r="324">
      <c r="A324" s="93" t="n"/>
      <c r="B324" s="94" t="n"/>
      <c r="C324" s="94" t="n"/>
      <c r="D324" s="95" t="n"/>
      <c r="E324" s="95" t="n"/>
      <c r="F324" s="95" t="n"/>
      <c r="G324" s="95" t="n"/>
      <c r="H324" s="96" t="n"/>
      <c r="I324" s="89">
        <f>IF($G324="","",IF($F324="",IFERROR(INDEX(Setup!$C$21:$C$60,MATCH("|"&amp;UPPER(TRIM($G324)),Setup!$Q$21:$Q$60,0)),"NO RATE"),IFERROR(INDEX(Setup!$C$21:$C$60,MATCH(UPPER(TRIM($F324))&amp;"|"&amp;UPPER(TRIM($G324)),Setup!$P$21:$P$60,0)),IFERROR(INDEX(Setup!$C$21:$C$60,MATCH(UPPER(TRIM($G324))&amp;"|"&amp;UPPER(TRIM($F324)),Setup!$P$21:$P$60,0)),"NO RATE"))))</f>
        <v/>
      </c>
      <c r="J324" s="97" t="n"/>
      <c r="K324" s="89">
        <f>IF(OR($G324="",$H324="",NOT(ISNUMBER($I324))),"",ROUND($H324*$I324*(1+IF($J324="",Setup!$B$16,$J324)),2))</f>
        <v/>
      </c>
      <c r="L324" s="89">
        <f>IF($K324="","",ROUND($K324*Setup!$B$13,2))</f>
        <v/>
      </c>
      <c r="M324" s="89">
        <f>IF($K324="","",$K324-$L324)</f>
        <v/>
      </c>
      <c r="N324" s="89">
        <f>IF(OR($M324="",$D324=""),"",ROUND($M324*IFERROR(IF(VLOOKUP($D324,Setup!$A$76:$C$87,3,FALSE)="",Setup!$B$14,VLOOKUP($D324,Setup!$A$76:$C$87,3,FALSE)),Setup!$B$14),2))</f>
        <v/>
      </c>
      <c r="O324" s="89">
        <f>IF(OR($M324="",$E324=""),"",ROUND($M324*IFERROR(IF(VLOOKUP($E324,Setup!$A$76:$C$87,3,FALSE)="",Setup!$B$15,VLOOKUP($E324,Setup!$A$76:$C$87,3,FALSE)),Setup!$B$15),2))</f>
        <v/>
      </c>
      <c r="P324" s="98" t="n"/>
      <c r="Q324" s="98" t="n"/>
      <c r="R324" s="98" t="n"/>
      <c r="S324" s="98" t="n"/>
      <c r="T324" s="98" t="n"/>
      <c r="U324" s="89">
        <f>IF($K324="","",SUM($R324:$T324))</f>
        <v/>
      </c>
      <c r="V324" s="89">
        <f>IF($K324="","",$M324-(N($N324)+N($O324)+IF($P324="",Setup!$B$17,$P324)+N($Q324))-N($U324))</f>
        <v/>
      </c>
      <c r="W324" s="94" t="n"/>
      <c r="X324" s="95" t="n"/>
      <c r="Z324" s="92">
        <f>IF($A324="","",DATE(YEAR($A324),MONTH($A324),1))</f>
        <v/>
      </c>
    </row>
    <row r="325">
      <c r="A325" s="85" t="n"/>
      <c r="B325" s="86" t="n"/>
      <c r="C325" s="86" t="n"/>
      <c r="D325" s="87" t="n"/>
      <c r="E325" s="87" t="n"/>
      <c r="F325" s="87" t="n"/>
      <c r="G325" s="87" t="n"/>
      <c r="H325" s="88" t="n"/>
      <c r="I325" s="89">
        <f>IF($G325="","",IF($F325="",IFERROR(INDEX(Setup!$C$21:$C$60,MATCH("|"&amp;UPPER(TRIM($G325)),Setup!$Q$21:$Q$60,0)),"NO RATE"),IFERROR(INDEX(Setup!$C$21:$C$60,MATCH(UPPER(TRIM($F325))&amp;"|"&amp;UPPER(TRIM($G325)),Setup!$P$21:$P$60,0)),IFERROR(INDEX(Setup!$C$21:$C$60,MATCH(UPPER(TRIM($G325))&amp;"|"&amp;UPPER(TRIM($F325)),Setup!$P$21:$P$60,0)),"NO RATE"))))</f>
        <v/>
      </c>
      <c r="J325" s="90" t="n"/>
      <c r="K325" s="89">
        <f>IF(OR($G325="",$H325="",NOT(ISNUMBER($I325))),"",ROUND($H325*$I325*(1+IF($J325="",Setup!$B$16,$J325)),2))</f>
        <v/>
      </c>
      <c r="L325" s="89">
        <f>IF($K325="","",ROUND($K325*Setup!$B$13,2))</f>
        <v/>
      </c>
      <c r="M325" s="89">
        <f>IF($K325="","",$K325-$L325)</f>
        <v/>
      </c>
      <c r="N325" s="89">
        <f>IF(OR($M325="",$D325=""),"",ROUND($M325*IFERROR(IF(VLOOKUP($D325,Setup!$A$76:$C$87,3,FALSE)="",Setup!$B$14,VLOOKUP($D325,Setup!$A$76:$C$87,3,FALSE)),Setup!$B$14),2))</f>
        <v/>
      </c>
      <c r="O325" s="89">
        <f>IF(OR($M325="",$E325=""),"",ROUND($M325*IFERROR(IF(VLOOKUP($E325,Setup!$A$76:$C$87,3,FALSE)="",Setup!$B$15,VLOOKUP($E325,Setup!$A$76:$C$87,3,FALSE)),Setup!$B$15),2))</f>
        <v/>
      </c>
      <c r="P325" s="91" t="n"/>
      <c r="Q325" s="91" t="n"/>
      <c r="R325" s="91" t="n"/>
      <c r="S325" s="91" t="n"/>
      <c r="T325" s="91" t="n"/>
      <c r="U325" s="89">
        <f>IF($K325="","",SUM($R325:$T325))</f>
        <v/>
      </c>
      <c r="V325" s="89">
        <f>IF($K325="","",$M325-(N($N325)+N($O325)+IF($P325="",Setup!$B$17,$P325)+N($Q325))-N($U325))</f>
        <v/>
      </c>
      <c r="W325" s="86" t="n"/>
      <c r="X325" s="87" t="n"/>
      <c r="Z325" s="92">
        <f>IF($A325="","",DATE(YEAR($A325),MONTH($A325),1))</f>
        <v/>
      </c>
    </row>
    <row r="326">
      <c r="A326" s="93" t="n"/>
      <c r="B326" s="94" t="n"/>
      <c r="C326" s="94" t="n"/>
      <c r="D326" s="95" t="n"/>
      <c r="E326" s="95" t="n"/>
      <c r="F326" s="95" t="n"/>
      <c r="G326" s="95" t="n"/>
      <c r="H326" s="96" t="n"/>
      <c r="I326" s="89">
        <f>IF($G326="","",IF($F326="",IFERROR(INDEX(Setup!$C$21:$C$60,MATCH("|"&amp;UPPER(TRIM($G326)),Setup!$Q$21:$Q$60,0)),"NO RATE"),IFERROR(INDEX(Setup!$C$21:$C$60,MATCH(UPPER(TRIM($F326))&amp;"|"&amp;UPPER(TRIM($G326)),Setup!$P$21:$P$60,0)),IFERROR(INDEX(Setup!$C$21:$C$60,MATCH(UPPER(TRIM($G326))&amp;"|"&amp;UPPER(TRIM($F326)),Setup!$P$21:$P$60,0)),"NO RATE"))))</f>
        <v/>
      </c>
      <c r="J326" s="97" t="n"/>
      <c r="K326" s="89">
        <f>IF(OR($G326="",$H326="",NOT(ISNUMBER($I326))),"",ROUND($H326*$I326*(1+IF($J326="",Setup!$B$16,$J326)),2))</f>
        <v/>
      </c>
      <c r="L326" s="89">
        <f>IF($K326="","",ROUND($K326*Setup!$B$13,2))</f>
        <v/>
      </c>
      <c r="M326" s="89">
        <f>IF($K326="","",$K326-$L326)</f>
        <v/>
      </c>
      <c r="N326" s="89">
        <f>IF(OR($M326="",$D326=""),"",ROUND($M326*IFERROR(IF(VLOOKUP($D326,Setup!$A$76:$C$87,3,FALSE)="",Setup!$B$14,VLOOKUP($D326,Setup!$A$76:$C$87,3,FALSE)),Setup!$B$14),2))</f>
        <v/>
      </c>
      <c r="O326" s="89">
        <f>IF(OR($M326="",$E326=""),"",ROUND($M326*IFERROR(IF(VLOOKUP($E326,Setup!$A$76:$C$87,3,FALSE)="",Setup!$B$15,VLOOKUP($E326,Setup!$A$76:$C$87,3,FALSE)),Setup!$B$15),2))</f>
        <v/>
      </c>
      <c r="P326" s="98" t="n"/>
      <c r="Q326" s="98" t="n"/>
      <c r="R326" s="98" t="n"/>
      <c r="S326" s="98" t="n"/>
      <c r="T326" s="98" t="n"/>
      <c r="U326" s="89">
        <f>IF($K326="","",SUM($R326:$T326))</f>
        <v/>
      </c>
      <c r="V326" s="89">
        <f>IF($K326="","",$M326-(N($N326)+N($O326)+IF($P326="",Setup!$B$17,$P326)+N($Q326))-N($U326))</f>
        <v/>
      </c>
      <c r="W326" s="94" t="n"/>
      <c r="X326" s="95" t="n"/>
      <c r="Z326" s="92">
        <f>IF($A326="","",DATE(YEAR($A326),MONTH($A326),1))</f>
        <v/>
      </c>
    </row>
    <row r="327">
      <c r="A327" s="85" t="n"/>
      <c r="B327" s="86" t="n"/>
      <c r="C327" s="86" t="n"/>
      <c r="D327" s="87" t="n"/>
      <c r="E327" s="87" t="n"/>
      <c r="F327" s="87" t="n"/>
      <c r="G327" s="87" t="n"/>
      <c r="H327" s="88" t="n"/>
      <c r="I327" s="89">
        <f>IF($G327="","",IF($F327="",IFERROR(INDEX(Setup!$C$21:$C$60,MATCH("|"&amp;UPPER(TRIM($G327)),Setup!$Q$21:$Q$60,0)),"NO RATE"),IFERROR(INDEX(Setup!$C$21:$C$60,MATCH(UPPER(TRIM($F327))&amp;"|"&amp;UPPER(TRIM($G327)),Setup!$P$21:$P$60,0)),IFERROR(INDEX(Setup!$C$21:$C$60,MATCH(UPPER(TRIM($G327))&amp;"|"&amp;UPPER(TRIM($F327)),Setup!$P$21:$P$60,0)),"NO RATE"))))</f>
        <v/>
      </c>
      <c r="J327" s="90" t="n"/>
      <c r="K327" s="89">
        <f>IF(OR($G327="",$H327="",NOT(ISNUMBER($I327))),"",ROUND($H327*$I327*(1+IF($J327="",Setup!$B$16,$J327)),2))</f>
        <v/>
      </c>
      <c r="L327" s="89">
        <f>IF($K327="","",ROUND($K327*Setup!$B$13,2))</f>
        <v/>
      </c>
      <c r="M327" s="89">
        <f>IF($K327="","",$K327-$L327)</f>
        <v/>
      </c>
      <c r="N327" s="89">
        <f>IF(OR($M327="",$D327=""),"",ROUND($M327*IFERROR(IF(VLOOKUP($D327,Setup!$A$76:$C$87,3,FALSE)="",Setup!$B$14,VLOOKUP($D327,Setup!$A$76:$C$87,3,FALSE)),Setup!$B$14),2))</f>
        <v/>
      </c>
      <c r="O327" s="89">
        <f>IF(OR($M327="",$E327=""),"",ROUND($M327*IFERROR(IF(VLOOKUP($E327,Setup!$A$76:$C$87,3,FALSE)="",Setup!$B$15,VLOOKUP($E327,Setup!$A$76:$C$87,3,FALSE)),Setup!$B$15),2))</f>
        <v/>
      </c>
      <c r="P327" s="91" t="n"/>
      <c r="Q327" s="91" t="n"/>
      <c r="R327" s="91" t="n"/>
      <c r="S327" s="91" t="n"/>
      <c r="T327" s="91" t="n"/>
      <c r="U327" s="89">
        <f>IF($K327="","",SUM($R327:$T327))</f>
        <v/>
      </c>
      <c r="V327" s="89">
        <f>IF($K327="","",$M327-(N($N327)+N($O327)+IF($P327="",Setup!$B$17,$P327)+N($Q327))-N($U327))</f>
        <v/>
      </c>
      <c r="W327" s="86" t="n"/>
      <c r="X327" s="87" t="n"/>
      <c r="Z327" s="92">
        <f>IF($A327="","",DATE(YEAR($A327),MONTH($A327),1))</f>
        <v/>
      </c>
    </row>
    <row r="328">
      <c r="A328" s="93" t="n"/>
      <c r="B328" s="94" t="n"/>
      <c r="C328" s="94" t="n"/>
      <c r="D328" s="95" t="n"/>
      <c r="E328" s="95" t="n"/>
      <c r="F328" s="95" t="n"/>
      <c r="G328" s="95" t="n"/>
      <c r="H328" s="96" t="n"/>
      <c r="I328" s="89">
        <f>IF($G328="","",IF($F328="",IFERROR(INDEX(Setup!$C$21:$C$60,MATCH("|"&amp;UPPER(TRIM($G328)),Setup!$Q$21:$Q$60,0)),"NO RATE"),IFERROR(INDEX(Setup!$C$21:$C$60,MATCH(UPPER(TRIM($F328))&amp;"|"&amp;UPPER(TRIM($G328)),Setup!$P$21:$P$60,0)),IFERROR(INDEX(Setup!$C$21:$C$60,MATCH(UPPER(TRIM($G328))&amp;"|"&amp;UPPER(TRIM($F328)),Setup!$P$21:$P$60,0)),"NO RATE"))))</f>
        <v/>
      </c>
      <c r="J328" s="97" t="n"/>
      <c r="K328" s="89">
        <f>IF(OR($G328="",$H328="",NOT(ISNUMBER($I328))),"",ROUND($H328*$I328*(1+IF($J328="",Setup!$B$16,$J328)),2))</f>
        <v/>
      </c>
      <c r="L328" s="89">
        <f>IF($K328="","",ROUND($K328*Setup!$B$13,2))</f>
        <v/>
      </c>
      <c r="M328" s="89">
        <f>IF($K328="","",$K328-$L328)</f>
        <v/>
      </c>
      <c r="N328" s="89">
        <f>IF(OR($M328="",$D328=""),"",ROUND($M328*IFERROR(IF(VLOOKUP($D328,Setup!$A$76:$C$87,3,FALSE)="",Setup!$B$14,VLOOKUP($D328,Setup!$A$76:$C$87,3,FALSE)),Setup!$B$14),2))</f>
        <v/>
      </c>
      <c r="O328" s="89">
        <f>IF(OR($M328="",$E328=""),"",ROUND($M328*IFERROR(IF(VLOOKUP($E328,Setup!$A$76:$C$87,3,FALSE)="",Setup!$B$15,VLOOKUP($E328,Setup!$A$76:$C$87,3,FALSE)),Setup!$B$15),2))</f>
        <v/>
      </c>
      <c r="P328" s="98" t="n"/>
      <c r="Q328" s="98" t="n"/>
      <c r="R328" s="98" t="n"/>
      <c r="S328" s="98" t="n"/>
      <c r="T328" s="98" t="n"/>
      <c r="U328" s="89">
        <f>IF($K328="","",SUM($R328:$T328))</f>
        <v/>
      </c>
      <c r="V328" s="89">
        <f>IF($K328="","",$M328-(N($N328)+N($O328)+IF($P328="",Setup!$B$17,$P328)+N($Q328))-N($U328))</f>
        <v/>
      </c>
      <c r="W328" s="94" t="n"/>
      <c r="X328" s="95" t="n"/>
      <c r="Z328" s="92">
        <f>IF($A328="","",DATE(YEAR($A328),MONTH($A328),1))</f>
        <v/>
      </c>
    </row>
    <row r="329">
      <c r="A329" s="85" t="n"/>
      <c r="B329" s="86" t="n"/>
      <c r="C329" s="86" t="n"/>
      <c r="D329" s="87" t="n"/>
      <c r="E329" s="87" t="n"/>
      <c r="F329" s="87" t="n"/>
      <c r="G329" s="87" t="n"/>
      <c r="H329" s="88" t="n"/>
      <c r="I329" s="89">
        <f>IF($G329="","",IF($F329="",IFERROR(INDEX(Setup!$C$21:$C$60,MATCH("|"&amp;UPPER(TRIM($G329)),Setup!$Q$21:$Q$60,0)),"NO RATE"),IFERROR(INDEX(Setup!$C$21:$C$60,MATCH(UPPER(TRIM($F329))&amp;"|"&amp;UPPER(TRIM($G329)),Setup!$P$21:$P$60,0)),IFERROR(INDEX(Setup!$C$21:$C$60,MATCH(UPPER(TRIM($G329))&amp;"|"&amp;UPPER(TRIM($F329)),Setup!$P$21:$P$60,0)),"NO RATE"))))</f>
        <v/>
      </c>
      <c r="J329" s="90" t="n"/>
      <c r="K329" s="89">
        <f>IF(OR($G329="",$H329="",NOT(ISNUMBER($I329))),"",ROUND($H329*$I329*(1+IF($J329="",Setup!$B$16,$J329)),2))</f>
        <v/>
      </c>
      <c r="L329" s="89">
        <f>IF($K329="","",ROUND($K329*Setup!$B$13,2))</f>
        <v/>
      </c>
      <c r="M329" s="89">
        <f>IF($K329="","",$K329-$L329)</f>
        <v/>
      </c>
      <c r="N329" s="89">
        <f>IF(OR($M329="",$D329=""),"",ROUND($M329*IFERROR(IF(VLOOKUP($D329,Setup!$A$76:$C$87,3,FALSE)="",Setup!$B$14,VLOOKUP($D329,Setup!$A$76:$C$87,3,FALSE)),Setup!$B$14),2))</f>
        <v/>
      </c>
      <c r="O329" s="89">
        <f>IF(OR($M329="",$E329=""),"",ROUND($M329*IFERROR(IF(VLOOKUP($E329,Setup!$A$76:$C$87,3,FALSE)="",Setup!$B$15,VLOOKUP($E329,Setup!$A$76:$C$87,3,FALSE)),Setup!$B$15),2))</f>
        <v/>
      </c>
      <c r="P329" s="91" t="n"/>
      <c r="Q329" s="91" t="n"/>
      <c r="R329" s="91" t="n"/>
      <c r="S329" s="91" t="n"/>
      <c r="T329" s="91" t="n"/>
      <c r="U329" s="89">
        <f>IF($K329="","",SUM($R329:$T329))</f>
        <v/>
      </c>
      <c r="V329" s="89">
        <f>IF($K329="","",$M329-(N($N329)+N($O329)+IF($P329="",Setup!$B$17,$P329)+N($Q329))-N($U329))</f>
        <v/>
      </c>
      <c r="W329" s="86" t="n"/>
      <c r="X329" s="87" t="n"/>
      <c r="Z329" s="92">
        <f>IF($A329="","",DATE(YEAR($A329),MONTH($A329),1))</f>
        <v/>
      </c>
    </row>
    <row r="330">
      <c r="A330" s="93" t="n"/>
      <c r="B330" s="94" t="n"/>
      <c r="C330" s="94" t="n"/>
      <c r="D330" s="95" t="n"/>
      <c r="E330" s="95" t="n"/>
      <c r="F330" s="95" t="n"/>
      <c r="G330" s="95" t="n"/>
      <c r="H330" s="96" t="n"/>
      <c r="I330" s="89">
        <f>IF($G330="","",IF($F330="",IFERROR(INDEX(Setup!$C$21:$C$60,MATCH("|"&amp;UPPER(TRIM($G330)),Setup!$Q$21:$Q$60,0)),"NO RATE"),IFERROR(INDEX(Setup!$C$21:$C$60,MATCH(UPPER(TRIM($F330))&amp;"|"&amp;UPPER(TRIM($G330)),Setup!$P$21:$P$60,0)),IFERROR(INDEX(Setup!$C$21:$C$60,MATCH(UPPER(TRIM($G330))&amp;"|"&amp;UPPER(TRIM($F330)),Setup!$P$21:$P$60,0)),"NO RATE"))))</f>
        <v/>
      </c>
      <c r="J330" s="97" t="n"/>
      <c r="K330" s="89">
        <f>IF(OR($G330="",$H330="",NOT(ISNUMBER($I330))),"",ROUND($H330*$I330*(1+IF($J330="",Setup!$B$16,$J330)),2))</f>
        <v/>
      </c>
      <c r="L330" s="89">
        <f>IF($K330="","",ROUND($K330*Setup!$B$13,2))</f>
        <v/>
      </c>
      <c r="M330" s="89">
        <f>IF($K330="","",$K330-$L330)</f>
        <v/>
      </c>
      <c r="N330" s="89">
        <f>IF(OR($M330="",$D330=""),"",ROUND($M330*IFERROR(IF(VLOOKUP($D330,Setup!$A$76:$C$87,3,FALSE)="",Setup!$B$14,VLOOKUP($D330,Setup!$A$76:$C$87,3,FALSE)),Setup!$B$14),2))</f>
        <v/>
      </c>
      <c r="O330" s="89">
        <f>IF(OR($M330="",$E330=""),"",ROUND($M330*IFERROR(IF(VLOOKUP($E330,Setup!$A$76:$C$87,3,FALSE)="",Setup!$B$15,VLOOKUP($E330,Setup!$A$76:$C$87,3,FALSE)),Setup!$B$15),2))</f>
        <v/>
      </c>
      <c r="P330" s="98" t="n"/>
      <c r="Q330" s="98" t="n"/>
      <c r="R330" s="98" t="n"/>
      <c r="S330" s="98" t="n"/>
      <c r="T330" s="98" t="n"/>
      <c r="U330" s="89">
        <f>IF($K330="","",SUM($R330:$T330))</f>
        <v/>
      </c>
      <c r="V330" s="89">
        <f>IF($K330="","",$M330-(N($N330)+N($O330)+IF($P330="",Setup!$B$17,$P330)+N($Q330))-N($U330))</f>
        <v/>
      </c>
      <c r="W330" s="94" t="n"/>
      <c r="X330" s="95" t="n"/>
      <c r="Z330" s="92">
        <f>IF($A330="","",DATE(YEAR($A330),MONTH($A330),1))</f>
        <v/>
      </c>
    </row>
    <row r="331">
      <c r="A331" s="85" t="n"/>
      <c r="B331" s="86" t="n"/>
      <c r="C331" s="86" t="n"/>
      <c r="D331" s="87" t="n"/>
      <c r="E331" s="87" t="n"/>
      <c r="F331" s="87" t="n"/>
      <c r="G331" s="87" t="n"/>
      <c r="H331" s="88" t="n"/>
      <c r="I331" s="89">
        <f>IF($G331="","",IF($F331="",IFERROR(INDEX(Setup!$C$21:$C$60,MATCH("|"&amp;UPPER(TRIM($G331)),Setup!$Q$21:$Q$60,0)),"NO RATE"),IFERROR(INDEX(Setup!$C$21:$C$60,MATCH(UPPER(TRIM($F331))&amp;"|"&amp;UPPER(TRIM($G331)),Setup!$P$21:$P$60,0)),IFERROR(INDEX(Setup!$C$21:$C$60,MATCH(UPPER(TRIM($G331))&amp;"|"&amp;UPPER(TRIM($F331)),Setup!$P$21:$P$60,0)),"NO RATE"))))</f>
        <v/>
      </c>
      <c r="J331" s="90" t="n"/>
      <c r="K331" s="89">
        <f>IF(OR($G331="",$H331="",NOT(ISNUMBER($I331))),"",ROUND($H331*$I331*(1+IF($J331="",Setup!$B$16,$J331)),2))</f>
        <v/>
      </c>
      <c r="L331" s="89">
        <f>IF($K331="","",ROUND($K331*Setup!$B$13,2))</f>
        <v/>
      </c>
      <c r="M331" s="89">
        <f>IF($K331="","",$K331-$L331)</f>
        <v/>
      </c>
      <c r="N331" s="89">
        <f>IF(OR($M331="",$D331=""),"",ROUND($M331*IFERROR(IF(VLOOKUP($D331,Setup!$A$76:$C$87,3,FALSE)="",Setup!$B$14,VLOOKUP($D331,Setup!$A$76:$C$87,3,FALSE)),Setup!$B$14),2))</f>
        <v/>
      </c>
      <c r="O331" s="89">
        <f>IF(OR($M331="",$E331=""),"",ROUND($M331*IFERROR(IF(VLOOKUP($E331,Setup!$A$76:$C$87,3,FALSE)="",Setup!$B$15,VLOOKUP($E331,Setup!$A$76:$C$87,3,FALSE)),Setup!$B$15),2))</f>
        <v/>
      </c>
      <c r="P331" s="91" t="n"/>
      <c r="Q331" s="91" t="n"/>
      <c r="R331" s="91" t="n"/>
      <c r="S331" s="91" t="n"/>
      <c r="T331" s="91" t="n"/>
      <c r="U331" s="89">
        <f>IF($K331="","",SUM($R331:$T331))</f>
        <v/>
      </c>
      <c r="V331" s="89">
        <f>IF($K331="","",$M331-(N($N331)+N($O331)+IF($P331="",Setup!$B$17,$P331)+N($Q331))-N($U331))</f>
        <v/>
      </c>
      <c r="W331" s="86" t="n"/>
      <c r="X331" s="87" t="n"/>
      <c r="Z331" s="92">
        <f>IF($A331="","",DATE(YEAR($A331),MONTH($A331),1))</f>
        <v/>
      </c>
    </row>
    <row r="332">
      <c r="A332" s="93" t="n"/>
      <c r="B332" s="94" t="n"/>
      <c r="C332" s="94" t="n"/>
      <c r="D332" s="95" t="n"/>
      <c r="E332" s="95" t="n"/>
      <c r="F332" s="95" t="n"/>
      <c r="G332" s="95" t="n"/>
      <c r="H332" s="96" t="n"/>
      <c r="I332" s="89">
        <f>IF($G332="","",IF($F332="",IFERROR(INDEX(Setup!$C$21:$C$60,MATCH("|"&amp;UPPER(TRIM($G332)),Setup!$Q$21:$Q$60,0)),"NO RATE"),IFERROR(INDEX(Setup!$C$21:$C$60,MATCH(UPPER(TRIM($F332))&amp;"|"&amp;UPPER(TRIM($G332)),Setup!$P$21:$P$60,0)),IFERROR(INDEX(Setup!$C$21:$C$60,MATCH(UPPER(TRIM($G332))&amp;"|"&amp;UPPER(TRIM($F332)),Setup!$P$21:$P$60,0)),"NO RATE"))))</f>
        <v/>
      </c>
      <c r="J332" s="97" t="n"/>
      <c r="K332" s="89">
        <f>IF(OR($G332="",$H332="",NOT(ISNUMBER($I332))),"",ROUND($H332*$I332*(1+IF($J332="",Setup!$B$16,$J332)),2))</f>
        <v/>
      </c>
      <c r="L332" s="89">
        <f>IF($K332="","",ROUND($K332*Setup!$B$13,2))</f>
        <v/>
      </c>
      <c r="M332" s="89">
        <f>IF($K332="","",$K332-$L332)</f>
        <v/>
      </c>
      <c r="N332" s="89">
        <f>IF(OR($M332="",$D332=""),"",ROUND($M332*IFERROR(IF(VLOOKUP($D332,Setup!$A$76:$C$87,3,FALSE)="",Setup!$B$14,VLOOKUP($D332,Setup!$A$76:$C$87,3,FALSE)),Setup!$B$14),2))</f>
        <v/>
      </c>
      <c r="O332" s="89">
        <f>IF(OR($M332="",$E332=""),"",ROUND($M332*IFERROR(IF(VLOOKUP($E332,Setup!$A$76:$C$87,3,FALSE)="",Setup!$B$15,VLOOKUP($E332,Setup!$A$76:$C$87,3,FALSE)),Setup!$B$15),2))</f>
        <v/>
      </c>
      <c r="P332" s="98" t="n"/>
      <c r="Q332" s="98" t="n"/>
      <c r="R332" s="98" t="n"/>
      <c r="S332" s="98" t="n"/>
      <c r="T332" s="98" t="n"/>
      <c r="U332" s="89">
        <f>IF($K332="","",SUM($R332:$T332))</f>
        <v/>
      </c>
      <c r="V332" s="89">
        <f>IF($K332="","",$M332-(N($N332)+N($O332)+IF($P332="",Setup!$B$17,$P332)+N($Q332))-N($U332))</f>
        <v/>
      </c>
      <c r="W332" s="94" t="n"/>
      <c r="X332" s="95" t="n"/>
      <c r="Z332" s="92">
        <f>IF($A332="","",DATE(YEAR($A332),MONTH($A332),1))</f>
        <v/>
      </c>
    </row>
    <row r="333">
      <c r="A333" s="85" t="n"/>
      <c r="B333" s="86" t="n"/>
      <c r="C333" s="86" t="n"/>
      <c r="D333" s="87" t="n"/>
      <c r="E333" s="87" t="n"/>
      <c r="F333" s="87" t="n"/>
      <c r="G333" s="87" t="n"/>
      <c r="H333" s="88" t="n"/>
      <c r="I333" s="89">
        <f>IF($G333="","",IF($F333="",IFERROR(INDEX(Setup!$C$21:$C$60,MATCH("|"&amp;UPPER(TRIM($G333)),Setup!$Q$21:$Q$60,0)),"NO RATE"),IFERROR(INDEX(Setup!$C$21:$C$60,MATCH(UPPER(TRIM($F333))&amp;"|"&amp;UPPER(TRIM($G333)),Setup!$P$21:$P$60,0)),IFERROR(INDEX(Setup!$C$21:$C$60,MATCH(UPPER(TRIM($G333))&amp;"|"&amp;UPPER(TRIM($F333)),Setup!$P$21:$P$60,0)),"NO RATE"))))</f>
        <v/>
      </c>
      <c r="J333" s="90" t="n"/>
      <c r="K333" s="89">
        <f>IF(OR($G333="",$H333="",NOT(ISNUMBER($I333))),"",ROUND($H333*$I333*(1+IF($J333="",Setup!$B$16,$J333)),2))</f>
        <v/>
      </c>
      <c r="L333" s="89">
        <f>IF($K333="","",ROUND($K333*Setup!$B$13,2))</f>
        <v/>
      </c>
      <c r="M333" s="89">
        <f>IF($K333="","",$K333-$L333)</f>
        <v/>
      </c>
      <c r="N333" s="89">
        <f>IF(OR($M333="",$D333=""),"",ROUND($M333*IFERROR(IF(VLOOKUP($D333,Setup!$A$76:$C$87,3,FALSE)="",Setup!$B$14,VLOOKUP($D333,Setup!$A$76:$C$87,3,FALSE)),Setup!$B$14),2))</f>
        <v/>
      </c>
      <c r="O333" s="89">
        <f>IF(OR($M333="",$E333=""),"",ROUND($M333*IFERROR(IF(VLOOKUP($E333,Setup!$A$76:$C$87,3,FALSE)="",Setup!$B$15,VLOOKUP($E333,Setup!$A$76:$C$87,3,FALSE)),Setup!$B$15),2))</f>
        <v/>
      </c>
      <c r="P333" s="91" t="n"/>
      <c r="Q333" s="91" t="n"/>
      <c r="R333" s="91" t="n"/>
      <c r="S333" s="91" t="n"/>
      <c r="T333" s="91" t="n"/>
      <c r="U333" s="89">
        <f>IF($K333="","",SUM($R333:$T333))</f>
        <v/>
      </c>
      <c r="V333" s="89">
        <f>IF($K333="","",$M333-(N($N333)+N($O333)+IF($P333="",Setup!$B$17,$P333)+N($Q333))-N($U333))</f>
        <v/>
      </c>
      <c r="W333" s="86" t="n"/>
      <c r="X333" s="87" t="n"/>
      <c r="Z333" s="92">
        <f>IF($A333="","",DATE(YEAR($A333),MONTH($A333),1))</f>
        <v/>
      </c>
    </row>
    <row r="334">
      <c r="A334" s="93" t="n"/>
      <c r="B334" s="94" t="n"/>
      <c r="C334" s="94" t="n"/>
      <c r="D334" s="95" t="n"/>
      <c r="E334" s="95" t="n"/>
      <c r="F334" s="95" t="n"/>
      <c r="G334" s="95" t="n"/>
      <c r="H334" s="96" t="n"/>
      <c r="I334" s="89">
        <f>IF($G334="","",IF($F334="",IFERROR(INDEX(Setup!$C$21:$C$60,MATCH("|"&amp;UPPER(TRIM($G334)),Setup!$Q$21:$Q$60,0)),"NO RATE"),IFERROR(INDEX(Setup!$C$21:$C$60,MATCH(UPPER(TRIM($F334))&amp;"|"&amp;UPPER(TRIM($G334)),Setup!$P$21:$P$60,0)),IFERROR(INDEX(Setup!$C$21:$C$60,MATCH(UPPER(TRIM($G334))&amp;"|"&amp;UPPER(TRIM($F334)),Setup!$P$21:$P$60,0)),"NO RATE"))))</f>
        <v/>
      </c>
      <c r="J334" s="97" t="n"/>
      <c r="K334" s="89">
        <f>IF(OR($G334="",$H334="",NOT(ISNUMBER($I334))),"",ROUND($H334*$I334*(1+IF($J334="",Setup!$B$16,$J334)),2))</f>
        <v/>
      </c>
      <c r="L334" s="89">
        <f>IF($K334="","",ROUND($K334*Setup!$B$13,2))</f>
        <v/>
      </c>
      <c r="M334" s="89">
        <f>IF($K334="","",$K334-$L334)</f>
        <v/>
      </c>
      <c r="N334" s="89">
        <f>IF(OR($M334="",$D334=""),"",ROUND($M334*IFERROR(IF(VLOOKUP($D334,Setup!$A$76:$C$87,3,FALSE)="",Setup!$B$14,VLOOKUP($D334,Setup!$A$76:$C$87,3,FALSE)),Setup!$B$14),2))</f>
        <v/>
      </c>
      <c r="O334" s="89">
        <f>IF(OR($M334="",$E334=""),"",ROUND($M334*IFERROR(IF(VLOOKUP($E334,Setup!$A$76:$C$87,3,FALSE)="",Setup!$B$15,VLOOKUP($E334,Setup!$A$76:$C$87,3,FALSE)),Setup!$B$15),2))</f>
        <v/>
      </c>
      <c r="P334" s="98" t="n"/>
      <c r="Q334" s="98" t="n"/>
      <c r="R334" s="98" t="n"/>
      <c r="S334" s="98" t="n"/>
      <c r="T334" s="98" t="n"/>
      <c r="U334" s="89">
        <f>IF($K334="","",SUM($R334:$T334))</f>
        <v/>
      </c>
      <c r="V334" s="89">
        <f>IF($K334="","",$M334-(N($N334)+N($O334)+IF($P334="",Setup!$B$17,$P334)+N($Q334))-N($U334))</f>
        <v/>
      </c>
      <c r="W334" s="94" t="n"/>
      <c r="X334" s="95" t="n"/>
      <c r="Z334" s="92">
        <f>IF($A334="","",DATE(YEAR($A334),MONTH($A334),1))</f>
        <v/>
      </c>
    </row>
    <row r="335">
      <c r="A335" s="85" t="n"/>
      <c r="B335" s="86" t="n"/>
      <c r="C335" s="86" t="n"/>
      <c r="D335" s="87" t="n"/>
      <c r="E335" s="87" t="n"/>
      <c r="F335" s="87" t="n"/>
      <c r="G335" s="87" t="n"/>
      <c r="H335" s="88" t="n"/>
      <c r="I335" s="89">
        <f>IF($G335="","",IF($F335="",IFERROR(INDEX(Setup!$C$21:$C$60,MATCH("|"&amp;UPPER(TRIM($G335)),Setup!$Q$21:$Q$60,0)),"NO RATE"),IFERROR(INDEX(Setup!$C$21:$C$60,MATCH(UPPER(TRIM($F335))&amp;"|"&amp;UPPER(TRIM($G335)),Setup!$P$21:$P$60,0)),IFERROR(INDEX(Setup!$C$21:$C$60,MATCH(UPPER(TRIM($G335))&amp;"|"&amp;UPPER(TRIM($F335)),Setup!$P$21:$P$60,0)),"NO RATE"))))</f>
        <v/>
      </c>
      <c r="J335" s="90" t="n"/>
      <c r="K335" s="89">
        <f>IF(OR($G335="",$H335="",NOT(ISNUMBER($I335))),"",ROUND($H335*$I335*(1+IF($J335="",Setup!$B$16,$J335)),2))</f>
        <v/>
      </c>
      <c r="L335" s="89">
        <f>IF($K335="","",ROUND($K335*Setup!$B$13,2))</f>
        <v/>
      </c>
      <c r="M335" s="89">
        <f>IF($K335="","",$K335-$L335)</f>
        <v/>
      </c>
      <c r="N335" s="89">
        <f>IF(OR($M335="",$D335=""),"",ROUND($M335*IFERROR(IF(VLOOKUP($D335,Setup!$A$76:$C$87,3,FALSE)="",Setup!$B$14,VLOOKUP($D335,Setup!$A$76:$C$87,3,FALSE)),Setup!$B$14),2))</f>
        <v/>
      </c>
      <c r="O335" s="89">
        <f>IF(OR($M335="",$E335=""),"",ROUND($M335*IFERROR(IF(VLOOKUP($E335,Setup!$A$76:$C$87,3,FALSE)="",Setup!$B$15,VLOOKUP($E335,Setup!$A$76:$C$87,3,FALSE)),Setup!$B$15),2))</f>
        <v/>
      </c>
      <c r="P335" s="91" t="n"/>
      <c r="Q335" s="91" t="n"/>
      <c r="R335" s="91" t="n"/>
      <c r="S335" s="91" t="n"/>
      <c r="T335" s="91" t="n"/>
      <c r="U335" s="89">
        <f>IF($K335="","",SUM($R335:$T335))</f>
        <v/>
      </c>
      <c r="V335" s="89">
        <f>IF($K335="","",$M335-(N($N335)+N($O335)+IF($P335="",Setup!$B$17,$P335)+N($Q335))-N($U335))</f>
        <v/>
      </c>
      <c r="W335" s="86" t="n"/>
      <c r="X335" s="87" t="n"/>
      <c r="Z335" s="92">
        <f>IF($A335="","",DATE(YEAR($A335),MONTH($A335),1))</f>
        <v/>
      </c>
    </row>
    <row r="336">
      <c r="A336" s="93" t="n"/>
      <c r="B336" s="94" t="n"/>
      <c r="C336" s="94" t="n"/>
      <c r="D336" s="95" t="n"/>
      <c r="E336" s="95" t="n"/>
      <c r="F336" s="95" t="n"/>
      <c r="G336" s="95" t="n"/>
      <c r="H336" s="96" t="n"/>
      <c r="I336" s="89">
        <f>IF($G336="","",IF($F336="",IFERROR(INDEX(Setup!$C$21:$C$60,MATCH("|"&amp;UPPER(TRIM($G336)),Setup!$Q$21:$Q$60,0)),"NO RATE"),IFERROR(INDEX(Setup!$C$21:$C$60,MATCH(UPPER(TRIM($F336))&amp;"|"&amp;UPPER(TRIM($G336)),Setup!$P$21:$P$60,0)),IFERROR(INDEX(Setup!$C$21:$C$60,MATCH(UPPER(TRIM($G336))&amp;"|"&amp;UPPER(TRIM($F336)),Setup!$P$21:$P$60,0)),"NO RATE"))))</f>
        <v/>
      </c>
      <c r="J336" s="97" t="n"/>
      <c r="K336" s="89">
        <f>IF(OR($G336="",$H336="",NOT(ISNUMBER($I336))),"",ROUND($H336*$I336*(1+IF($J336="",Setup!$B$16,$J336)),2))</f>
        <v/>
      </c>
      <c r="L336" s="89">
        <f>IF($K336="","",ROUND($K336*Setup!$B$13,2))</f>
        <v/>
      </c>
      <c r="M336" s="89">
        <f>IF($K336="","",$K336-$L336)</f>
        <v/>
      </c>
      <c r="N336" s="89">
        <f>IF(OR($M336="",$D336=""),"",ROUND($M336*IFERROR(IF(VLOOKUP($D336,Setup!$A$76:$C$87,3,FALSE)="",Setup!$B$14,VLOOKUP($D336,Setup!$A$76:$C$87,3,FALSE)),Setup!$B$14),2))</f>
        <v/>
      </c>
      <c r="O336" s="89">
        <f>IF(OR($M336="",$E336=""),"",ROUND($M336*IFERROR(IF(VLOOKUP($E336,Setup!$A$76:$C$87,3,FALSE)="",Setup!$B$15,VLOOKUP($E336,Setup!$A$76:$C$87,3,FALSE)),Setup!$B$15),2))</f>
        <v/>
      </c>
      <c r="P336" s="98" t="n"/>
      <c r="Q336" s="98" t="n"/>
      <c r="R336" s="98" t="n"/>
      <c r="S336" s="98" t="n"/>
      <c r="T336" s="98" t="n"/>
      <c r="U336" s="89">
        <f>IF($K336="","",SUM($R336:$T336))</f>
        <v/>
      </c>
      <c r="V336" s="89">
        <f>IF($K336="","",$M336-(N($N336)+N($O336)+IF($P336="",Setup!$B$17,$P336)+N($Q336))-N($U336))</f>
        <v/>
      </c>
      <c r="W336" s="94" t="n"/>
      <c r="X336" s="95" t="n"/>
      <c r="Z336" s="92">
        <f>IF($A336="","",DATE(YEAR($A336),MONTH($A336),1))</f>
        <v/>
      </c>
    </row>
    <row r="337">
      <c r="A337" s="85" t="n"/>
      <c r="B337" s="86" t="n"/>
      <c r="C337" s="86" t="n"/>
      <c r="D337" s="87" t="n"/>
      <c r="E337" s="87" t="n"/>
      <c r="F337" s="87" t="n"/>
      <c r="G337" s="87" t="n"/>
      <c r="H337" s="88" t="n"/>
      <c r="I337" s="89">
        <f>IF($G337="","",IF($F337="",IFERROR(INDEX(Setup!$C$21:$C$60,MATCH("|"&amp;UPPER(TRIM($G337)),Setup!$Q$21:$Q$60,0)),"NO RATE"),IFERROR(INDEX(Setup!$C$21:$C$60,MATCH(UPPER(TRIM($F337))&amp;"|"&amp;UPPER(TRIM($G337)),Setup!$P$21:$P$60,0)),IFERROR(INDEX(Setup!$C$21:$C$60,MATCH(UPPER(TRIM($G337))&amp;"|"&amp;UPPER(TRIM($F337)),Setup!$P$21:$P$60,0)),"NO RATE"))))</f>
        <v/>
      </c>
      <c r="J337" s="90" t="n"/>
      <c r="K337" s="89">
        <f>IF(OR($G337="",$H337="",NOT(ISNUMBER($I337))),"",ROUND($H337*$I337*(1+IF($J337="",Setup!$B$16,$J337)),2))</f>
        <v/>
      </c>
      <c r="L337" s="89">
        <f>IF($K337="","",ROUND($K337*Setup!$B$13,2))</f>
        <v/>
      </c>
      <c r="M337" s="89">
        <f>IF($K337="","",$K337-$L337)</f>
        <v/>
      </c>
      <c r="N337" s="89">
        <f>IF(OR($M337="",$D337=""),"",ROUND($M337*IFERROR(IF(VLOOKUP($D337,Setup!$A$76:$C$87,3,FALSE)="",Setup!$B$14,VLOOKUP($D337,Setup!$A$76:$C$87,3,FALSE)),Setup!$B$14),2))</f>
        <v/>
      </c>
      <c r="O337" s="89">
        <f>IF(OR($M337="",$E337=""),"",ROUND($M337*IFERROR(IF(VLOOKUP($E337,Setup!$A$76:$C$87,3,FALSE)="",Setup!$B$15,VLOOKUP($E337,Setup!$A$76:$C$87,3,FALSE)),Setup!$B$15),2))</f>
        <v/>
      </c>
      <c r="P337" s="91" t="n"/>
      <c r="Q337" s="91" t="n"/>
      <c r="R337" s="91" t="n"/>
      <c r="S337" s="91" t="n"/>
      <c r="T337" s="91" t="n"/>
      <c r="U337" s="89">
        <f>IF($K337="","",SUM($R337:$T337))</f>
        <v/>
      </c>
      <c r="V337" s="89">
        <f>IF($K337="","",$M337-(N($N337)+N($O337)+IF($P337="",Setup!$B$17,$P337)+N($Q337))-N($U337))</f>
        <v/>
      </c>
      <c r="W337" s="86" t="n"/>
      <c r="X337" s="87" t="n"/>
      <c r="Z337" s="92">
        <f>IF($A337="","",DATE(YEAR($A337),MONTH($A337),1))</f>
        <v/>
      </c>
    </row>
    <row r="338">
      <c r="A338" s="93" t="n"/>
      <c r="B338" s="94" t="n"/>
      <c r="C338" s="94" t="n"/>
      <c r="D338" s="95" t="n"/>
      <c r="E338" s="95" t="n"/>
      <c r="F338" s="95" t="n"/>
      <c r="G338" s="95" t="n"/>
      <c r="H338" s="96" t="n"/>
      <c r="I338" s="89">
        <f>IF($G338="","",IF($F338="",IFERROR(INDEX(Setup!$C$21:$C$60,MATCH("|"&amp;UPPER(TRIM($G338)),Setup!$Q$21:$Q$60,0)),"NO RATE"),IFERROR(INDEX(Setup!$C$21:$C$60,MATCH(UPPER(TRIM($F338))&amp;"|"&amp;UPPER(TRIM($G338)),Setup!$P$21:$P$60,0)),IFERROR(INDEX(Setup!$C$21:$C$60,MATCH(UPPER(TRIM($G338))&amp;"|"&amp;UPPER(TRIM($F338)),Setup!$P$21:$P$60,0)),"NO RATE"))))</f>
        <v/>
      </c>
      <c r="J338" s="97" t="n"/>
      <c r="K338" s="89">
        <f>IF(OR($G338="",$H338="",NOT(ISNUMBER($I338))),"",ROUND($H338*$I338*(1+IF($J338="",Setup!$B$16,$J338)),2))</f>
        <v/>
      </c>
      <c r="L338" s="89">
        <f>IF($K338="","",ROUND($K338*Setup!$B$13,2))</f>
        <v/>
      </c>
      <c r="M338" s="89">
        <f>IF($K338="","",$K338-$L338)</f>
        <v/>
      </c>
      <c r="N338" s="89">
        <f>IF(OR($M338="",$D338=""),"",ROUND($M338*IFERROR(IF(VLOOKUP($D338,Setup!$A$76:$C$87,3,FALSE)="",Setup!$B$14,VLOOKUP($D338,Setup!$A$76:$C$87,3,FALSE)),Setup!$B$14),2))</f>
        <v/>
      </c>
      <c r="O338" s="89">
        <f>IF(OR($M338="",$E338=""),"",ROUND($M338*IFERROR(IF(VLOOKUP($E338,Setup!$A$76:$C$87,3,FALSE)="",Setup!$B$15,VLOOKUP($E338,Setup!$A$76:$C$87,3,FALSE)),Setup!$B$15),2))</f>
        <v/>
      </c>
      <c r="P338" s="98" t="n"/>
      <c r="Q338" s="98" t="n"/>
      <c r="R338" s="98" t="n"/>
      <c r="S338" s="98" t="n"/>
      <c r="T338" s="98" t="n"/>
      <c r="U338" s="89">
        <f>IF($K338="","",SUM($R338:$T338))</f>
        <v/>
      </c>
      <c r="V338" s="89">
        <f>IF($K338="","",$M338-(N($N338)+N($O338)+IF($P338="",Setup!$B$17,$P338)+N($Q338))-N($U338))</f>
        <v/>
      </c>
      <c r="W338" s="94" t="n"/>
      <c r="X338" s="95" t="n"/>
      <c r="Z338" s="92">
        <f>IF($A338="","",DATE(YEAR($A338),MONTH($A338),1))</f>
        <v/>
      </c>
    </row>
    <row r="339">
      <c r="A339" s="85" t="n"/>
      <c r="B339" s="86" t="n"/>
      <c r="C339" s="86" t="n"/>
      <c r="D339" s="87" t="n"/>
      <c r="E339" s="87" t="n"/>
      <c r="F339" s="87" t="n"/>
      <c r="G339" s="87" t="n"/>
      <c r="H339" s="88" t="n"/>
      <c r="I339" s="89">
        <f>IF($G339="","",IF($F339="",IFERROR(INDEX(Setup!$C$21:$C$60,MATCH("|"&amp;UPPER(TRIM($G339)),Setup!$Q$21:$Q$60,0)),"NO RATE"),IFERROR(INDEX(Setup!$C$21:$C$60,MATCH(UPPER(TRIM($F339))&amp;"|"&amp;UPPER(TRIM($G339)),Setup!$P$21:$P$60,0)),IFERROR(INDEX(Setup!$C$21:$C$60,MATCH(UPPER(TRIM($G339))&amp;"|"&amp;UPPER(TRIM($F339)),Setup!$P$21:$P$60,0)),"NO RATE"))))</f>
        <v/>
      </c>
      <c r="J339" s="90" t="n"/>
      <c r="K339" s="89">
        <f>IF(OR($G339="",$H339="",NOT(ISNUMBER($I339))),"",ROUND($H339*$I339*(1+IF($J339="",Setup!$B$16,$J339)),2))</f>
        <v/>
      </c>
      <c r="L339" s="89">
        <f>IF($K339="","",ROUND($K339*Setup!$B$13,2))</f>
        <v/>
      </c>
      <c r="M339" s="89">
        <f>IF($K339="","",$K339-$L339)</f>
        <v/>
      </c>
      <c r="N339" s="89">
        <f>IF(OR($M339="",$D339=""),"",ROUND($M339*IFERROR(IF(VLOOKUP($D339,Setup!$A$76:$C$87,3,FALSE)="",Setup!$B$14,VLOOKUP($D339,Setup!$A$76:$C$87,3,FALSE)),Setup!$B$14),2))</f>
        <v/>
      </c>
      <c r="O339" s="89">
        <f>IF(OR($M339="",$E339=""),"",ROUND($M339*IFERROR(IF(VLOOKUP($E339,Setup!$A$76:$C$87,3,FALSE)="",Setup!$B$15,VLOOKUP($E339,Setup!$A$76:$C$87,3,FALSE)),Setup!$B$15),2))</f>
        <v/>
      </c>
      <c r="P339" s="91" t="n"/>
      <c r="Q339" s="91" t="n"/>
      <c r="R339" s="91" t="n"/>
      <c r="S339" s="91" t="n"/>
      <c r="T339" s="91" t="n"/>
      <c r="U339" s="89">
        <f>IF($K339="","",SUM($R339:$T339))</f>
        <v/>
      </c>
      <c r="V339" s="89">
        <f>IF($K339="","",$M339-(N($N339)+N($O339)+IF($P339="",Setup!$B$17,$P339)+N($Q339))-N($U339))</f>
        <v/>
      </c>
      <c r="W339" s="86" t="n"/>
      <c r="X339" s="87" t="n"/>
      <c r="Z339" s="92">
        <f>IF($A339="","",DATE(YEAR($A339),MONTH($A339),1))</f>
        <v/>
      </c>
    </row>
    <row r="340">
      <c r="A340" s="93" t="n"/>
      <c r="B340" s="94" t="n"/>
      <c r="C340" s="94" t="n"/>
      <c r="D340" s="95" t="n"/>
      <c r="E340" s="95" t="n"/>
      <c r="F340" s="95" t="n"/>
      <c r="G340" s="95" t="n"/>
      <c r="H340" s="96" t="n"/>
      <c r="I340" s="89">
        <f>IF($G340="","",IF($F340="",IFERROR(INDEX(Setup!$C$21:$C$60,MATCH("|"&amp;UPPER(TRIM($G340)),Setup!$Q$21:$Q$60,0)),"NO RATE"),IFERROR(INDEX(Setup!$C$21:$C$60,MATCH(UPPER(TRIM($F340))&amp;"|"&amp;UPPER(TRIM($G340)),Setup!$P$21:$P$60,0)),IFERROR(INDEX(Setup!$C$21:$C$60,MATCH(UPPER(TRIM($G340))&amp;"|"&amp;UPPER(TRIM($F340)),Setup!$P$21:$P$60,0)),"NO RATE"))))</f>
        <v/>
      </c>
      <c r="J340" s="97" t="n"/>
      <c r="K340" s="89">
        <f>IF(OR($G340="",$H340="",NOT(ISNUMBER($I340))),"",ROUND($H340*$I340*(1+IF($J340="",Setup!$B$16,$J340)),2))</f>
        <v/>
      </c>
      <c r="L340" s="89">
        <f>IF($K340="","",ROUND($K340*Setup!$B$13,2))</f>
        <v/>
      </c>
      <c r="M340" s="89">
        <f>IF($K340="","",$K340-$L340)</f>
        <v/>
      </c>
      <c r="N340" s="89">
        <f>IF(OR($M340="",$D340=""),"",ROUND($M340*IFERROR(IF(VLOOKUP($D340,Setup!$A$76:$C$87,3,FALSE)="",Setup!$B$14,VLOOKUP($D340,Setup!$A$76:$C$87,3,FALSE)),Setup!$B$14),2))</f>
        <v/>
      </c>
      <c r="O340" s="89">
        <f>IF(OR($M340="",$E340=""),"",ROUND($M340*IFERROR(IF(VLOOKUP($E340,Setup!$A$76:$C$87,3,FALSE)="",Setup!$B$15,VLOOKUP($E340,Setup!$A$76:$C$87,3,FALSE)),Setup!$B$15),2))</f>
        <v/>
      </c>
      <c r="P340" s="98" t="n"/>
      <c r="Q340" s="98" t="n"/>
      <c r="R340" s="98" t="n"/>
      <c r="S340" s="98" t="n"/>
      <c r="T340" s="98" t="n"/>
      <c r="U340" s="89">
        <f>IF($K340="","",SUM($R340:$T340))</f>
        <v/>
      </c>
      <c r="V340" s="89">
        <f>IF($K340="","",$M340-(N($N340)+N($O340)+IF($P340="",Setup!$B$17,$P340)+N($Q340))-N($U340))</f>
        <v/>
      </c>
      <c r="W340" s="94" t="n"/>
      <c r="X340" s="95" t="n"/>
      <c r="Z340" s="92">
        <f>IF($A340="","",DATE(YEAR($A340),MONTH($A340),1))</f>
        <v/>
      </c>
    </row>
    <row r="341">
      <c r="A341" s="85" t="n"/>
      <c r="B341" s="86" t="n"/>
      <c r="C341" s="86" t="n"/>
      <c r="D341" s="87" t="n"/>
      <c r="E341" s="87" t="n"/>
      <c r="F341" s="87" t="n"/>
      <c r="G341" s="87" t="n"/>
      <c r="H341" s="88" t="n"/>
      <c r="I341" s="89">
        <f>IF($G341="","",IF($F341="",IFERROR(INDEX(Setup!$C$21:$C$60,MATCH("|"&amp;UPPER(TRIM($G341)),Setup!$Q$21:$Q$60,0)),"NO RATE"),IFERROR(INDEX(Setup!$C$21:$C$60,MATCH(UPPER(TRIM($F341))&amp;"|"&amp;UPPER(TRIM($G341)),Setup!$P$21:$P$60,0)),IFERROR(INDEX(Setup!$C$21:$C$60,MATCH(UPPER(TRIM($G341))&amp;"|"&amp;UPPER(TRIM($F341)),Setup!$P$21:$P$60,0)),"NO RATE"))))</f>
        <v/>
      </c>
      <c r="J341" s="90" t="n"/>
      <c r="K341" s="89">
        <f>IF(OR($G341="",$H341="",NOT(ISNUMBER($I341))),"",ROUND($H341*$I341*(1+IF($J341="",Setup!$B$16,$J341)),2))</f>
        <v/>
      </c>
      <c r="L341" s="89">
        <f>IF($K341="","",ROUND($K341*Setup!$B$13,2))</f>
        <v/>
      </c>
      <c r="M341" s="89">
        <f>IF($K341="","",$K341-$L341)</f>
        <v/>
      </c>
      <c r="N341" s="89">
        <f>IF(OR($M341="",$D341=""),"",ROUND($M341*IFERROR(IF(VLOOKUP($D341,Setup!$A$76:$C$87,3,FALSE)="",Setup!$B$14,VLOOKUP($D341,Setup!$A$76:$C$87,3,FALSE)),Setup!$B$14),2))</f>
        <v/>
      </c>
      <c r="O341" s="89">
        <f>IF(OR($M341="",$E341=""),"",ROUND($M341*IFERROR(IF(VLOOKUP($E341,Setup!$A$76:$C$87,3,FALSE)="",Setup!$B$15,VLOOKUP($E341,Setup!$A$76:$C$87,3,FALSE)),Setup!$B$15),2))</f>
        <v/>
      </c>
      <c r="P341" s="91" t="n"/>
      <c r="Q341" s="91" t="n"/>
      <c r="R341" s="91" t="n"/>
      <c r="S341" s="91" t="n"/>
      <c r="T341" s="91" t="n"/>
      <c r="U341" s="89">
        <f>IF($K341="","",SUM($R341:$T341))</f>
        <v/>
      </c>
      <c r="V341" s="89">
        <f>IF($K341="","",$M341-(N($N341)+N($O341)+IF($P341="",Setup!$B$17,$P341)+N($Q341))-N($U341))</f>
        <v/>
      </c>
      <c r="W341" s="86" t="n"/>
      <c r="X341" s="87" t="n"/>
      <c r="Z341" s="92">
        <f>IF($A341="","",DATE(YEAR($A341),MONTH($A341),1))</f>
        <v/>
      </c>
    </row>
    <row r="342">
      <c r="A342" s="93" t="n"/>
      <c r="B342" s="94" t="n"/>
      <c r="C342" s="94" t="n"/>
      <c r="D342" s="95" t="n"/>
      <c r="E342" s="95" t="n"/>
      <c r="F342" s="95" t="n"/>
      <c r="G342" s="95" t="n"/>
      <c r="H342" s="96" t="n"/>
      <c r="I342" s="89">
        <f>IF($G342="","",IF($F342="",IFERROR(INDEX(Setup!$C$21:$C$60,MATCH("|"&amp;UPPER(TRIM($G342)),Setup!$Q$21:$Q$60,0)),"NO RATE"),IFERROR(INDEX(Setup!$C$21:$C$60,MATCH(UPPER(TRIM($F342))&amp;"|"&amp;UPPER(TRIM($G342)),Setup!$P$21:$P$60,0)),IFERROR(INDEX(Setup!$C$21:$C$60,MATCH(UPPER(TRIM($G342))&amp;"|"&amp;UPPER(TRIM($F342)),Setup!$P$21:$P$60,0)),"NO RATE"))))</f>
        <v/>
      </c>
      <c r="J342" s="97" t="n"/>
      <c r="K342" s="89">
        <f>IF(OR($G342="",$H342="",NOT(ISNUMBER($I342))),"",ROUND($H342*$I342*(1+IF($J342="",Setup!$B$16,$J342)),2))</f>
        <v/>
      </c>
      <c r="L342" s="89">
        <f>IF($K342="","",ROUND($K342*Setup!$B$13,2))</f>
        <v/>
      </c>
      <c r="M342" s="89">
        <f>IF($K342="","",$K342-$L342)</f>
        <v/>
      </c>
      <c r="N342" s="89">
        <f>IF(OR($M342="",$D342=""),"",ROUND($M342*IFERROR(IF(VLOOKUP($D342,Setup!$A$76:$C$87,3,FALSE)="",Setup!$B$14,VLOOKUP($D342,Setup!$A$76:$C$87,3,FALSE)),Setup!$B$14),2))</f>
        <v/>
      </c>
      <c r="O342" s="89">
        <f>IF(OR($M342="",$E342=""),"",ROUND($M342*IFERROR(IF(VLOOKUP($E342,Setup!$A$76:$C$87,3,FALSE)="",Setup!$B$15,VLOOKUP($E342,Setup!$A$76:$C$87,3,FALSE)),Setup!$B$15),2))</f>
        <v/>
      </c>
      <c r="P342" s="98" t="n"/>
      <c r="Q342" s="98" t="n"/>
      <c r="R342" s="98" t="n"/>
      <c r="S342" s="98" t="n"/>
      <c r="T342" s="98" t="n"/>
      <c r="U342" s="89">
        <f>IF($K342="","",SUM($R342:$T342))</f>
        <v/>
      </c>
      <c r="V342" s="89">
        <f>IF($K342="","",$M342-(N($N342)+N($O342)+IF($P342="",Setup!$B$17,$P342)+N($Q342))-N($U342))</f>
        <v/>
      </c>
      <c r="W342" s="94" t="n"/>
      <c r="X342" s="95" t="n"/>
      <c r="Z342" s="92">
        <f>IF($A342="","",DATE(YEAR($A342),MONTH($A342),1))</f>
        <v/>
      </c>
    </row>
    <row r="343">
      <c r="A343" s="85" t="n"/>
      <c r="B343" s="86" t="n"/>
      <c r="C343" s="86" t="n"/>
      <c r="D343" s="87" t="n"/>
      <c r="E343" s="87" t="n"/>
      <c r="F343" s="87" t="n"/>
      <c r="G343" s="87" t="n"/>
      <c r="H343" s="88" t="n"/>
      <c r="I343" s="89">
        <f>IF($G343="","",IF($F343="",IFERROR(INDEX(Setup!$C$21:$C$60,MATCH("|"&amp;UPPER(TRIM($G343)),Setup!$Q$21:$Q$60,0)),"NO RATE"),IFERROR(INDEX(Setup!$C$21:$C$60,MATCH(UPPER(TRIM($F343))&amp;"|"&amp;UPPER(TRIM($G343)),Setup!$P$21:$P$60,0)),IFERROR(INDEX(Setup!$C$21:$C$60,MATCH(UPPER(TRIM($G343))&amp;"|"&amp;UPPER(TRIM($F343)),Setup!$P$21:$P$60,0)),"NO RATE"))))</f>
        <v/>
      </c>
      <c r="J343" s="90" t="n"/>
      <c r="K343" s="89">
        <f>IF(OR($G343="",$H343="",NOT(ISNUMBER($I343))),"",ROUND($H343*$I343*(1+IF($J343="",Setup!$B$16,$J343)),2))</f>
        <v/>
      </c>
      <c r="L343" s="89">
        <f>IF($K343="","",ROUND($K343*Setup!$B$13,2))</f>
        <v/>
      </c>
      <c r="M343" s="89">
        <f>IF($K343="","",$K343-$L343)</f>
        <v/>
      </c>
      <c r="N343" s="89">
        <f>IF(OR($M343="",$D343=""),"",ROUND($M343*IFERROR(IF(VLOOKUP($D343,Setup!$A$76:$C$87,3,FALSE)="",Setup!$B$14,VLOOKUP($D343,Setup!$A$76:$C$87,3,FALSE)),Setup!$B$14),2))</f>
        <v/>
      </c>
      <c r="O343" s="89">
        <f>IF(OR($M343="",$E343=""),"",ROUND($M343*IFERROR(IF(VLOOKUP($E343,Setup!$A$76:$C$87,3,FALSE)="",Setup!$B$15,VLOOKUP($E343,Setup!$A$76:$C$87,3,FALSE)),Setup!$B$15),2))</f>
        <v/>
      </c>
      <c r="P343" s="91" t="n"/>
      <c r="Q343" s="91" t="n"/>
      <c r="R343" s="91" t="n"/>
      <c r="S343" s="91" t="n"/>
      <c r="T343" s="91" t="n"/>
      <c r="U343" s="89">
        <f>IF($K343="","",SUM($R343:$T343))</f>
        <v/>
      </c>
      <c r="V343" s="89">
        <f>IF($K343="","",$M343-(N($N343)+N($O343)+IF($P343="",Setup!$B$17,$P343)+N($Q343))-N($U343))</f>
        <v/>
      </c>
      <c r="W343" s="86" t="n"/>
      <c r="X343" s="87" t="n"/>
      <c r="Z343" s="92">
        <f>IF($A343="","",DATE(YEAR($A343),MONTH($A343),1))</f>
        <v/>
      </c>
    </row>
    <row r="344">
      <c r="A344" s="93" t="n"/>
      <c r="B344" s="94" t="n"/>
      <c r="C344" s="94" t="n"/>
      <c r="D344" s="95" t="n"/>
      <c r="E344" s="95" t="n"/>
      <c r="F344" s="95" t="n"/>
      <c r="G344" s="95" t="n"/>
      <c r="H344" s="96" t="n"/>
      <c r="I344" s="89">
        <f>IF($G344="","",IF($F344="",IFERROR(INDEX(Setup!$C$21:$C$60,MATCH("|"&amp;UPPER(TRIM($G344)),Setup!$Q$21:$Q$60,0)),"NO RATE"),IFERROR(INDEX(Setup!$C$21:$C$60,MATCH(UPPER(TRIM($F344))&amp;"|"&amp;UPPER(TRIM($G344)),Setup!$P$21:$P$60,0)),IFERROR(INDEX(Setup!$C$21:$C$60,MATCH(UPPER(TRIM($G344))&amp;"|"&amp;UPPER(TRIM($F344)),Setup!$P$21:$P$60,0)),"NO RATE"))))</f>
        <v/>
      </c>
      <c r="J344" s="97" t="n"/>
      <c r="K344" s="89">
        <f>IF(OR($G344="",$H344="",NOT(ISNUMBER($I344))),"",ROUND($H344*$I344*(1+IF($J344="",Setup!$B$16,$J344)),2))</f>
        <v/>
      </c>
      <c r="L344" s="89">
        <f>IF($K344="","",ROUND($K344*Setup!$B$13,2))</f>
        <v/>
      </c>
      <c r="M344" s="89">
        <f>IF($K344="","",$K344-$L344)</f>
        <v/>
      </c>
      <c r="N344" s="89">
        <f>IF(OR($M344="",$D344=""),"",ROUND($M344*IFERROR(IF(VLOOKUP($D344,Setup!$A$76:$C$87,3,FALSE)="",Setup!$B$14,VLOOKUP($D344,Setup!$A$76:$C$87,3,FALSE)),Setup!$B$14),2))</f>
        <v/>
      </c>
      <c r="O344" s="89">
        <f>IF(OR($M344="",$E344=""),"",ROUND($M344*IFERROR(IF(VLOOKUP($E344,Setup!$A$76:$C$87,3,FALSE)="",Setup!$B$15,VLOOKUP($E344,Setup!$A$76:$C$87,3,FALSE)),Setup!$B$15),2))</f>
        <v/>
      </c>
      <c r="P344" s="98" t="n"/>
      <c r="Q344" s="98" t="n"/>
      <c r="R344" s="98" t="n"/>
      <c r="S344" s="98" t="n"/>
      <c r="T344" s="98" t="n"/>
      <c r="U344" s="89">
        <f>IF($K344="","",SUM($R344:$T344))</f>
        <v/>
      </c>
      <c r="V344" s="89">
        <f>IF($K344="","",$M344-(N($N344)+N($O344)+IF($P344="",Setup!$B$17,$P344)+N($Q344))-N($U344))</f>
        <v/>
      </c>
      <c r="W344" s="94" t="n"/>
      <c r="X344" s="95" t="n"/>
      <c r="Z344" s="92">
        <f>IF($A344="","",DATE(YEAR($A344),MONTH($A344),1))</f>
        <v/>
      </c>
    </row>
    <row r="345">
      <c r="A345" s="85" t="n"/>
      <c r="B345" s="86" t="n"/>
      <c r="C345" s="86" t="n"/>
      <c r="D345" s="87" t="n"/>
      <c r="E345" s="87" t="n"/>
      <c r="F345" s="87" t="n"/>
      <c r="G345" s="87" t="n"/>
      <c r="H345" s="88" t="n"/>
      <c r="I345" s="89">
        <f>IF($G345="","",IF($F345="",IFERROR(INDEX(Setup!$C$21:$C$60,MATCH("|"&amp;UPPER(TRIM($G345)),Setup!$Q$21:$Q$60,0)),"NO RATE"),IFERROR(INDEX(Setup!$C$21:$C$60,MATCH(UPPER(TRIM($F345))&amp;"|"&amp;UPPER(TRIM($G345)),Setup!$P$21:$P$60,0)),IFERROR(INDEX(Setup!$C$21:$C$60,MATCH(UPPER(TRIM($G345))&amp;"|"&amp;UPPER(TRIM($F345)),Setup!$P$21:$P$60,0)),"NO RATE"))))</f>
        <v/>
      </c>
      <c r="J345" s="90" t="n"/>
      <c r="K345" s="89">
        <f>IF(OR($G345="",$H345="",NOT(ISNUMBER($I345))),"",ROUND($H345*$I345*(1+IF($J345="",Setup!$B$16,$J345)),2))</f>
        <v/>
      </c>
      <c r="L345" s="89">
        <f>IF($K345="","",ROUND($K345*Setup!$B$13,2))</f>
        <v/>
      </c>
      <c r="M345" s="89">
        <f>IF($K345="","",$K345-$L345)</f>
        <v/>
      </c>
      <c r="N345" s="89">
        <f>IF(OR($M345="",$D345=""),"",ROUND($M345*IFERROR(IF(VLOOKUP($D345,Setup!$A$76:$C$87,3,FALSE)="",Setup!$B$14,VLOOKUP($D345,Setup!$A$76:$C$87,3,FALSE)),Setup!$B$14),2))</f>
        <v/>
      </c>
      <c r="O345" s="89">
        <f>IF(OR($M345="",$E345=""),"",ROUND($M345*IFERROR(IF(VLOOKUP($E345,Setup!$A$76:$C$87,3,FALSE)="",Setup!$B$15,VLOOKUP($E345,Setup!$A$76:$C$87,3,FALSE)),Setup!$B$15),2))</f>
        <v/>
      </c>
      <c r="P345" s="91" t="n"/>
      <c r="Q345" s="91" t="n"/>
      <c r="R345" s="91" t="n"/>
      <c r="S345" s="91" t="n"/>
      <c r="T345" s="91" t="n"/>
      <c r="U345" s="89">
        <f>IF($K345="","",SUM($R345:$T345))</f>
        <v/>
      </c>
      <c r="V345" s="89">
        <f>IF($K345="","",$M345-(N($N345)+N($O345)+IF($P345="",Setup!$B$17,$P345)+N($Q345))-N($U345))</f>
        <v/>
      </c>
      <c r="W345" s="86" t="n"/>
      <c r="X345" s="87" t="n"/>
      <c r="Z345" s="92">
        <f>IF($A345="","",DATE(YEAR($A345),MONTH($A345),1))</f>
        <v/>
      </c>
    </row>
    <row r="346">
      <c r="A346" s="93" t="n"/>
      <c r="B346" s="94" t="n"/>
      <c r="C346" s="94" t="n"/>
      <c r="D346" s="95" t="n"/>
      <c r="E346" s="95" t="n"/>
      <c r="F346" s="95" t="n"/>
      <c r="G346" s="95" t="n"/>
      <c r="H346" s="96" t="n"/>
      <c r="I346" s="89">
        <f>IF($G346="","",IF($F346="",IFERROR(INDEX(Setup!$C$21:$C$60,MATCH("|"&amp;UPPER(TRIM($G346)),Setup!$Q$21:$Q$60,0)),"NO RATE"),IFERROR(INDEX(Setup!$C$21:$C$60,MATCH(UPPER(TRIM($F346))&amp;"|"&amp;UPPER(TRIM($G346)),Setup!$P$21:$P$60,0)),IFERROR(INDEX(Setup!$C$21:$C$60,MATCH(UPPER(TRIM($G346))&amp;"|"&amp;UPPER(TRIM($F346)),Setup!$P$21:$P$60,0)),"NO RATE"))))</f>
        <v/>
      </c>
      <c r="J346" s="97" t="n"/>
      <c r="K346" s="89">
        <f>IF(OR($G346="",$H346="",NOT(ISNUMBER($I346))),"",ROUND($H346*$I346*(1+IF($J346="",Setup!$B$16,$J346)),2))</f>
        <v/>
      </c>
      <c r="L346" s="89">
        <f>IF($K346="","",ROUND($K346*Setup!$B$13,2))</f>
        <v/>
      </c>
      <c r="M346" s="89">
        <f>IF($K346="","",$K346-$L346)</f>
        <v/>
      </c>
      <c r="N346" s="89">
        <f>IF(OR($M346="",$D346=""),"",ROUND($M346*IFERROR(IF(VLOOKUP($D346,Setup!$A$76:$C$87,3,FALSE)="",Setup!$B$14,VLOOKUP($D346,Setup!$A$76:$C$87,3,FALSE)),Setup!$B$14),2))</f>
        <v/>
      </c>
      <c r="O346" s="89">
        <f>IF(OR($M346="",$E346=""),"",ROUND($M346*IFERROR(IF(VLOOKUP($E346,Setup!$A$76:$C$87,3,FALSE)="",Setup!$B$15,VLOOKUP($E346,Setup!$A$76:$C$87,3,FALSE)),Setup!$B$15),2))</f>
        <v/>
      </c>
      <c r="P346" s="98" t="n"/>
      <c r="Q346" s="98" t="n"/>
      <c r="R346" s="98" t="n"/>
      <c r="S346" s="98" t="n"/>
      <c r="T346" s="98" t="n"/>
      <c r="U346" s="89">
        <f>IF($K346="","",SUM($R346:$T346))</f>
        <v/>
      </c>
      <c r="V346" s="89">
        <f>IF($K346="","",$M346-(N($N346)+N($O346)+IF($P346="",Setup!$B$17,$P346)+N($Q346))-N($U346))</f>
        <v/>
      </c>
      <c r="W346" s="94" t="n"/>
      <c r="X346" s="95" t="n"/>
      <c r="Z346" s="92">
        <f>IF($A346="","",DATE(YEAR($A346),MONTH($A346),1))</f>
        <v/>
      </c>
    </row>
    <row r="347">
      <c r="A347" s="85" t="n"/>
      <c r="B347" s="86" t="n"/>
      <c r="C347" s="86" t="n"/>
      <c r="D347" s="87" t="n"/>
      <c r="E347" s="87" t="n"/>
      <c r="F347" s="87" t="n"/>
      <c r="G347" s="87" t="n"/>
      <c r="H347" s="88" t="n"/>
      <c r="I347" s="89">
        <f>IF($G347="","",IF($F347="",IFERROR(INDEX(Setup!$C$21:$C$60,MATCH("|"&amp;UPPER(TRIM($G347)),Setup!$Q$21:$Q$60,0)),"NO RATE"),IFERROR(INDEX(Setup!$C$21:$C$60,MATCH(UPPER(TRIM($F347))&amp;"|"&amp;UPPER(TRIM($G347)),Setup!$P$21:$P$60,0)),IFERROR(INDEX(Setup!$C$21:$C$60,MATCH(UPPER(TRIM($G347))&amp;"|"&amp;UPPER(TRIM($F347)),Setup!$P$21:$P$60,0)),"NO RATE"))))</f>
        <v/>
      </c>
      <c r="J347" s="90" t="n"/>
      <c r="K347" s="89">
        <f>IF(OR($G347="",$H347="",NOT(ISNUMBER($I347))),"",ROUND($H347*$I347*(1+IF($J347="",Setup!$B$16,$J347)),2))</f>
        <v/>
      </c>
      <c r="L347" s="89">
        <f>IF($K347="","",ROUND($K347*Setup!$B$13,2))</f>
        <v/>
      </c>
      <c r="M347" s="89">
        <f>IF($K347="","",$K347-$L347)</f>
        <v/>
      </c>
      <c r="N347" s="89">
        <f>IF(OR($M347="",$D347=""),"",ROUND($M347*IFERROR(IF(VLOOKUP($D347,Setup!$A$76:$C$87,3,FALSE)="",Setup!$B$14,VLOOKUP($D347,Setup!$A$76:$C$87,3,FALSE)),Setup!$B$14),2))</f>
        <v/>
      </c>
      <c r="O347" s="89">
        <f>IF(OR($M347="",$E347=""),"",ROUND($M347*IFERROR(IF(VLOOKUP($E347,Setup!$A$76:$C$87,3,FALSE)="",Setup!$B$15,VLOOKUP($E347,Setup!$A$76:$C$87,3,FALSE)),Setup!$B$15),2))</f>
        <v/>
      </c>
      <c r="P347" s="91" t="n"/>
      <c r="Q347" s="91" t="n"/>
      <c r="R347" s="91" t="n"/>
      <c r="S347" s="91" t="n"/>
      <c r="T347" s="91" t="n"/>
      <c r="U347" s="89">
        <f>IF($K347="","",SUM($R347:$T347))</f>
        <v/>
      </c>
      <c r="V347" s="89">
        <f>IF($K347="","",$M347-(N($N347)+N($O347)+IF($P347="",Setup!$B$17,$P347)+N($Q347))-N($U347))</f>
        <v/>
      </c>
      <c r="W347" s="86" t="n"/>
      <c r="X347" s="87" t="n"/>
      <c r="Z347" s="92">
        <f>IF($A347="","",DATE(YEAR($A347),MONTH($A347),1))</f>
        <v/>
      </c>
    </row>
    <row r="348">
      <c r="A348" s="93" t="n"/>
      <c r="B348" s="94" t="n"/>
      <c r="C348" s="94" t="n"/>
      <c r="D348" s="95" t="n"/>
      <c r="E348" s="95" t="n"/>
      <c r="F348" s="95" t="n"/>
      <c r="G348" s="95" t="n"/>
      <c r="H348" s="96" t="n"/>
      <c r="I348" s="89">
        <f>IF($G348="","",IF($F348="",IFERROR(INDEX(Setup!$C$21:$C$60,MATCH("|"&amp;UPPER(TRIM($G348)),Setup!$Q$21:$Q$60,0)),"NO RATE"),IFERROR(INDEX(Setup!$C$21:$C$60,MATCH(UPPER(TRIM($F348))&amp;"|"&amp;UPPER(TRIM($G348)),Setup!$P$21:$P$60,0)),IFERROR(INDEX(Setup!$C$21:$C$60,MATCH(UPPER(TRIM($G348))&amp;"|"&amp;UPPER(TRIM($F348)),Setup!$P$21:$P$60,0)),"NO RATE"))))</f>
        <v/>
      </c>
      <c r="J348" s="97" t="n"/>
      <c r="K348" s="89">
        <f>IF(OR($G348="",$H348="",NOT(ISNUMBER($I348))),"",ROUND($H348*$I348*(1+IF($J348="",Setup!$B$16,$J348)),2))</f>
        <v/>
      </c>
      <c r="L348" s="89">
        <f>IF($K348="","",ROUND($K348*Setup!$B$13,2))</f>
        <v/>
      </c>
      <c r="M348" s="89">
        <f>IF($K348="","",$K348-$L348)</f>
        <v/>
      </c>
      <c r="N348" s="89">
        <f>IF(OR($M348="",$D348=""),"",ROUND($M348*IFERROR(IF(VLOOKUP($D348,Setup!$A$76:$C$87,3,FALSE)="",Setup!$B$14,VLOOKUP($D348,Setup!$A$76:$C$87,3,FALSE)),Setup!$B$14),2))</f>
        <v/>
      </c>
      <c r="O348" s="89">
        <f>IF(OR($M348="",$E348=""),"",ROUND($M348*IFERROR(IF(VLOOKUP($E348,Setup!$A$76:$C$87,3,FALSE)="",Setup!$B$15,VLOOKUP($E348,Setup!$A$76:$C$87,3,FALSE)),Setup!$B$15),2))</f>
        <v/>
      </c>
      <c r="P348" s="98" t="n"/>
      <c r="Q348" s="98" t="n"/>
      <c r="R348" s="98" t="n"/>
      <c r="S348" s="98" t="n"/>
      <c r="T348" s="98" t="n"/>
      <c r="U348" s="89">
        <f>IF($K348="","",SUM($R348:$T348))</f>
        <v/>
      </c>
      <c r="V348" s="89">
        <f>IF($K348="","",$M348-(N($N348)+N($O348)+IF($P348="",Setup!$B$17,$P348)+N($Q348))-N($U348))</f>
        <v/>
      </c>
      <c r="W348" s="94" t="n"/>
      <c r="X348" s="95" t="n"/>
      <c r="Z348" s="92">
        <f>IF($A348="","",DATE(YEAR($A348),MONTH($A348),1))</f>
        <v/>
      </c>
    </row>
    <row r="349">
      <c r="A349" s="85" t="n"/>
      <c r="B349" s="86" t="n"/>
      <c r="C349" s="86" t="n"/>
      <c r="D349" s="87" t="n"/>
      <c r="E349" s="87" t="n"/>
      <c r="F349" s="87" t="n"/>
      <c r="G349" s="87" t="n"/>
      <c r="H349" s="88" t="n"/>
      <c r="I349" s="89">
        <f>IF($G349="","",IF($F349="",IFERROR(INDEX(Setup!$C$21:$C$60,MATCH("|"&amp;UPPER(TRIM($G349)),Setup!$Q$21:$Q$60,0)),"NO RATE"),IFERROR(INDEX(Setup!$C$21:$C$60,MATCH(UPPER(TRIM($F349))&amp;"|"&amp;UPPER(TRIM($G349)),Setup!$P$21:$P$60,0)),IFERROR(INDEX(Setup!$C$21:$C$60,MATCH(UPPER(TRIM($G349))&amp;"|"&amp;UPPER(TRIM($F349)),Setup!$P$21:$P$60,0)),"NO RATE"))))</f>
        <v/>
      </c>
      <c r="J349" s="90" t="n"/>
      <c r="K349" s="89">
        <f>IF(OR($G349="",$H349="",NOT(ISNUMBER($I349))),"",ROUND($H349*$I349*(1+IF($J349="",Setup!$B$16,$J349)),2))</f>
        <v/>
      </c>
      <c r="L349" s="89">
        <f>IF($K349="","",ROUND($K349*Setup!$B$13,2))</f>
        <v/>
      </c>
      <c r="M349" s="89">
        <f>IF($K349="","",$K349-$L349)</f>
        <v/>
      </c>
      <c r="N349" s="89">
        <f>IF(OR($M349="",$D349=""),"",ROUND($M349*IFERROR(IF(VLOOKUP($D349,Setup!$A$76:$C$87,3,FALSE)="",Setup!$B$14,VLOOKUP($D349,Setup!$A$76:$C$87,3,FALSE)),Setup!$B$14),2))</f>
        <v/>
      </c>
      <c r="O349" s="89">
        <f>IF(OR($M349="",$E349=""),"",ROUND($M349*IFERROR(IF(VLOOKUP($E349,Setup!$A$76:$C$87,3,FALSE)="",Setup!$B$15,VLOOKUP($E349,Setup!$A$76:$C$87,3,FALSE)),Setup!$B$15),2))</f>
        <v/>
      </c>
      <c r="P349" s="91" t="n"/>
      <c r="Q349" s="91" t="n"/>
      <c r="R349" s="91" t="n"/>
      <c r="S349" s="91" t="n"/>
      <c r="T349" s="91" t="n"/>
      <c r="U349" s="89">
        <f>IF($K349="","",SUM($R349:$T349))</f>
        <v/>
      </c>
      <c r="V349" s="89">
        <f>IF($K349="","",$M349-(N($N349)+N($O349)+IF($P349="",Setup!$B$17,$P349)+N($Q349))-N($U349))</f>
        <v/>
      </c>
      <c r="W349" s="86" t="n"/>
      <c r="X349" s="87" t="n"/>
      <c r="Z349" s="92">
        <f>IF($A349="","",DATE(YEAR($A349),MONTH($A349),1))</f>
        <v/>
      </c>
    </row>
    <row r="350">
      <c r="A350" s="93" t="n"/>
      <c r="B350" s="94" t="n"/>
      <c r="C350" s="94" t="n"/>
      <c r="D350" s="95" t="n"/>
      <c r="E350" s="95" t="n"/>
      <c r="F350" s="95" t="n"/>
      <c r="G350" s="95" t="n"/>
      <c r="H350" s="96" t="n"/>
      <c r="I350" s="89">
        <f>IF($G350="","",IF($F350="",IFERROR(INDEX(Setup!$C$21:$C$60,MATCH("|"&amp;UPPER(TRIM($G350)),Setup!$Q$21:$Q$60,0)),"NO RATE"),IFERROR(INDEX(Setup!$C$21:$C$60,MATCH(UPPER(TRIM($F350))&amp;"|"&amp;UPPER(TRIM($G350)),Setup!$P$21:$P$60,0)),IFERROR(INDEX(Setup!$C$21:$C$60,MATCH(UPPER(TRIM($G350))&amp;"|"&amp;UPPER(TRIM($F350)),Setup!$P$21:$P$60,0)),"NO RATE"))))</f>
        <v/>
      </c>
      <c r="J350" s="97" t="n"/>
      <c r="K350" s="89">
        <f>IF(OR($G350="",$H350="",NOT(ISNUMBER($I350))),"",ROUND($H350*$I350*(1+IF($J350="",Setup!$B$16,$J350)),2))</f>
        <v/>
      </c>
      <c r="L350" s="89">
        <f>IF($K350="","",ROUND($K350*Setup!$B$13,2))</f>
        <v/>
      </c>
      <c r="M350" s="89">
        <f>IF($K350="","",$K350-$L350)</f>
        <v/>
      </c>
      <c r="N350" s="89">
        <f>IF(OR($M350="",$D350=""),"",ROUND($M350*IFERROR(IF(VLOOKUP($D350,Setup!$A$76:$C$87,3,FALSE)="",Setup!$B$14,VLOOKUP($D350,Setup!$A$76:$C$87,3,FALSE)),Setup!$B$14),2))</f>
        <v/>
      </c>
      <c r="O350" s="89">
        <f>IF(OR($M350="",$E350=""),"",ROUND($M350*IFERROR(IF(VLOOKUP($E350,Setup!$A$76:$C$87,3,FALSE)="",Setup!$B$15,VLOOKUP($E350,Setup!$A$76:$C$87,3,FALSE)),Setup!$B$15),2))</f>
        <v/>
      </c>
      <c r="P350" s="98" t="n"/>
      <c r="Q350" s="98" t="n"/>
      <c r="R350" s="98" t="n"/>
      <c r="S350" s="98" t="n"/>
      <c r="T350" s="98" t="n"/>
      <c r="U350" s="89">
        <f>IF($K350="","",SUM($R350:$T350))</f>
        <v/>
      </c>
      <c r="V350" s="89">
        <f>IF($K350="","",$M350-(N($N350)+N($O350)+IF($P350="",Setup!$B$17,$P350)+N($Q350))-N($U350))</f>
        <v/>
      </c>
      <c r="W350" s="94" t="n"/>
      <c r="X350" s="95" t="n"/>
      <c r="Z350" s="92">
        <f>IF($A350="","",DATE(YEAR($A350),MONTH($A350),1))</f>
        <v/>
      </c>
    </row>
    <row r="351">
      <c r="A351" s="85" t="n"/>
      <c r="B351" s="86" t="n"/>
      <c r="C351" s="86" t="n"/>
      <c r="D351" s="87" t="n"/>
      <c r="E351" s="87" t="n"/>
      <c r="F351" s="87" t="n"/>
      <c r="G351" s="87" t="n"/>
      <c r="H351" s="88" t="n"/>
      <c r="I351" s="89">
        <f>IF($G351="","",IF($F351="",IFERROR(INDEX(Setup!$C$21:$C$60,MATCH("|"&amp;UPPER(TRIM($G351)),Setup!$Q$21:$Q$60,0)),"NO RATE"),IFERROR(INDEX(Setup!$C$21:$C$60,MATCH(UPPER(TRIM($F351))&amp;"|"&amp;UPPER(TRIM($G351)),Setup!$P$21:$P$60,0)),IFERROR(INDEX(Setup!$C$21:$C$60,MATCH(UPPER(TRIM($G351))&amp;"|"&amp;UPPER(TRIM($F351)),Setup!$P$21:$P$60,0)),"NO RATE"))))</f>
        <v/>
      </c>
      <c r="J351" s="90" t="n"/>
      <c r="K351" s="89">
        <f>IF(OR($G351="",$H351="",NOT(ISNUMBER($I351))),"",ROUND($H351*$I351*(1+IF($J351="",Setup!$B$16,$J351)),2))</f>
        <v/>
      </c>
      <c r="L351" s="89">
        <f>IF($K351="","",ROUND($K351*Setup!$B$13,2))</f>
        <v/>
      </c>
      <c r="M351" s="89">
        <f>IF($K351="","",$K351-$L351)</f>
        <v/>
      </c>
      <c r="N351" s="89">
        <f>IF(OR($M351="",$D351=""),"",ROUND($M351*IFERROR(IF(VLOOKUP($D351,Setup!$A$76:$C$87,3,FALSE)="",Setup!$B$14,VLOOKUP($D351,Setup!$A$76:$C$87,3,FALSE)),Setup!$B$14),2))</f>
        <v/>
      </c>
      <c r="O351" s="89">
        <f>IF(OR($M351="",$E351=""),"",ROUND($M351*IFERROR(IF(VLOOKUP($E351,Setup!$A$76:$C$87,3,FALSE)="",Setup!$B$15,VLOOKUP($E351,Setup!$A$76:$C$87,3,FALSE)),Setup!$B$15),2))</f>
        <v/>
      </c>
      <c r="P351" s="91" t="n"/>
      <c r="Q351" s="91" t="n"/>
      <c r="R351" s="91" t="n"/>
      <c r="S351" s="91" t="n"/>
      <c r="T351" s="91" t="n"/>
      <c r="U351" s="89">
        <f>IF($K351="","",SUM($R351:$T351))</f>
        <v/>
      </c>
      <c r="V351" s="89">
        <f>IF($K351="","",$M351-(N($N351)+N($O351)+IF($P351="",Setup!$B$17,$P351)+N($Q351))-N($U351))</f>
        <v/>
      </c>
      <c r="W351" s="86" t="n"/>
      <c r="X351" s="87" t="n"/>
      <c r="Z351" s="92">
        <f>IF($A351="","",DATE(YEAR($A351),MONTH($A351),1))</f>
        <v/>
      </c>
    </row>
    <row r="352">
      <c r="A352" s="93" t="n"/>
      <c r="B352" s="94" t="n"/>
      <c r="C352" s="94" t="n"/>
      <c r="D352" s="95" t="n"/>
      <c r="E352" s="95" t="n"/>
      <c r="F352" s="95" t="n"/>
      <c r="G352" s="95" t="n"/>
      <c r="H352" s="96" t="n"/>
      <c r="I352" s="89">
        <f>IF($G352="","",IF($F352="",IFERROR(INDEX(Setup!$C$21:$C$60,MATCH("|"&amp;UPPER(TRIM($G352)),Setup!$Q$21:$Q$60,0)),"NO RATE"),IFERROR(INDEX(Setup!$C$21:$C$60,MATCH(UPPER(TRIM($F352))&amp;"|"&amp;UPPER(TRIM($G352)),Setup!$P$21:$P$60,0)),IFERROR(INDEX(Setup!$C$21:$C$60,MATCH(UPPER(TRIM($G352))&amp;"|"&amp;UPPER(TRIM($F352)),Setup!$P$21:$P$60,0)),"NO RATE"))))</f>
        <v/>
      </c>
      <c r="J352" s="97" t="n"/>
      <c r="K352" s="89">
        <f>IF(OR($G352="",$H352="",NOT(ISNUMBER($I352))),"",ROUND($H352*$I352*(1+IF($J352="",Setup!$B$16,$J352)),2))</f>
        <v/>
      </c>
      <c r="L352" s="89">
        <f>IF($K352="","",ROUND($K352*Setup!$B$13,2))</f>
        <v/>
      </c>
      <c r="M352" s="89">
        <f>IF($K352="","",$K352-$L352)</f>
        <v/>
      </c>
      <c r="N352" s="89">
        <f>IF(OR($M352="",$D352=""),"",ROUND($M352*IFERROR(IF(VLOOKUP($D352,Setup!$A$76:$C$87,3,FALSE)="",Setup!$B$14,VLOOKUP($D352,Setup!$A$76:$C$87,3,FALSE)),Setup!$B$14),2))</f>
        <v/>
      </c>
      <c r="O352" s="89">
        <f>IF(OR($M352="",$E352=""),"",ROUND($M352*IFERROR(IF(VLOOKUP($E352,Setup!$A$76:$C$87,3,FALSE)="",Setup!$B$15,VLOOKUP($E352,Setup!$A$76:$C$87,3,FALSE)),Setup!$B$15),2))</f>
        <v/>
      </c>
      <c r="P352" s="98" t="n"/>
      <c r="Q352" s="98" t="n"/>
      <c r="R352" s="98" t="n"/>
      <c r="S352" s="98" t="n"/>
      <c r="T352" s="98" t="n"/>
      <c r="U352" s="89">
        <f>IF($K352="","",SUM($R352:$T352))</f>
        <v/>
      </c>
      <c r="V352" s="89">
        <f>IF($K352="","",$M352-(N($N352)+N($O352)+IF($P352="",Setup!$B$17,$P352)+N($Q352))-N($U352))</f>
        <v/>
      </c>
      <c r="W352" s="94" t="n"/>
      <c r="X352" s="95" t="n"/>
      <c r="Z352" s="92">
        <f>IF($A352="","",DATE(YEAR($A352),MONTH($A352),1))</f>
        <v/>
      </c>
    </row>
    <row r="353">
      <c r="A353" s="85" t="n"/>
      <c r="B353" s="86" t="n"/>
      <c r="C353" s="86" t="n"/>
      <c r="D353" s="87" t="n"/>
      <c r="E353" s="87" t="n"/>
      <c r="F353" s="87" t="n"/>
      <c r="G353" s="87" t="n"/>
      <c r="H353" s="88" t="n"/>
      <c r="I353" s="89">
        <f>IF($G353="","",IF($F353="",IFERROR(INDEX(Setup!$C$21:$C$60,MATCH("|"&amp;UPPER(TRIM($G353)),Setup!$Q$21:$Q$60,0)),"NO RATE"),IFERROR(INDEX(Setup!$C$21:$C$60,MATCH(UPPER(TRIM($F353))&amp;"|"&amp;UPPER(TRIM($G353)),Setup!$P$21:$P$60,0)),IFERROR(INDEX(Setup!$C$21:$C$60,MATCH(UPPER(TRIM($G353))&amp;"|"&amp;UPPER(TRIM($F353)),Setup!$P$21:$P$60,0)),"NO RATE"))))</f>
        <v/>
      </c>
      <c r="J353" s="90" t="n"/>
      <c r="K353" s="89">
        <f>IF(OR($G353="",$H353="",NOT(ISNUMBER($I353))),"",ROUND($H353*$I353*(1+IF($J353="",Setup!$B$16,$J353)),2))</f>
        <v/>
      </c>
      <c r="L353" s="89">
        <f>IF($K353="","",ROUND($K353*Setup!$B$13,2))</f>
        <v/>
      </c>
      <c r="M353" s="89">
        <f>IF($K353="","",$K353-$L353)</f>
        <v/>
      </c>
      <c r="N353" s="89">
        <f>IF(OR($M353="",$D353=""),"",ROUND($M353*IFERROR(IF(VLOOKUP($D353,Setup!$A$76:$C$87,3,FALSE)="",Setup!$B$14,VLOOKUP($D353,Setup!$A$76:$C$87,3,FALSE)),Setup!$B$14),2))</f>
        <v/>
      </c>
      <c r="O353" s="89">
        <f>IF(OR($M353="",$E353=""),"",ROUND($M353*IFERROR(IF(VLOOKUP($E353,Setup!$A$76:$C$87,3,FALSE)="",Setup!$B$15,VLOOKUP($E353,Setup!$A$76:$C$87,3,FALSE)),Setup!$B$15),2))</f>
        <v/>
      </c>
      <c r="P353" s="91" t="n"/>
      <c r="Q353" s="91" t="n"/>
      <c r="R353" s="91" t="n"/>
      <c r="S353" s="91" t="n"/>
      <c r="T353" s="91" t="n"/>
      <c r="U353" s="89">
        <f>IF($K353="","",SUM($R353:$T353))</f>
        <v/>
      </c>
      <c r="V353" s="89">
        <f>IF($K353="","",$M353-(N($N353)+N($O353)+IF($P353="",Setup!$B$17,$P353)+N($Q353))-N($U353))</f>
        <v/>
      </c>
      <c r="W353" s="86" t="n"/>
      <c r="X353" s="87" t="n"/>
      <c r="Z353" s="92">
        <f>IF($A353="","",DATE(YEAR($A353),MONTH($A353),1))</f>
        <v/>
      </c>
    </row>
    <row r="354">
      <c r="A354" s="93" t="n"/>
      <c r="B354" s="94" t="n"/>
      <c r="C354" s="94" t="n"/>
      <c r="D354" s="95" t="n"/>
      <c r="E354" s="95" t="n"/>
      <c r="F354" s="95" t="n"/>
      <c r="G354" s="95" t="n"/>
      <c r="H354" s="96" t="n"/>
      <c r="I354" s="89">
        <f>IF($G354="","",IF($F354="",IFERROR(INDEX(Setup!$C$21:$C$60,MATCH("|"&amp;UPPER(TRIM($G354)),Setup!$Q$21:$Q$60,0)),"NO RATE"),IFERROR(INDEX(Setup!$C$21:$C$60,MATCH(UPPER(TRIM($F354))&amp;"|"&amp;UPPER(TRIM($G354)),Setup!$P$21:$P$60,0)),IFERROR(INDEX(Setup!$C$21:$C$60,MATCH(UPPER(TRIM($G354))&amp;"|"&amp;UPPER(TRIM($F354)),Setup!$P$21:$P$60,0)),"NO RATE"))))</f>
        <v/>
      </c>
      <c r="J354" s="97" t="n"/>
      <c r="K354" s="89">
        <f>IF(OR($G354="",$H354="",NOT(ISNUMBER($I354))),"",ROUND($H354*$I354*(1+IF($J354="",Setup!$B$16,$J354)),2))</f>
        <v/>
      </c>
      <c r="L354" s="89">
        <f>IF($K354="","",ROUND($K354*Setup!$B$13,2))</f>
        <v/>
      </c>
      <c r="M354" s="89">
        <f>IF($K354="","",$K354-$L354)</f>
        <v/>
      </c>
      <c r="N354" s="89">
        <f>IF(OR($M354="",$D354=""),"",ROUND($M354*IFERROR(IF(VLOOKUP($D354,Setup!$A$76:$C$87,3,FALSE)="",Setup!$B$14,VLOOKUP($D354,Setup!$A$76:$C$87,3,FALSE)),Setup!$B$14),2))</f>
        <v/>
      </c>
      <c r="O354" s="89">
        <f>IF(OR($M354="",$E354=""),"",ROUND($M354*IFERROR(IF(VLOOKUP($E354,Setup!$A$76:$C$87,3,FALSE)="",Setup!$B$15,VLOOKUP($E354,Setup!$A$76:$C$87,3,FALSE)),Setup!$B$15),2))</f>
        <v/>
      </c>
      <c r="P354" s="98" t="n"/>
      <c r="Q354" s="98" t="n"/>
      <c r="R354" s="98" t="n"/>
      <c r="S354" s="98" t="n"/>
      <c r="T354" s="98" t="n"/>
      <c r="U354" s="89">
        <f>IF($K354="","",SUM($R354:$T354))</f>
        <v/>
      </c>
      <c r="V354" s="89">
        <f>IF($K354="","",$M354-(N($N354)+N($O354)+IF($P354="",Setup!$B$17,$P354)+N($Q354))-N($U354))</f>
        <v/>
      </c>
      <c r="W354" s="94" t="n"/>
      <c r="X354" s="95" t="n"/>
      <c r="Z354" s="92">
        <f>IF($A354="","",DATE(YEAR($A354),MONTH($A354),1))</f>
        <v/>
      </c>
    </row>
    <row r="355">
      <c r="A355" s="85" t="n"/>
      <c r="B355" s="86" t="n"/>
      <c r="C355" s="86" t="n"/>
      <c r="D355" s="87" t="n"/>
      <c r="E355" s="87" t="n"/>
      <c r="F355" s="87" t="n"/>
      <c r="G355" s="87" t="n"/>
      <c r="H355" s="88" t="n"/>
      <c r="I355" s="89">
        <f>IF($G355="","",IF($F355="",IFERROR(INDEX(Setup!$C$21:$C$60,MATCH("|"&amp;UPPER(TRIM($G355)),Setup!$Q$21:$Q$60,0)),"NO RATE"),IFERROR(INDEX(Setup!$C$21:$C$60,MATCH(UPPER(TRIM($F355))&amp;"|"&amp;UPPER(TRIM($G355)),Setup!$P$21:$P$60,0)),IFERROR(INDEX(Setup!$C$21:$C$60,MATCH(UPPER(TRIM($G355))&amp;"|"&amp;UPPER(TRIM($F355)),Setup!$P$21:$P$60,0)),"NO RATE"))))</f>
        <v/>
      </c>
      <c r="J355" s="90" t="n"/>
      <c r="K355" s="89">
        <f>IF(OR($G355="",$H355="",NOT(ISNUMBER($I355))),"",ROUND($H355*$I355*(1+IF($J355="",Setup!$B$16,$J355)),2))</f>
        <v/>
      </c>
      <c r="L355" s="89">
        <f>IF($K355="","",ROUND($K355*Setup!$B$13,2))</f>
        <v/>
      </c>
      <c r="M355" s="89">
        <f>IF($K355="","",$K355-$L355)</f>
        <v/>
      </c>
      <c r="N355" s="89">
        <f>IF(OR($M355="",$D355=""),"",ROUND($M355*IFERROR(IF(VLOOKUP($D355,Setup!$A$76:$C$87,3,FALSE)="",Setup!$B$14,VLOOKUP($D355,Setup!$A$76:$C$87,3,FALSE)),Setup!$B$14),2))</f>
        <v/>
      </c>
      <c r="O355" s="89">
        <f>IF(OR($M355="",$E355=""),"",ROUND($M355*IFERROR(IF(VLOOKUP($E355,Setup!$A$76:$C$87,3,FALSE)="",Setup!$B$15,VLOOKUP($E355,Setup!$A$76:$C$87,3,FALSE)),Setup!$B$15),2))</f>
        <v/>
      </c>
      <c r="P355" s="91" t="n"/>
      <c r="Q355" s="91" t="n"/>
      <c r="R355" s="91" t="n"/>
      <c r="S355" s="91" t="n"/>
      <c r="T355" s="91" t="n"/>
      <c r="U355" s="89">
        <f>IF($K355="","",SUM($R355:$T355))</f>
        <v/>
      </c>
      <c r="V355" s="89">
        <f>IF($K355="","",$M355-(N($N355)+N($O355)+IF($P355="",Setup!$B$17,$P355)+N($Q355))-N($U355))</f>
        <v/>
      </c>
      <c r="W355" s="86" t="n"/>
      <c r="X355" s="87" t="n"/>
      <c r="Z355" s="92">
        <f>IF($A355="","",DATE(YEAR($A355),MONTH($A355),1))</f>
        <v/>
      </c>
    </row>
    <row r="356">
      <c r="A356" s="93" t="n"/>
      <c r="B356" s="94" t="n"/>
      <c r="C356" s="94" t="n"/>
      <c r="D356" s="95" t="n"/>
      <c r="E356" s="95" t="n"/>
      <c r="F356" s="95" t="n"/>
      <c r="G356" s="95" t="n"/>
      <c r="H356" s="96" t="n"/>
      <c r="I356" s="89">
        <f>IF($G356="","",IF($F356="",IFERROR(INDEX(Setup!$C$21:$C$60,MATCH("|"&amp;UPPER(TRIM($G356)),Setup!$Q$21:$Q$60,0)),"NO RATE"),IFERROR(INDEX(Setup!$C$21:$C$60,MATCH(UPPER(TRIM($F356))&amp;"|"&amp;UPPER(TRIM($G356)),Setup!$P$21:$P$60,0)),IFERROR(INDEX(Setup!$C$21:$C$60,MATCH(UPPER(TRIM($G356))&amp;"|"&amp;UPPER(TRIM($F356)),Setup!$P$21:$P$60,0)),"NO RATE"))))</f>
        <v/>
      </c>
      <c r="J356" s="97" t="n"/>
      <c r="K356" s="89">
        <f>IF(OR($G356="",$H356="",NOT(ISNUMBER($I356))),"",ROUND($H356*$I356*(1+IF($J356="",Setup!$B$16,$J356)),2))</f>
        <v/>
      </c>
      <c r="L356" s="89">
        <f>IF($K356="","",ROUND($K356*Setup!$B$13,2))</f>
        <v/>
      </c>
      <c r="M356" s="89">
        <f>IF($K356="","",$K356-$L356)</f>
        <v/>
      </c>
      <c r="N356" s="89">
        <f>IF(OR($M356="",$D356=""),"",ROUND($M356*IFERROR(IF(VLOOKUP($D356,Setup!$A$76:$C$87,3,FALSE)="",Setup!$B$14,VLOOKUP($D356,Setup!$A$76:$C$87,3,FALSE)),Setup!$B$14),2))</f>
        <v/>
      </c>
      <c r="O356" s="89">
        <f>IF(OR($M356="",$E356=""),"",ROUND($M356*IFERROR(IF(VLOOKUP($E356,Setup!$A$76:$C$87,3,FALSE)="",Setup!$B$15,VLOOKUP($E356,Setup!$A$76:$C$87,3,FALSE)),Setup!$B$15),2))</f>
        <v/>
      </c>
      <c r="P356" s="98" t="n"/>
      <c r="Q356" s="98" t="n"/>
      <c r="R356" s="98" t="n"/>
      <c r="S356" s="98" t="n"/>
      <c r="T356" s="98" t="n"/>
      <c r="U356" s="89">
        <f>IF($K356="","",SUM($R356:$T356))</f>
        <v/>
      </c>
      <c r="V356" s="89">
        <f>IF($K356="","",$M356-(N($N356)+N($O356)+IF($P356="",Setup!$B$17,$P356)+N($Q356))-N($U356))</f>
        <v/>
      </c>
      <c r="W356" s="94" t="n"/>
      <c r="X356" s="95" t="n"/>
      <c r="Z356" s="92">
        <f>IF($A356="","",DATE(YEAR($A356),MONTH($A356),1))</f>
        <v/>
      </c>
    </row>
    <row r="357">
      <c r="A357" s="85" t="n"/>
      <c r="B357" s="86" t="n"/>
      <c r="C357" s="86" t="n"/>
      <c r="D357" s="87" t="n"/>
      <c r="E357" s="87" t="n"/>
      <c r="F357" s="87" t="n"/>
      <c r="G357" s="87" t="n"/>
      <c r="H357" s="88" t="n"/>
      <c r="I357" s="89">
        <f>IF($G357="","",IF($F357="",IFERROR(INDEX(Setup!$C$21:$C$60,MATCH("|"&amp;UPPER(TRIM($G357)),Setup!$Q$21:$Q$60,0)),"NO RATE"),IFERROR(INDEX(Setup!$C$21:$C$60,MATCH(UPPER(TRIM($F357))&amp;"|"&amp;UPPER(TRIM($G357)),Setup!$P$21:$P$60,0)),IFERROR(INDEX(Setup!$C$21:$C$60,MATCH(UPPER(TRIM($G357))&amp;"|"&amp;UPPER(TRIM($F357)),Setup!$P$21:$P$60,0)),"NO RATE"))))</f>
        <v/>
      </c>
      <c r="J357" s="90" t="n"/>
      <c r="K357" s="89">
        <f>IF(OR($G357="",$H357="",NOT(ISNUMBER($I357))),"",ROUND($H357*$I357*(1+IF($J357="",Setup!$B$16,$J357)),2))</f>
        <v/>
      </c>
      <c r="L357" s="89">
        <f>IF($K357="","",ROUND($K357*Setup!$B$13,2))</f>
        <v/>
      </c>
      <c r="M357" s="89">
        <f>IF($K357="","",$K357-$L357)</f>
        <v/>
      </c>
      <c r="N357" s="89">
        <f>IF(OR($M357="",$D357=""),"",ROUND($M357*IFERROR(IF(VLOOKUP($D357,Setup!$A$76:$C$87,3,FALSE)="",Setup!$B$14,VLOOKUP($D357,Setup!$A$76:$C$87,3,FALSE)),Setup!$B$14),2))</f>
        <v/>
      </c>
      <c r="O357" s="89">
        <f>IF(OR($M357="",$E357=""),"",ROUND($M357*IFERROR(IF(VLOOKUP($E357,Setup!$A$76:$C$87,3,FALSE)="",Setup!$B$15,VLOOKUP($E357,Setup!$A$76:$C$87,3,FALSE)),Setup!$B$15),2))</f>
        <v/>
      </c>
      <c r="P357" s="91" t="n"/>
      <c r="Q357" s="91" t="n"/>
      <c r="R357" s="91" t="n"/>
      <c r="S357" s="91" t="n"/>
      <c r="T357" s="91" t="n"/>
      <c r="U357" s="89">
        <f>IF($K357="","",SUM($R357:$T357))</f>
        <v/>
      </c>
      <c r="V357" s="89">
        <f>IF($K357="","",$M357-(N($N357)+N($O357)+IF($P357="",Setup!$B$17,$P357)+N($Q357))-N($U357))</f>
        <v/>
      </c>
      <c r="W357" s="86" t="n"/>
      <c r="X357" s="87" t="n"/>
      <c r="Z357" s="92">
        <f>IF($A357="","",DATE(YEAR($A357),MONTH($A357),1))</f>
        <v/>
      </c>
    </row>
    <row r="358">
      <c r="A358" s="93" t="n"/>
      <c r="B358" s="94" t="n"/>
      <c r="C358" s="94" t="n"/>
      <c r="D358" s="95" t="n"/>
      <c r="E358" s="95" t="n"/>
      <c r="F358" s="95" t="n"/>
      <c r="G358" s="95" t="n"/>
      <c r="H358" s="96" t="n"/>
      <c r="I358" s="89">
        <f>IF($G358="","",IF($F358="",IFERROR(INDEX(Setup!$C$21:$C$60,MATCH("|"&amp;UPPER(TRIM($G358)),Setup!$Q$21:$Q$60,0)),"NO RATE"),IFERROR(INDEX(Setup!$C$21:$C$60,MATCH(UPPER(TRIM($F358))&amp;"|"&amp;UPPER(TRIM($G358)),Setup!$P$21:$P$60,0)),IFERROR(INDEX(Setup!$C$21:$C$60,MATCH(UPPER(TRIM($G358))&amp;"|"&amp;UPPER(TRIM($F358)),Setup!$P$21:$P$60,0)),"NO RATE"))))</f>
        <v/>
      </c>
      <c r="J358" s="97" t="n"/>
      <c r="K358" s="89">
        <f>IF(OR($G358="",$H358="",NOT(ISNUMBER($I358))),"",ROUND($H358*$I358*(1+IF($J358="",Setup!$B$16,$J358)),2))</f>
        <v/>
      </c>
      <c r="L358" s="89">
        <f>IF($K358="","",ROUND($K358*Setup!$B$13,2))</f>
        <v/>
      </c>
      <c r="M358" s="89">
        <f>IF($K358="","",$K358-$L358)</f>
        <v/>
      </c>
      <c r="N358" s="89">
        <f>IF(OR($M358="",$D358=""),"",ROUND($M358*IFERROR(IF(VLOOKUP($D358,Setup!$A$76:$C$87,3,FALSE)="",Setup!$B$14,VLOOKUP($D358,Setup!$A$76:$C$87,3,FALSE)),Setup!$B$14),2))</f>
        <v/>
      </c>
      <c r="O358" s="89">
        <f>IF(OR($M358="",$E358=""),"",ROUND($M358*IFERROR(IF(VLOOKUP($E358,Setup!$A$76:$C$87,3,FALSE)="",Setup!$B$15,VLOOKUP($E358,Setup!$A$76:$C$87,3,FALSE)),Setup!$B$15),2))</f>
        <v/>
      </c>
      <c r="P358" s="98" t="n"/>
      <c r="Q358" s="98" t="n"/>
      <c r="R358" s="98" t="n"/>
      <c r="S358" s="98" t="n"/>
      <c r="T358" s="98" t="n"/>
      <c r="U358" s="89">
        <f>IF($K358="","",SUM($R358:$T358))</f>
        <v/>
      </c>
      <c r="V358" s="89">
        <f>IF($K358="","",$M358-(N($N358)+N($O358)+IF($P358="",Setup!$B$17,$P358)+N($Q358))-N($U358))</f>
        <v/>
      </c>
      <c r="W358" s="94" t="n"/>
      <c r="X358" s="95" t="n"/>
      <c r="Z358" s="92">
        <f>IF($A358="","",DATE(YEAR($A358),MONTH($A358),1))</f>
        <v/>
      </c>
    </row>
    <row r="359">
      <c r="A359" s="85" t="n"/>
      <c r="B359" s="86" t="n"/>
      <c r="C359" s="86" t="n"/>
      <c r="D359" s="87" t="n"/>
      <c r="E359" s="87" t="n"/>
      <c r="F359" s="87" t="n"/>
      <c r="G359" s="87" t="n"/>
      <c r="H359" s="88" t="n"/>
      <c r="I359" s="89">
        <f>IF($G359="","",IF($F359="",IFERROR(INDEX(Setup!$C$21:$C$60,MATCH("|"&amp;UPPER(TRIM($G359)),Setup!$Q$21:$Q$60,0)),"NO RATE"),IFERROR(INDEX(Setup!$C$21:$C$60,MATCH(UPPER(TRIM($F359))&amp;"|"&amp;UPPER(TRIM($G359)),Setup!$P$21:$P$60,0)),IFERROR(INDEX(Setup!$C$21:$C$60,MATCH(UPPER(TRIM($G359))&amp;"|"&amp;UPPER(TRIM($F359)),Setup!$P$21:$P$60,0)),"NO RATE"))))</f>
        <v/>
      </c>
      <c r="J359" s="90" t="n"/>
      <c r="K359" s="89">
        <f>IF(OR($G359="",$H359="",NOT(ISNUMBER($I359))),"",ROUND($H359*$I359*(1+IF($J359="",Setup!$B$16,$J359)),2))</f>
        <v/>
      </c>
      <c r="L359" s="89">
        <f>IF($K359="","",ROUND($K359*Setup!$B$13,2))</f>
        <v/>
      </c>
      <c r="M359" s="89">
        <f>IF($K359="","",$K359-$L359)</f>
        <v/>
      </c>
      <c r="N359" s="89">
        <f>IF(OR($M359="",$D359=""),"",ROUND($M359*IFERROR(IF(VLOOKUP($D359,Setup!$A$76:$C$87,3,FALSE)="",Setup!$B$14,VLOOKUP($D359,Setup!$A$76:$C$87,3,FALSE)),Setup!$B$14),2))</f>
        <v/>
      </c>
      <c r="O359" s="89">
        <f>IF(OR($M359="",$E359=""),"",ROUND($M359*IFERROR(IF(VLOOKUP($E359,Setup!$A$76:$C$87,3,FALSE)="",Setup!$B$15,VLOOKUP($E359,Setup!$A$76:$C$87,3,FALSE)),Setup!$B$15),2))</f>
        <v/>
      </c>
      <c r="P359" s="91" t="n"/>
      <c r="Q359" s="91" t="n"/>
      <c r="R359" s="91" t="n"/>
      <c r="S359" s="91" t="n"/>
      <c r="T359" s="91" t="n"/>
      <c r="U359" s="89">
        <f>IF($K359="","",SUM($R359:$T359))</f>
        <v/>
      </c>
      <c r="V359" s="89">
        <f>IF($K359="","",$M359-(N($N359)+N($O359)+IF($P359="",Setup!$B$17,$P359)+N($Q359))-N($U359))</f>
        <v/>
      </c>
      <c r="W359" s="86" t="n"/>
      <c r="X359" s="87" t="n"/>
      <c r="Z359" s="92">
        <f>IF($A359="","",DATE(YEAR($A359),MONTH($A359),1))</f>
        <v/>
      </c>
    </row>
    <row r="360">
      <c r="A360" s="93" t="n"/>
      <c r="B360" s="94" t="n"/>
      <c r="C360" s="94" t="n"/>
      <c r="D360" s="95" t="n"/>
      <c r="E360" s="95" t="n"/>
      <c r="F360" s="95" t="n"/>
      <c r="G360" s="95" t="n"/>
      <c r="H360" s="96" t="n"/>
      <c r="I360" s="89">
        <f>IF($G360="","",IF($F360="",IFERROR(INDEX(Setup!$C$21:$C$60,MATCH("|"&amp;UPPER(TRIM($G360)),Setup!$Q$21:$Q$60,0)),"NO RATE"),IFERROR(INDEX(Setup!$C$21:$C$60,MATCH(UPPER(TRIM($F360))&amp;"|"&amp;UPPER(TRIM($G360)),Setup!$P$21:$P$60,0)),IFERROR(INDEX(Setup!$C$21:$C$60,MATCH(UPPER(TRIM($G360))&amp;"|"&amp;UPPER(TRIM($F360)),Setup!$P$21:$P$60,0)),"NO RATE"))))</f>
        <v/>
      </c>
      <c r="J360" s="97" t="n"/>
      <c r="K360" s="89">
        <f>IF(OR($G360="",$H360="",NOT(ISNUMBER($I360))),"",ROUND($H360*$I360*(1+IF($J360="",Setup!$B$16,$J360)),2))</f>
        <v/>
      </c>
      <c r="L360" s="89">
        <f>IF($K360="","",ROUND($K360*Setup!$B$13,2))</f>
        <v/>
      </c>
      <c r="M360" s="89">
        <f>IF($K360="","",$K360-$L360)</f>
        <v/>
      </c>
      <c r="N360" s="89">
        <f>IF(OR($M360="",$D360=""),"",ROUND($M360*IFERROR(IF(VLOOKUP($D360,Setup!$A$76:$C$87,3,FALSE)="",Setup!$B$14,VLOOKUP($D360,Setup!$A$76:$C$87,3,FALSE)),Setup!$B$14),2))</f>
        <v/>
      </c>
      <c r="O360" s="89">
        <f>IF(OR($M360="",$E360=""),"",ROUND($M360*IFERROR(IF(VLOOKUP($E360,Setup!$A$76:$C$87,3,FALSE)="",Setup!$B$15,VLOOKUP($E360,Setup!$A$76:$C$87,3,FALSE)),Setup!$B$15),2))</f>
        <v/>
      </c>
      <c r="P360" s="98" t="n"/>
      <c r="Q360" s="98" t="n"/>
      <c r="R360" s="98" t="n"/>
      <c r="S360" s="98" t="n"/>
      <c r="T360" s="98" t="n"/>
      <c r="U360" s="89">
        <f>IF($K360="","",SUM($R360:$T360))</f>
        <v/>
      </c>
      <c r="V360" s="89">
        <f>IF($K360="","",$M360-(N($N360)+N($O360)+IF($P360="",Setup!$B$17,$P360)+N($Q360))-N($U360))</f>
        <v/>
      </c>
      <c r="W360" s="94" t="n"/>
      <c r="X360" s="95" t="n"/>
      <c r="Z360" s="92">
        <f>IF($A360="","",DATE(YEAR($A360),MONTH($A360),1))</f>
        <v/>
      </c>
    </row>
    <row r="361">
      <c r="A361" s="85" t="n"/>
      <c r="B361" s="86" t="n"/>
      <c r="C361" s="86" t="n"/>
      <c r="D361" s="87" t="n"/>
      <c r="E361" s="87" t="n"/>
      <c r="F361" s="87" t="n"/>
      <c r="G361" s="87" t="n"/>
      <c r="H361" s="88" t="n"/>
      <c r="I361" s="89">
        <f>IF($G361="","",IF($F361="",IFERROR(INDEX(Setup!$C$21:$C$60,MATCH("|"&amp;UPPER(TRIM($G361)),Setup!$Q$21:$Q$60,0)),"NO RATE"),IFERROR(INDEX(Setup!$C$21:$C$60,MATCH(UPPER(TRIM($F361))&amp;"|"&amp;UPPER(TRIM($G361)),Setup!$P$21:$P$60,0)),IFERROR(INDEX(Setup!$C$21:$C$60,MATCH(UPPER(TRIM($G361))&amp;"|"&amp;UPPER(TRIM($F361)),Setup!$P$21:$P$60,0)),"NO RATE"))))</f>
        <v/>
      </c>
      <c r="J361" s="90" t="n"/>
      <c r="K361" s="89">
        <f>IF(OR($G361="",$H361="",NOT(ISNUMBER($I361))),"",ROUND($H361*$I361*(1+IF($J361="",Setup!$B$16,$J361)),2))</f>
        <v/>
      </c>
      <c r="L361" s="89">
        <f>IF($K361="","",ROUND($K361*Setup!$B$13,2))</f>
        <v/>
      </c>
      <c r="M361" s="89">
        <f>IF($K361="","",$K361-$L361)</f>
        <v/>
      </c>
      <c r="N361" s="89">
        <f>IF(OR($M361="",$D361=""),"",ROUND($M361*IFERROR(IF(VLOOKUP($D361,Setup!$A$76:$C$87,3,FALSE)="",Setup!$B$14,VLOOKUP($D361,Setup!$A$76:$C$87,3,FALSE)),Setup!$B$14),2))</f>
        <v/>
      </c>
      <c r="O361" s="89">
        <f>IF(OR($M361="",$E361=""),"",ROUND($M361*IFERROR(IF(VLOOKUP($E361,Setup!$A$76:$C$87,3,FALSE)="",Setup!$B$15,VLOOKUP($E361,Setup!$A$76:$C$87,3,FALSE)),Setup!$B$15),2))</f>
        <v/>
      </c>
      <c r="P361" s="91" t="n"/>
      <c r="Q361" s="91" t="n"/>
      <c r="R361" s="91" t="n"/>
      <c r="S361" s="91" t="n"/>
      <c r="T361" s="91" t="n"/>
      <c r="U361" s="89">
        <f>IF($K361="","",SUM($R361:$T361))</f>
        <v/>
      </c>
      <c r="V361" s="89">
        <f>IF($K361="","",$M361-(N($N361)+N($O361)+IF($P361="",Setup!$B$17,$P361)+N($Q361))-N($U361))</f>
        <v/>
      </c>
      <c r="W361" s="86" t="n"/>
      <c r="X361" s="87" t="n"/>
      <c r="Z361" s="92">
        <f>IF($A361="","",DATE(YEAR($A361),MONTH($A361),1))</f>
        <v/>
      </c>
    </row>
    <row r="362">
      <c r="A362" s="93" t="n"/>
      <c r="B362" s="94" t="n"/>
      <c r="C362" s="94" t="n"/>
      <c r="D362" s="95" t="n"/>
      <c r="E362" s="95" t="n"/>
      <c r="F362" s="95" t="n"/>
      <c r="G362" s="95" t="n"/>
      <c r="H362" s="96" t="n"/>
      <c r="I362" s="89">
        <f>IF($G362="","",IF($F362="",IFERROR(INDEX(Setup!$C$21:$C$60,MATCH("|"&amp;UPPER(TRIM($G362)),Setup!$Q$21:$Q$60,0)),"NO RATE"),IFERROR(INDEX(Setup!$C$21:$C$60,MATCH(UPPER(TRIM($F362))&amp;"|"&amp;UPPER(TRIM($G362)),Setup!$P$21:$P$60,0)),IFERROR(INDEX(Setup!$C$21:$C$60,MATCH(UPPER(TRIM($G362))&amp;"|"&amp;UPPER(TRIM($F362)),Setup!$P$21:$P$60,0)),"NO RATE"))))</f>
        <v/>
      </c>
      <c r="J362" s="97" t="n"/>
      <c r="K362" s="89">
        <f>IF(OR($G362="",$H362="",NOT(ISNUMBER($I362))),"",ROUND($H362*$I362*(1+IF($J362="",Setup!$B$16,$J362)),2))</f>
        <v/>
      </c>
      <c r="L362" s="89">
        <f>IF($K362="","",ROUND($K362*Setup!$B$13,2))</f>
        <v/>
      </c>
      <c r="M362" s="89">
        <f>IF($K362="","",$K362-$L362)</f>
        <v/>
      </c>
      <c r="N362" s="89">
        <f>IF(OR($M362="",$D362=""),"",ROUND($M362*IFERROR(IF(VLOOKUP($D362,Setup!$A$76:$C$87,3,FALSE)="",Setup!$B$14,VLOOKUP($D362,Setup!$A$76:$C$87,3,FALSE)),Setup!$B$14),2))</f>
        <v/>
      </c>
      <c r="O362" s="89">
        <f>IF(OR($M362="",$E362=""),"",ROUND($M362*IFERROR(IF(VLOOKUP($E362,Setup!$A$76:$C$87,3,FALSE)="",Setup!$B$15,VLOOKUP($E362,Setup!$A$76:$C$87,3,FALSE)),Setup!$B$15),2))</f>
        <v/>
      </c>
      <c r="P362" s="98" t="n"/>
      <c r="Q362" s="98" t="n"/>
      <c r="R362" s="98" t="n"/>
      <c r="S362" s="98" t="n"/>
      <c r="T362" s="98" t="n"/>
      <c r="U362" s="89">
        <f>IF($K362="","",SUM($R362:$T362))</f>
        <v/>
      </c>
      <c r="V362" s="89">
        <f>IF($K362="","",$M362-(N($N362)+N($O362)+IF($P362="",Setup!$B$17,$P362)+N($Q362))-N($U362))</f>
        <v/>
      </c>
      <c r="W362" s="94" t="n"/>
      <c r="X362" s="95" t="n"/>
      <c r="Z362" s="92">
        <f>IF($A362="","",DATE(YEAR($A362),MONTH($A362),1))</f>
        <v/>
      </c>
    </row>
    <row r="363">
      <c r="A363" s="85" t="n"/>
      <c r="B363" s="86" t="n"/>
      <c r="C363" s="86" t="n"/>
      <c r="D363" s="87" t="n"/>
      <c r="E363" s="87" t="n"/>
      <c r="F363" s="87" t="n"/>
      <c r="G363" s="87" t="n"/>
      <c r="H363" s="88" t="n"/>
      <c r="I363" s="89">
        <f>IF($G363="","",IF($F363="",IFERROR(INDEX(Setup!$C$21:$C$60,MATCH("|"&amp;UPPER(TRIM($G363)),Setup!$Q$21:$Q$60,0)),"NO RATE"),IFERROR(INDEX(Setup!$C$21:$C$60,MATCH(UPPER(TRIM($F363))&amp;"|"&amp;UPPER(TRIM($G363)),Setup!$P$21:$P$60,0)),IFERROR(INDEX(Setup!$C$21:$C$60,MATCH(UPPER(TRIM($G363))&amp;"|"&amp;UPPER(TRIM($F363)),Setup!$P$21:$P$60,0)),"NO RATE"))))</f>
        <v/>
      </c>
      <c r="J363" s="90" t="n"/>
      <c r="K363" s="89">
        <f>IF(OR($G363="",$H363="",NOT(ISNUMBER($I363))),"",ROUND($H363*$I363*(1+IF($J363="",Setup!$B$16,$J363)),2))</f>
        <v/>
      </c>
      <c r="L363" s="89">
        <f>IF($K363="","",ROUND($K363*Setup!$B$13,2))</f>
        <v/>
      </c>
      <c r="M363" s="89">
        <f>IF($K363="","",$K363-$L363)</f>
        <v/>
      </c>
      <c r="N363" s="89">
        <f>IF(OR($M363="",$D363=""),"",ROUND($M363*IFERROR(IF(VLOOKUP($D363,Setup!$A$76:$C$87,3,FALSE)="",Setup!$B$14,VLOOKUP($D363,Setup!$A$76:$C$87,3,FALSE)),Setup!$B$14),2))</f>
        <v/>
      </c>
      <c r="O363" s="89">
        <f>IF(OR($M363="",$E363=""),"",ROUND($M363*IFERROR(IF(VLOOKUP($E363,Setup!$A$76:$C$87,3,FALSE)="",Setup!$B$15,VLOOKUP($E363,Setup!$A$76:$C$87,3,FALSE)),Setup!$B$15),2))</f>
        <v/>
      </c>
      <c r="P363" s="91" t="n"/>
      <c r="Q363" s="91" t="n"/>
      <c r="R363" s="91" t="n"/>
      <c r="S363" s="91" t="n"/>
      <c r="T363" s="91" t="n"/>
      <c r="U363" s="89">
        <f>IF($K363="","",SUM($R363:$T363))</f>
        <v/>
      </c>
      <c r="V363" s="89">
        <f>IF($K363="","",$M363-(N($N363)+N($O363)+IF($P363="",Setup!$B$17,$P363)+N($Q363))-N($U363))</f>
        <v/>
      </c>
      <c r="W363" s="86" t="n"/>
      <c r="X363" s="87" t="n"/>
      <c r="Z363" s="92">
        <f>IF($A363="","",DATE(YEAR($A363),MONTH($A363),1))</f>
        <v/>
      </c>
    </row>
    <row r="364">
      <c r="A364" s="93" t="n"/>
      <c r="B364" s="94" t="n"/>
      <c r="C364" s="94" t="n"/>
      <c r="D364" s="95" t="n"/>
      <c r="E364" s="95" t="n"/>
      <c r="F364" s="95" t="n"/>
      <c r="G364" s="95" t="n"/>
      <c r="H364" s="96" t="n"/>
      <c r="I364" s="89">
        <f>IF($G364="","",IF($F364="",IFERROR(INDEX(Setup!$C$21:$C$60,MATCH("|"&amp;UPPER(TRIM($G364)),Setup!$Q$21:$Q$60,0)),"NO RATE"),IFERROR(INDEX(Setup!$C$21:$C$60,MATCH(UPPER(TRIM($F364))&amp;"|"&amp;UPPER(TRIM($G364)),Setup!$P$21:$P$60,0)),IFERROR(INDEX(Setup!$C$21:$C$60,MATCH(UPPER(TRIM($G364))&amp;"|"&amp;UPPER(TRIM($F364)),Setup!$P$21:$P$60,0)),"NO RATE"))))</f>
        <v/>
      </c>
      <c r="J364" s="97" t="n"/>
      <c r="K364" s="89">
        <f>IF(OR($G364="",$H364="",NOT(ISNUMBER($I364))),"",ROUND($H364*$I364*(1+IF($J364="",Setup!$B$16,$J364)),2))</f>
        <v/>
      </c>
      <c r="L364" s="89">
        <f>IF($K364="","",ROUND($K364*Setup!$B$13,2))</f>
        <v/>
      </c>
      <c r="M364" s="89">
        <f>IF($K364="","",$K364-$L364)</f>
        <v/>
      </c>
      <c r="N364" s="89">
        <f>IF(OR($M364="",$D364=""),"",ROUND($M364*IFERROR(IF(VLOOKUP($D364,Setup!$A$76:$C$87,3,FALSE)="",Setup!$B$14,VLOOKUP($D364,Setup!$A$76:$C$87,3,FALSE)),Setup!$B$14),2))</f>
        <v/>
      </c>
      <c r="O364" s="89">
        <f>IF(OR($M364="",$E364=""),"",ROUND($M364*IFERROR(IF(VLOOKUP($E364,Setup!$A$76:$C$87,3,FALSE)="",Setup!$B$15,VLOOKUP($E364,Setup!$A$76:$C$87,3,FALSE)),Setup!$B$15),2))</f>
        <v/>
      </c>
      <c r="P364" s="98" t="n"/>
      <c r="Q364" s="98" t="n"/>
      <c r="R364" s="98" t="n"/>
      <c r="S364" s="98" t="n"/>
      <c r="T364" s="98" t="n"/>
      <c r="U364" s="89">
        <f>IF($K364="","",SUM($R364:$T364))</f>
        <v/>
      </c>
      <c r="V364" s="89">
        <f>IF($K364="","",$M364-(N($N364)+N($O364)+IF($P364="",Setup!$B$17,$P364)+N($Q364))-N($U364))</f>
        <v/>
      </c>
      <c r="W364" s="94" t="n"/>
      <c r="X364" s="95" t="n"/>
      <c r="Z364" s="92">
        <f>IF($A364="","",DATE(YEAR($A364),MONTH($A364),1))</f>
        <v/>
      </c>
    </row>
    <row r="365">
      <c r="A365" s="85" t="n"/>
      <c r="B365" s="86" t="n"/>
      <c r="C365" s="86" t="n"/>
      <c r="D365" s="87" t="n"/>
      <c r="E365" s="87" t="n"/>
      <c r="F365" s="87" t="n"/>
      <c r="G365" s="87" t="n"/>
      <c r="H365" s="88" t="n"/>
      <c r="I365" s="89">
        <f>IF($G365="","",IF($F365="",IFERROR(INDEX(Setup!$C$21:$C$60,MATCH("|"&amp;UPPER(TRIM($G365)),Setup!$Q$21:$Q$60,0)),"NO RATE"),IFERROR(INDEX(Setup!$C$21:$C$60,MATCH(UPPER(TRIM($F365))&amp;"|"&amp;UPPER(TRIM($G365)),Setup!$P$21:$P$60,0)),IFERROR(INDEX(Setup!$C$21:$C$60,MATCH(UPPER(TRIM($G365))&amp;"|"&amp;UPPER(TRIM($F365)),Setup!$P$21:$P$60,0)),"NO RATE"))))</f>
        <v/>
      </c>
      <c r="J365" s="90" t="n"/>
      <c r="K365" s="89">
        <f>IF(OR($G365="",$H365="",NOT(ISNUMBER($I365))),"",ROUND($H365*$I365*(1+IF($J365="",Setup!$B$16,$J365)),2))</f>
        <v/>
      </c>
      <c r="L365" s="89">
        <f>IF($K365="","",ROUND($K365*Setup!$B$13,2))</f>
        <v/>
      </c>
      <c r="M365" s="89">
        <f>IF($K365="","",$K365-$L365)</f>
        <v/>
      </c>
      <c r="N365" s="89">
        <f>IF(OR($M365="",$D365=""),"",ROUND($M365*IFERROR(IF(VLOOKUP($D365,Setup!$A$76:$C$87,3,FALSE)="",Setup!$B$14,VLOOKUP($D365,Setup!$A$76:$C$87,3,FALSE)),Setup!$B$14),2))</f>
        <v/>
      </c>
      <c r="O365" s="89">
        <f>IF(OR($M365="",$E365=""),"",ROUND($M365*IFERROR(IF(VLOOKUP($E365,Setup!$A$76:$C$87,3,FALSE)="",Setup!$B$15,VLOOKUP($E365,Setup!$A$76:$C$87,3,FALSE)),Setup!$B$15),2))</f>
        <v/>
      </c>
      <c r="P365" s="91" t="n"/>
      <c r="Q365" s="91" t="n"/>
      <c r="R365" s="91" t="n"/>
      <c r="S365" s="91" t="n"/>
      <c r="T365" s="91" t="n"/>
      <c r="U365" s="89">
        <f>IF($K365="","",SUM($R365:$T365))</f>
        <v/>
      </c>
      <c r="V365" s="89">
        <f>IF($K365="","",$M365-(N($N365)+N($O365)+IF($P365="",Setup!$B$17,$P365)+N($Q365))-N($U365))</f>
        <v/>
      </c>
      <c r="W365" s="86" t="n"/>
      <c r="X365" s="87" t="n"/>
      <c r="Z365" s="92">
        <f>IF($A365="","",DATE(YEAR($A365),MONTH($A365),1))</f>
        <v/>
      </c>
    </row>
    <row r="366">
      <c r="A366" s="93" t="n"/>
      <c r="B366" s="94" t="n"/>
      <c r="C366" s="94" t="n"/>
      <c r="D366" s="95" t="n"/>
      <c r="E366" s="95" t="n"/>
      <c r="F366" s="95" t="n"/>
      <c r="G366" s="95" t="n"/>
      <c r="H366" s="96" t="n"/>
      <c r="I366" s="89">
        <f>IF($G366="","",IF($F366="",IFERROR(INDEX(Setup!$C$21:$C$60,MATCH("|"&amp;UPPER(TRIM($G366)),Setup!$Q$21:$Q$60,0)),"NO RATE"),IFERROR(INDEX(Setup!$C$21:$C$60,MATCH(UPPER(TRIM($F366))&amp;"|"&amp;UPPER(TRIM($G366)),Setup!$P$21:$P$60,0)),IFERROR(INDEX(Setup!$C$21:$C$60,MATCH(UPPER(TRIM($G366))&amp;"|"&amp;UPPER(TRIM($F366)),Setup!$P$21:$P$60,0)),"NO RATE"))))</f>
        <v/>
      </c>
      <c r="J366" s="97" t="n"/>
      <c r="K366" s="89">
        <f>IF(OR($G366="",$H366="",NOT(ISNUMBER($I366))),"",ROUND($H366*$I366*(1+IF($J366="",Setup!$B$16,$J366)),2))</f>
        <v/>
      </c>
      <c r="L366" s="89">
        <f>IF($K366="","",ROUND($K366*Setup!$B$13,2))</f>
        <v/>
      </c>
      <c r="M366" s="89">
        <f>IF($K366="","",$K366-$L366)</f>
        <v/>
      </c>
      <c r="N366" s="89">
        <f>IF(OR($M366="",$D366=""),"",ROUND($M366*IFERROR(IF(VLOOKUP($D366,Setup!$A$76:$C$87,3,FALSE)="",Setup!$B$14,VLOOKUP($D366,Setup!$A$76:$C$87,3,FALSE)),Setup!$B$14),2))</f>
        <v/>
      </c>
      <c r="O366" s="89">
        <f>IF(OR($M366="",$E366=""),"",ROUND($M366*IFERROR(IF(VLOOKUP($E366,Setup!$A$76:$C$87,3,FALSE)="",Setup!$B$15,VLOOKUP($E366,Setup!$A$76:$C$87,3,FALSE)),Setup!$B$15),2))</f>
        <v/>
      </c>
      <c r="P366" s="98" t="n"/>
      <c r="Q366" s="98" t="n"/>
      <c r="R366" s="98" t="n"/>
      <c r="S366" s="98" t="n"/>
      <c r="T366" s="98" t="n"/>
      <c r="U366" s="89">
        <f>IF($K366="","",SUM($R366:$T366))</f>
        <v/>
      </c>
      <c r="V366" s="89">
        <f>IF($K366="","",$M366-(N($N366)+N($O366)+IF($P366="",Setup!$B$17,$P366)+N($Q366))-N($U366))</f>
        <v/>
      </c>
      <c r="W366" s="94" t="n"/>
      <c r="X366" s="95" t="n"/>
      <c r="Z366" s="92">
        <f>IF($A366="","",DATE(YEAR($A366),MONTH($A366),1))</f>
        <v/>
      </c>
    </row>
    <row r="367">
      <c r="A367" s="85" t="n"/>
      <c r="B367" s="86" t="n"/>
      <c r="C367" s="86" t="n"/>
      <c r="D367" s="87" t="n"/>
      <c r="E367" s="87" t="n"/>
      <c r="F367" s="87" t="n"/>
      <c r="G367" s="87" t="n"/>
      <c r="H367" s="88" t="n"/>
      <c r="I367" s="89">
        <f>IF($G367="","",IF($F367="",IFERROR(INDEX(Setup!$C$21:$C$60,MATCH("|"&amp;UPPER(TRIM($G367)),Setup!$Q$21:$Q$60,0)),"NO RATE"),IFERROR(INDEX(Setup!$C$21:$C$60,MATCH(UPPER(TRIM($F367))&amp;"|"&amp;UPPER(TRIM($G367)),Setup!$P$21:$P$60,0)),IFERROR(INDEX(Setup!$C$21:$C$60,MATCH(UPPER(TRIM($G367))&amp;"|"&amp;UPPER(TRIM($F367)),Setup!$P$21:$P$60,0)),"NO RATE"))))</f>
        <v/>
      </c>
      <c r="J367" s="90" t="n"/>
      <c r="K367" s="89">
        <f>IF(OR($G367="",$H367="",NOT(ISNUMBER($I367))),"",ROUND($H367*$I367*(1+IF($J367="",Setup!$B$16,$J367)),2))</f>
        <v/>
      </c>
      <c r="L367" s="89">
        <f>IF($K367="","",ROUND($K367*Setup!$B$13,2))</f>
        <v/>
      </c>
      <c r="M367" s="89">
        <f>IF($K367="","",$K367-$L367)</f>
        <v/>
      </c>
      <c r="N367" s="89">
        <f>IF(OR($M367="",$D367=""),"",ROUND($M367*IFERROR(IF(VLOOKUP($D367,Setup!$A$76:$C$87,3,FALSE)="",Setup!$B$14,VLOOKUP($D367,Setup!$A$76:$C$87,3,FALSE)),Setup!$B$14),2))</f>
        <v/>
      </c>
      <c r="O367" s="89">
        <f>IF(OR($M367="",$E367=""),"",ROUND($M367*IFERROR(IF(VLOOKUP($E367,Setup!$A$76:$C$87,3,FALSE)="",Setup!$B$15,VLOOKUP($E367,Setup!$A$76:$C$87,3,FALSE)),Setup!$B$15),2))</f>
        <v/>
      </c>
      <c r="P367" s="91" t="n"/>
      <c r="Q367" s="91" t="n"/>
      <c r="R367" s="91" t="n"/>
      <c r="S367" s="91" t="n"/>
      <c r="T367" s="91" t="n"/>
      <c r="U367" s="89">
        <f>IF($K367="","",SUM($R367:$T367))</f>
        <v/>
      </c>
      <c r="V367" s="89">
        <f>IF($K367="","",$M367-(N($N367)+N($O367)+IF($P367="",Setup!$B$17,$P367)+N($Q367))-N($U367))</f>
        <v/>
      </c>
      <c r="W367" s="86" t="n"/>
      <c r="X367" s="87" t="n"/>
      <c r="Z367" s="92">
        <f>IF($A367="","",DATE(YEAR($A367),MONTH($A367),1))</f>
        <v/>
      </c>
    </row>
    <row r="368">
      <c r="A368" s="93" t="n"/>
      <c r="B368" s="94" t="n"/>
      <c r="C368" s="94" t="n"/>
      <c r="D368" s="95" t="n"/>
      <c r="E368" s="95" t="n"/>
      <c r="F368" s="95" t="n"/>
      <c r="G368" s="95" t="n"/>
      <c r="H368" s="96" t="n"/>
      <c r="I368" s="89">
        <f>IF($G368="","",IF($F368="",IFERROR(INDEX(Setup!$C$21:$C$60,MATCH("|"&amp;UPPER(TRIM($G368)),Setup!$Q$21:$Q$60,0)),"NO RATE"),IFERROR(INDEX(Setup!$C$21:$C$60,MATCH(UPPER(TRIM($F368))&amp;"|"&amp;UPPER(TRIM($G368)),Setup!$P$21:$P$60,0)),IFERROR(INDEX(Setup!$C$21:$C$60,MATCH(UPPER(TRIM($G368))&amp;"|"&amp;UPPER(TRIM($F368)),Setup!$P$21:$P$60,0)),"NO RATE"))))</f>
        <v/>
      </c>
      <c r="J368" s="97" t="n"/>
      <c r="K368" s="89">
        <f>IF(OR($G368="",$H368="",NOT(ISNUMBER($I368))),"",ROUND($H368*$I368*(1+IF($J368="",Setup!$B$16,$J368)),2))</f>
        <v/>
      </c>
      <c r="L368" s="89">
        <f>IF($K368="","",ROUND($K368*Setup!$B$13,2))</f>
        <v/>
      </c>
      <c r="M368" s="89">
        <f>IF($K368="","",$K368-$L368)</f>
        <v/>
      </c>
      <c r="N368" s="89">
        <f>IF(OR($M368="",$D368=""),"",ROUND($M368*IFERROR(IF(VLOOKUP($D368,Setup!$A$76:$C$87,3,FALSE)="",Setup!$B$14,VLOOKUP($D368,Setup!$A$76:$C$87,3,FALSE)),Setup!$B$14),2))</f>
        <v/>
      </c>
      <c r="O368" s="89">
        <f>IF(OR($M368="",$E368=""),"",ROUND($M368*IFERROR(IF(VLOOKUP($E368,Setup!$A$76:$C$87,3,FALSE)="",Setup!$B$15,VLOOKUP($E368,Setup!$A$76:$C$87,3,FALSE)),Setup!$B$15),2))</f>
        <v/>
      </c>
      <c r="P368" s="98" t="n"/>
      <c r="Q368" s="98" t="n"/>
      <c r="R368" s="98" t="n"/>
      <c r="S368" s="98" t="n"/>
      <c r="T368" s="98" t="n"/>
      <c r="U368" s="89">
        <f>IF($K368="","",SUM($R368:$T368))</f>
        <v/>
      </c>
      <c r="V368" s="89">
        <f>IF($K368="","",$M368-(N($N368)+N($O368)+IF($P368="",Setup!$B$17,$P368)+N($Q368))-N($U368))</f>
        <v/>
      </c>
      <c r="W368" s="94" t="n"/>
      <c r="X368" s="95" t="n"/>
      <c r="Z368" s="92">
        <f>IF($A368="","",DATE(YEAR($A368),MONTH($A368),1))</f>
        <v/>
      </c>
    </row>
    <row r="369">
      <c r="A369" s="85" t="n"/>
      <c r="B369" s="86" t="n"/>
      <c r="C369" s="86" t="n"/>
      <c r="D369" s="87" t="n"/>
      <c r="E369" s="87" t="n"/>
      <c r="F369" s="87" t="n"/>
      <c r="G369" s="87" t="n"/>
      <c r="H369" s="88" t="n"/>
      <c r="I369" s="89">
        <f>IF($G369="","",IF($F369="",IFERROR(INDEX(Setup!$C$21:$C$60,MATCH("|"&amp;UPPER(TRIM($G369)),Setup!$Q$21:$Q$60,0)),"NO RATE"),IFERROR(INDEX(Setup!$C$21:$C$60,MATCH(UPPER(TRIM($F369))&amp;"|"&amp;UPPER(TRIM($G369)),Setup!$P$21:$P$60,0)),IFERROR(INDEX(Setup!$C$21:$C$60,MATCH(UPPER(TRIM($G369))&amp;"|"&amp;UPPER(TRIM($F369)),Setup!$P$21:$P$60,0)),"NO RATE"))))</f>
        <v/>
      </c>
      <c r="J369" s="90" t="n"/>
      <c r="K369" s="89">
        <f>IF(OR($G369="",$H369="",NOT(ISNUMBER($I369))),"",ROUND($H369*$I369*(1+IF($J369="",Setup!$B$16,$J369)),2))</f>
        <v/>
      </c>
      <c r="L369" s="89">
        <f>IF($K369="","",ROUND($K369*Setup!$B$13,2))</f>
        <v/>
      </c>
      <c r="M369" s="89">
        <f>IF($K369="","",$K369-$L369)</f>
        <v/>
      </c>
      <c r="N369" s="89">
        <f>IF(OR($M369="",$D369=""),"",ROUND($M369*IFERROR(IF(VLOOKUP($D369,Setup!$A$76:$C$87,3,FALSE)="",Setup!$B$14,VLOOKUP($D369,Setup!$A$76:$C$87,3,FALSE)),Setup!$B$14),2))</f>
        <v/>
      </c>
      <c r="O369" s="89">
        <f>IF(OR($M369="",$E369=""),"",ROUND($M369*IFERROR(IF(VLOOKUP($E369,Setup!$A$76:$C$87,3,FALSE)="",Setup!$B$15,VLOOKUP($E369,Setup!$A$76:$C$87,3,FALSE)),Setup!$B$15),2))</f>
        <v/>
      </c>
      <c r="P369" s="91" t="n"/>
      <c r="Q369" s="91" t="n"/>
      <c r="R369" s="91" t="n"/>
      <c r="S369" s="91" t="n"/>
      <c r="T369" s="91" t="n"/>
      <c r="U369" s="89">
        <f>IF($K369="","",SUM($R369:$T369))</f>
        <v/>
      </c>
      <c r="V369" s="89">
        <f>IF($K369="","",$M369-(N($N369)+N($O369)+IF($P369="",Setup!$B$17,$P369)+N($Q369))-N($U369))</f>
        <v/>
      </c>
      <c r="W369" s="86" t="n"/>
      <c r="X369" s="87" t="n"/>
      <c r="Z369" s="92">
        <f>IF($A369="","",DATE(YEAR($A369),MONTH($A369),1))</f>
        <v/>
      </c>
    </row>
    <row r="370">
      <c r="A370" s="93" t="n"/>
      <c r="B370" s="94" t="n"/>
      <c r="C370" s="94" t="n"/>
      <c r="D370" s="95" t="n"/>
      <c r="E370" s="95" t="n"/>
      <c r="F370" s="95" t="n"/>
      <c r="G370" s="95" t="n"/>
      <c r="H370" s="96" t="n"/>
      <c r="I370" s="89">
        <f>IF($G370="","",IF($F370="",IFERROR(INDEX(Setup!$C$21:$C$60,MATCH("|"&amp;UPPER(TRIM($G370)),Setup!$Q$21:$Q$60,0)),"NO RATE"),IFERROR(INDEX(Setup!$C$21:$C$60,MATCH(UPPER(TRIM($F370))&amp;"|"&amp;UPPER(TRIM($G370)),Setup!$P$21:$P$60,0)),IFERROR(INDEX(Setup!$C$21:$C$60,MATCH(UPPER(TRIM($G370))&amp;"|"&amp;UPPER(TRIM($F370)),Setup!$P$21:$P$60,0)),"NO RATE"))))</f>
        <v/>
      </c>
      <c r="J370" s="97" t="n"/>
      <c r="K370" s="89">
        <f>IF(OR($G370="",$H370="",NOT(ISNUMBER($I370))),"",ROUND($H370*$I370*(1+IF($J370="",Setup!$B$16,$J370)),2))</f>
        <v/>
      </c>
      <c r="L370" s="89">
        <f>IF($K370="","",ROUND($K370*Setup!$B$13,2))</f>
        <v/>
      </c>
      <c r="M370" s="89">
        <f>IF($K370="","",$K370-$L370)</f>
        <v/>
      </c>
      <c r="N370" s="89">
        <f>IF(OR($M370="",$D370=""),"",ROUND($M370*IFERROR(IF(VLOOKUP($D370,Setup!$A$76:$C$87,3,FALSE)="",Setup!$B$14,VLOOKUP($D370,Setup!$A$76:$C$87,3,FALSE)),Setup!$B$14),2))</f>
        <v/>
      </c>
      <c r="O370" s="89">
        <f>IF(OR($M370="",$E370=""),"",ROUND($M370*IFERROR(IF(VLOOKUP($E370,Setup!$A$76:$C$87,3,FALSE)="",Setup!$B$15,VLOOKUP($E370,Setup!$A$76:$C$87,3,FALSE)),Setup!$B$15),2))</f>
        <v/>
      </c>
      <c r="P370" s="98" t="n"/>
      <c r="Q370" s="98" t="n"/>
      <c r="R370" s="98" t="n"/>
      <c r="S370" s="98" t="n"/>
      <c r="T370" s="98" t="n"/>
      <c r="U370" s="89">
        <f>IF($K370="","",SUM($R370:$T370))</f>
        <v/>
      </c>
      <c r="V370" s="89">
        <f>IF($K370="","",$M370-(N($N370)+N($O370)+IF($P370="",Setup!$B$17,$P370)+N($Q370))-N($U370))</f>
        <v/>
      </c>
      <c r="W370" s="94" t="n"/>
      <c r="X370" s="95" t="n"/>
      <c r="Z370" s="92">
        <f>IF($A370="","",DATE(YEAR($A370),MONTH($A370),1))</f>
        <v/>
      </c>
    </row>
    <row r="371">
      <c r="A371" s="85" t="n"/>
      <c r="B371" s="86" t="n"/>
      <c r="C371" s="86" t="n"/>
      <c r="D371" s="87" t="n"/>
      <c r="E371" s="87" t="n"/>
      <c r="F371" s="87" t="n"/>
      <c r="G371" s="87" t="n"/>
      <c r="H371" s="88" t="n"/>
      <c r="I371" s="89">
        <f>IF($G371="","",IF($F371="",IFERROR(INDEX(Setup!$C$21:$C$60,MATCH("|"&amp;UPPER(TRIM($G371)),Setup!$Q$21:$Q$60,0)),"NO RATE"),IFERROR(INDEX(Setup!$C$21:$C$60,MATCH(UPPER(TRIM($F371))&amp;"|"&amp;UPPER(TRIM($G371)),Setup!$P$21:$P$60,0)),IFERROR(INDEX(Setup!$C$21:$C$60,MATCH(UPPER(TRIM($G371))&amp;"|"&amp;UPPER(TRIM($F371)),Setup!$P$21:$P$60,0)),"NO RATE"))))</f>
        <v/>
      </c>
      <c r="J371" s="90" t="n"/>
      <c r="K371" s="89">
        <f>IF(OR($G371="",$H371="",NOT(ISNUMBER($I371))),"",ROUND($H371*$I371*(1+IF($J371="",Setup!$B$16,$J371)),2))</f>
        <v/>
      </c>
      <c r="L371" s="89">
        <f>IF($K371="","",ROUND($K371*Setup!$B$13,2))</f>
        <v/>
      </c>
      <c r="M371" s="89">
        <f>IF($K371="","",$K371-$L371)</f>
        <v/>
      </c>
      <c r="N371" s="89">
        <f>IF(OR($M371="",$D371=""),"",ROUND($M371*IFERROR(IF(VLOOKUP($D371,Setup!$A$76:$C$87,3,FALSE)="",Setup!$B$14,VLOOKUP($D371,Setup!$A$76:$C$87,3,FALSE)),Setup!$B$14),2))</f>
        <v/>
      </c>
      <c r="O371" s="89">
        <f>IF(OR($M371="",$E371=""),"",ROUND($M371*IFERROR(IF(VLOOKUP($E371,Setup!$A$76:$C$87,3,FALSE)="",Setup!$B$15,VLOOKUP($E371,Setup!$A$76:$C$87,3,FALSE)),Setup!$B$15),2))</f>
        <v/>
      </c>
      <c r="P371" s="91" t="n"/>
      <c r="Q371" s="91" t="n"/>
      <c r="R371" s="91" t="n"/>
      <c r="S371" s="91" t="n"/>
      <c r="T371" s="91" t="n"/>
      <c r="U371" s="89">
        <f>IF($K371="","",SUM($R371:$T371))</f>
        <v/>
      </c>
      <c r="V371" s="89">
        <f>IF($K371="","",$M371-(N($N371)+N($O371)+IF($P371="",Setup!$B$17,$P371)+N($Q371))-N($U371))</f>
        <v/>
      </c>
      <c r="W371" s="86" t="n"/>
      <c r="X371" s="87" t="n"/>
      <c r="Z371" s="92">
        <f>IF($A371="","",DATE(YEAR($A371),MONTH($A371),1))</f>
        <v/>
      </c>
    </row>
    <row r="372">
      <c r="A372" s="93" t="n"/>
      <c r="B372" s="94" t="n"/>
      <c r="C372" s="94" t="n"/>
      <c r="D372" s="95" t="n"/>
      <c r="E372" s="95" t="n"/>
      <c r="F372" s="95" t="n"/>
      <c r="G372" s="95" t="n"/>
      <c r="H372" s="96" t="n"/>
      <c r="I372" s="89">
        <f>IF($G372="","",IF($F372="",IFERROR(INDEX(Setup!$C$21:$C$60,MATCH("|"&amp;UPPER(TRIM($G372)),Setup!$Q$21:$Q$60,0)),"NO RATE"),IFERROR(INDEX(Setup!$C$21:$C$60,MATCH(UPPER(TRIM($F372))&amp;"|"&amp;UPPER(TRIM($G372)),Setup!$P$21:$P$60,0)),IFERROR(INDEX(Setup!$C$21:$C$60,MATCH(UPPER(TRIM($G372))&amp;"|"&amp;UPPER(TRIM($F372)),Setup!$P$21:$P$60,0)),"NO RATE"))))</f>
        <v/>
      </c>
      <c r="J372" s="97" t="n"/>
      <c r="K372" s="89">
        <f>IF(OR($G372="",$H372="",NOT(ISNUMBER($I372))),"",ROUND($H372*$I372*(1+IF($J372="",Setup!$B$16,$J372)),2))</f>
        <v/>
      </c>
      <c r="L372" s="89">
        <f>IF($K372="","",ROUND($K372*Setup!$B$13,2))</f>
        <v/>
      </c>
      <c r="M372" s="89">
        <f>IF($K372="","",$K372-$L372)</f>
        <v/>
      </c>
      <c r="N372" s="89">
        <f>IF(OR($M372="",$D372=""),"",ROUND($M372*IFERROR(IF(VLOOKUP($D372,Setup!$A$76:$C$87,3,FALSE)="",Setup!$B$14,VLOOKUP($D372,Setup!$A$76:$C$87,3,FALSE)),Setup!$B$14),2))</f>
        <v/>
      </c>
      <c r="O372" s="89">
        <f>IF(OR($M372="",$E372=""),"",ROUND($M372*IFERROR(IF(VLOOKUP($E372,Setup!$A$76:$C$87,3,FALSE)="",Setup!$B$15,VLOOKUP($E372,Setup!$A$76:$C$87,3,FALSE)),Setup!$B$15),2))</f>
        <v/>
      </c>
      <c r="P372" s="98" t="n"/>
      <c r="Q372" s="98" t="n"/>
      <c r="R372" s="98" t="n"/>
      <c r="S372" s="98" t="n"/>
      <c r="T372" s="98" t="n"/>
      <c r="U372" s="89">
        <f>IF($K372="","",SUM($R372:$T372))</f>
        <v/>
      </c>
      <c r="V372" s="89">
        <f>IF($K372="","",$M372-(N($N372)+N($O372)+IF($P372="",Setup!$B$17,$P372)+N($Q372))-N($U372))</f>
        <v/>
      </c>
      <c r="W372" s="94" t="n"/>
      <c r="X372" s="95" t="n"/>
      <c r="Z372" s="92">
        <f>IF($A372="","",DATE(YEAR($A372),MONTH($A372),1))</f>
        <v/>
      </c>
    </row>
    <row r="373">
      <c r="A373" s="85" t="n"/>
      <c r="B373" s="86" t="n"/>
      <c r="C373" s="86" t="n"/>
      <c r="D373" s="87" t="n"/>
      <c r="E373" s="87" t="n"/>
      <c r="F373" s="87" t="n"/>
      <c r="G373" s="87" t="n"/>
      <c r="H373" s="88" t="n"/>
      <c r="I373" s="89">
        <f>IF($G373="","",IF($F373="",IFERROR(INDEX(Setup!$C$21:$C$60,MATCH("|"&amp;UPPER(TRIM($G373)),Setup!$Q$21:$Q$60,0)),"NO RATE"),IFERROR(INDEX(Setup!$C$21:$C$60,MATCH(UPPER(TRIM($F373))&amp;"|"&amp;UPPER(TRIM($G373)),Setup!$P$21:$P$60,0)),IFERROR(INDEX(Setup!$C$21:$C$60,MATCH(UPPER(TRIM($G373))&amp;"|"&amp;UPPER(TRIM($F373)),Setup!$P$21:$P$60,0)),"NO RATE"))))</f>
        <v/>
      </c>
      <c r="J373" s="90" t="n"/>
      <c r="K373" s="89">
        <f>IF(OR($G373="",$H373="",NOT(ISNUMBER($I373))),"",ROUND($H373*$I373*(1+IF($J373="",Setup!$B$16,$J373)),2))</f>
        <v/>
      </c>
      <c r="L373" s="89">
        <f>IF($K373="","",ROUND($K373*Setup!$B$13,2))</f>
        <v/>
      </c>
      <c r="M373" s="89">
        <f>IF($K373="","",$K373-$L373)</f>
        <v/>
      </c>
      <c r="N373" s="89">
        <f>IF(OR($M373="",$D373=""),"",ROUND($M373*IFERROR(IF(VLOOKUP($D373,Setup!$A$76:$C$87,3,FALSE)="",Setup!$B$14,VLOOKUP($D373,Setup!$A$76:$C$87,3,FALSE)),Setup!$B$14),2))</f>
        <v/>
      </c>
      <c r="O373" s="89">
        <f>IF(OR($M373="",$E373=""),"",ROUND($M373*IFERROR(IF(VLOOKUP($E373,Setup!$A$76:$C$87,3,FALSE)="",Setup!$B$15,VLOOKUP($E373,Setup!$A$76:$C$87,3,FALSE)),Setup!$B$15),2))</f>
        <v/>
      </c>
      <c r="P373" s="91" t="n"/>
      <c r="Q373" s="91" t="n"/>
      <c r="R373" s="91" t="n"/>
      <c r="S373" s="91" t="n"/>
      <c r="T373" s="91" t="n"/>
      <c r="U373" s="89">
        <f>IF($K373="","",SUM($R373:$T373))</f>
        <v/>
      </c>
      <c r="V373" s="89">
        <f>IF($K373="","",$M373-(N($N373)+N($O373)+IF($P373="",Setup!$B$17,$P373)+N($Q373))-N($U373))</f>
        <v/>
      </c>
      <c r="W373" s="86" t="n"/>
      <c r="X373" s="87" t="n"/>
      <c r="Z373" s="92">
        <f>IF($A373="","",DATE(YEAR($A373),MONTH($A373),1))</f>
        <v/>
      </c>
    </row>
    <row r="374">
      <c r="A374" s="93" t="n"/>
      <c r="B374" s="94" t="n"/>
      <c r="C374" s="94" t="n"/>
      <c r="D374" s="95" t="n"/>
      <c r="E374" s="95" t="n"/>
      <c r="F374" s="95" t="n"/>
      <c r="G374" s="95" t="n"/>
      <c r="H374" s="96" t="n"/>
      <c r="I374" s="89">
        <f>IF($G374="","",IF($F374="",IFERROR(INDEX(Setup!$C$21:$C$60,MATCH("|"&amp;UPPER(TRIM($G374)),Setup!$Q$21:$Q$60,0)),"NO RATE"),IFERROR(INDEX(Setup!$C$21:$C$60,MATCH(UPPER(TRIM($F374))&amp;"|"&amp;UPPER(TRIM($G374)),Setup!$P$21:$P$60,0)),IFERROR(INDEX(Setup!$C$21:$C$60,MATCH(UPPER(TRIM($G374))&amp;"|"&amp;UPPER(TRIM($F374)),Setup!$P$21:$P$60,0)),"NO RATE"))))</f>
        <v/>
      </c>
      <c r="J374" s="97" t="n"/>
      <c r="K374" s="89">
        <f>IF(OR($G374="",$H374="",NOT(ISNUMBER($I374))),"",ROUND($H374*$I374*(1+IF($J374="",Setup!$B$16,$J374)),2))</f>
        <v/>
      </c>
      <c r="L374" s="89">
        <f>IF($K374="","",ROUND($K374*Setup!$B$13,2))</f>
        <v/>
      </c>
      <c r="M374" s="89">
        <f>IF($K374="","",$K374-$L374)</f>
        <v/>
      </c>
      <c r="N374" s="89">
        <f>IF(OR($M374="",$D374=""),"",ROUND($M374*IFERROR(IF(VLOOKUP($D374,Setup!$A$76:$C$87,3,FALSE)="",Setup!$B$14,VLOOKUP($D374,Setup!$A$76:$C$87,3,FALSE)),Setup!$B$14),2))</f>
        <v/>
      </c>
      <c r="O374" s="89">
        <f>IF(OR($M374="",$E374=""),"",ROUND($M374*IFERROR(IF(VLOOKUP($E374,Setup!$A$76:$C$87,3,FALSE)="",Setup!$B$15,VLOOKUP($E374,Setup!$A$76:$C$87,3,FALSE)),Setup!$B$15),2))</f>
        <v/>
      </c>
      <c r="P374" s="98" t="n"/>
      <c r="Q374" s="98" t="n"/>
      <c r="R374" s="98" t="n"/>
      <c r="S374" s="98" t="n"/>
      <c r="T374" s="98" t="n"/>
      <c r="U374" s="89">
        <f>IF($K374="","",SUM($R374:$T374))</f>
        <v/>
      </c>
      <c r="V374" s="89">
        <f>IF($K374="","",$M374-(N($N374)+N($O374)+IF($P374="",Setup!$B$17,$P374)+N($Q374))-N($U374))</f>
        <v/>
      </c>
      <c r="W374" s="94" t="n"/>
      <c r="X374" s="95" t="n"/>
      <c r="Z374" s="92">
        <f>IF($A374="","",DATE(YEAR($A374),MONTH($A374),1))</f>
        <v/>
      </c>
    </row>
    <row r="375">
      <c r="A375" s="85" t="n"/>
      <c r="B375" s="86" t="n"/>
      <c r="C375" s="86" t="n"/>
      <c r="D375" s="87" t="n"/>
      <c r="E375" s="87" t="n"/>
      <c r="F375" s="87" t="n"/>
      <c r="G375" s="87" t="n"/>
      <c r="H375" s="88" t="n"/>
      <c r="I375" s="89">
        <f>IF($G375="","",IF($F375="",IFERROR(INDEX(Setup!$C$21:$C$60,MATCH("|"&amp;UPPER(TRIM($G375)),Setup!$Q$21:$Q$60,0)),"NO RATE"),IFERROR(INDEX(Setup!$C$21:$C$60,MATCH(UPPER(TRIM($F375))&amp;"|"&amp;UPPER(TRIM($G375)),Setup!$P$21:$P$60,0)),IFERROR(INDEX(Setup!$C$21:$C$60,MATCH(UPPER(TRIM($G375))&amp;"|"&amp;UPPER(TRIM($F375)),Setup!$P$21:$P$60,0)),"NO RATE"))))</f>
        <v/>
      </c>
      <c r="J375" s="90" t="n"/>
      <c r="K375" s="89">
        <f>IF(OR($G375="",$H375="",NOT(ISNUMBER($I375))),"",ROUND($H375*$I375*(1+IF($J375="",Setup!$B$16,$J375)),2))</f>
        <v/>
      </c>
      <c r="L375" s="89">
        <f>IF($K375="","",ROUND($K375*Setup!$B$13,2))</f>
        <v/>
      </c>
      <c r="M375" s="89">
        <f>IF($K375="","",$K375-$L375)</f>
        <v/>
      </c>
      <c r="N375" s="89">
        <f>IF(OR($M375="",$D375=""),"",ROUND($M375*IFERROR(IF(VLOOKUP($D375,Setup!$A$76:$C$87,3,FALSE)="",Setup!$B$14,VLOOKUP($D375,Setup!$A$76:$C$87,3,FALSE)),Setup!$B$14),2))</f>
        <v/>
      </c>
      <c r="O375" s="89">
        <f>IF(OR($M375="",$E375=""),"",ROUND($M375*IFERROR(IF(VLOOKUP($E375,Setup!$A$76:$C$87,3,FALSE)="",Setup!$B$15,VLOOKUP($E375,Setup!$A$76:$C$87,3,FALSE)),Setup!$B$15),2))</f>
        <v/>
      </c>
      <c r="P375" s="91" t="n"/>
      <c r="Q375" s="91" t="n"/>
      <c r="R375" s="91" t="n"/>
      <c r="S375" s="91" t="n"/>
      <c r="T375" s="91" t="n"/>
      <c r="U375" s="89">
        <f>IF($K375="","",SUM($R375:$T375))</f>
        <v/>
      </c>
      <c r="V375" s="89">
        <f>IF($K375="","",$M375-(N($N375)+N($O375)+IF($P375="",Setup!$B$17,$P375)+N($Q375))-N($U375))</f>
        <v/>
      </c>
      <c r="W375" s="86" t="n"/>
      <c r="X375" s="87" t="n"/>
      <c r="Z375" s="92">
        <f>IF($A375="","",DATE(YEAR($A375),MONTH($A375),1))</f>
        <v/>
      </c>
    </row>
    <row r="376">
      <c r="A376" s="93" t="n"/>
      <c r="B376" s="94" t="n"/>
      <c r="C376" s="94" t="n"/>
      <c r="D376" s="95" t="n"/>
      <c r="E376" s="95" t="n"/>
      <c r="F376" s="95" t="n"/>
      <c r="G376" s="95" t="n"/>
      <c r="H376" s="96" t="n"/>
      <c r="I376" s="89">
        <f>IF($G376="","",IF($F376="",IFERROR(INDEX(Setup!$C$21:$C$60,MATCH("|"&amp;UPPER(TRIM($G376)),Setup!$Q$21:$Q$60,0)),"NO RATE"),IFERROR(INDEX(Setup!$C$21:$C$60,MATCH(UPPER(TRIM($F376))&amp;"|"&amp;UPPER(TRIM($G376)),Setup!$P$21:$P$60,0)),IFERROR(INDEX(Setup!$C$21:$C$60,MATCH(UPPER(TRIM($G376))&amp;"|"&amp;UPPER(TRIM($F376)),Setup!$P$21:$P$60,0)),"NO RATE"))))</f>
        <v/>
      </c>
      <c r="J376" s="97" t="n"/>
      <c r="K376" s="89">
        <f>IF(OR($G376="",$H376="",NOT(ISNUMBER($I376))),"",ROUND($H376*$I376*(1+IF($J376="",Setup!$B$16,$J376)),2))</f>
        <v/>
      </c>
      <c r="L376" s="89">
        <f>IF($K376="","",ROUND($K376*Setup!$B$13,2))</f>
        <v/>
      </c>
      <c r="M376" s="89">
        <f>IF($K376="","",$K376-$L376)</f>
        <v/>
      </c>
      <c r="N376" s="89">
        <f>IF(OR($M376="",$D376=""),"",ROUND($M376*IFERROR(IF(VLOOKUP($D376,Setup!$A$76:$C$87,3,FALSE)="",Setup!$B$14,VLOOKUP($D376,Setup!$A$76:$C$87,3,FALSE)),Setup!$B$14),2))</f>
        <v/>
      </c>
      <c r="O376" s="89">
        <f>IF(OR($M376="",$E376=""),"",ROUND($M376*IFERROR(IF(VLOOKUP($E376,Setup!$A$76:$C$87,3,FALSE)="",Setup!$B$15,VLOOKUP($E376,Setup!$A$76:$C$87,3,FALSE)),Setup!$B$15),2))</f>
        <v/>
      </c>
      <c r="P376" s="98" t="n"/>
      <c r="Q376" s="98" t="n"/>
      <c r="R376" s="98" t="n"/>
      <c r="S376" s="98" t="n"/>
      <c r="T376" s="98" t="n"/>
      <c r="U376" s="89">
        <f>IF($K376="","",SUM($R376:$T376))</f>
        <v/>
      </c>
      <c r="V376" s="89">
        <f>IF($K376="","",$M376-(N($N376)+N($O376)+IF($P376="",Setup!$B$17,$P376)+N($Q376))-N($U376))</f>
        <v/>
      </c>
      <c r="W376" s="94" t="n"/>
      <c r="X376" s="95" t="n"/>
      <c r="Z376" s="92">
        <f>IF($A376="","",DATE(YEAR($A376),MONTH($A376),1))</f>
        <v/>
      </c>
    </row>
    <row r="377">
      <c r="A377" s="85" t="n"/>
      <c r="B377" s="86" t="n"/>
      <c r="C377" s="86" t="n"/>
      <c r="D377" s="87" t="n"/>
      <c r="E377" s="87" t="n"/>
      <c r="F377" s="87" t="n"/>
      <c r="G377" s="87" t="n"/>
      <c r="H377" s="88" t="n"/>
      <c r="I377" s="89">
        <f>IF($G377="","",IF($F377="",IFERROR(INDEX(Setup!$C$21:$C$60,MATCH("|"&amp;UPPER(TRIM($G377)),Setup!$Q$21:$Q$60,0)),"NO RATE"),IFERROR(INDEX(Setup!$C$21:$C$60,MATCH(UPPER(TRIM($F377))&amp;"|"&amp;UPPER(TRIM($G377)),Setup!$P$21:$P$60,0)),IFERROR(INDEX(Setup!$C$21:$C$60,MATCH(UPPER(TRIM($G377))&amp;"|"&amp;UPPER(TRIM($F377)),Setup!$P$21:$P$60,0)),"NO RATE"))))</f>
        <v/>
      </c>
      <c r="J377" s="90" t="n"/>
      <c r="K377" s="89">
        <f>IF(OR($G377="",$H377="",NOT(ISNUMBER($I377))),"",ROUND($H377*$I377*(1+IF($J377="",Setup!$B$16,$J377)),2))</f>
        <v/>
      </c>
      <c r="L377" s="89">
        <f>IF($K377="","",ROUND($K377*Setup!$B$13,2))</f>
        <v/>
      </c>
      <c r="M377" s="89">
        <f>IF($K377="","",$K377-$L377)</f>
        <v/>
      </c>
      <c r="N377" s="89">
        <f>IF(OR($M377="",$D377=""),"",ROUND($M377*IFERROR(IF(VLOOKUP($D377,Setup!$A$76:$C$87,3,FALSE)="",Setup!$B$14,VLOOKUP($D377,Setup!$A$76:$C$87,3,FALSE)),Setup!$B$14),2))</f>
        <v/>
      </c>
      <c r="O377" s="89">
        <f>IF(OR($M377="",$E377=""),"",ROUND($M377*IFERROR(IF(VLOOKUP($E377,Setup!$A$76:$C$87,3,FALSE)="",Setup!$B$15,VLOOKUP($E377,Setup!$A$76:$C$87,3,FALSE)),Setup!$B$15),2))</f>
        <v/>
      </c>
      <c r="P377" s="91" t="n"/>
      <c r="Q377" s="91" t="n"/>
      <c r="R377" s="91" t="n"/>
      <c r="S377" s="91" t="n"/>
      <c r="T377" s="91" t="n"/>
      <c r="U377" s="89">
        <f>IF($K377="","",SUM($R377:$T377))</f>
        <v/>
      </c>
      <c r="V377" s="89">
        <f>IF($K377="","",$M377-(N($N377)+N($O377)+IF($P377="",Setup!$B$17,$P377)+N($Q377))-N($U377))</f>
        <v/>
      </c>
      <c r="W377" s="86" t="n"/>
      <c r="X377" s="87" t="n"/>
      <c r="Z377" s="92">
        <f>IF($A377="","",DATE(YEAR($A377),MONTH($A377),1))</f>
        <v/>
      </c>
    </row>
    <row r="378">
      <c r="A378" s="93" t="n"/>
      <c r="B378" s="94" t="n"/>
      <c r="C378" s="94" t="n"/>
      <c r="D378" s="95" t="n"/>
      <c r="E378" s="95" t="n"/>
      <c r="F378" s="95" t="n"/>
      <c r="G378" s="95" t="n"/>
      <c r="H378" s="96" t="n"/>
      <c r="I378" s="89">
        <f>IF($G378="","",IF($F378="",IFERROR(INDEX(Setup!$C$21:$C$60,MATCH("|"&amp;UPPER(TRIM($G378)),Setup!$Q$21:$Q$60,0)),"NO RATE"),IFERROR(INDEX(Setup!$C$21:$C$60,MATCH(UPPER(TRIM($F378))&amp;"|"&amp;UPPER(TRIM($G378)),Setup!$P$21:$P$60,0)),IFERROR(INDEX(Setup!$C$21:$C$60,MATCH(UPPER(TRIM($G378))&amp;"|"&amp;UPPER(TRIM($F378)),Setup!$P$21:$P$60,0)),"NO RATE"))))</f>
        <v/>
      </c>
      <c r="J378" s="97" t="n"/>
      <c r="K378" s="89">
        <f>IF(OR($G378="",$H378="",NOT(ISNUMBER($I378))),"",ROUND($H378*$I378*(1+IF($J378="",Setup!$B$16,$J378)),2))</f>
        <v/>
      </c>
      <c r="L378" s="89">
        <f>IF($K378="","",ROUND($K378*Setup!$B$13,2))</f>
        <v/>
      </c>
      <c r="M378" s="89">
        <f>IF($K378="","",$K378-$L378)</f>
        <v/>
      </c>
      <c r="N378" s="89">
        <f>IF(OR($M378="",$D378=""),"",ROUND($M378*IFERROR(IF(VLOOKUP($D378,Setup!$A$76:$C$87,3,FALSE)="",Setup!$B$14,VLOOKUP($D378,Setup!$A$76:$C$87,3,FALSE)),Setup!$B$14),2))</f>
        <v/>
      </c>
      <c r="O378" s="89">
        <f>IF(OR($M378="",$E378=""),"",ROUND($M378*IFERROR(IF(VLOOKUP($E378,Setup!$A$76:$C$87,3,FALSE)="",Setup!$B$15,VLOOKUP($E378,Setup!$A$76:$C$87,3,FALSE)),Setup!$B$15),2))</f>
        <v/>
      </c>
      <c r="P378" s="98" t="n"/>
      <c r="Q378" s="98" t="n"/>
      <c r="R378" s="98" t="n"/>
      <c r="S378" s="98" t="n"/>
      <c r="T378" s="98" t="n"/>
      <c r="U378" s="89">
        <f>IF($K378="","",SUM($R378:$T378))</f>
        <v/>
      </c>
      <c r="V378" s="89">
        <f>IF($K378="","",$M378-(N($N378)+N($O378)+IF($P378="",Setup!$B$17,$P378)+N($Q378))-N($U378))</f>
        <v/>
      </c>
      <c r="W378" s="94" t="n"/>
      <c r="X378" s="95" t="n"/>
      <c r="Z378" s="92">
        <f>IF($A378="","",DATE(YEAR($A378),MONTH($A378),1))</f>
        <v/>
      </c>
    </row>
    <row r="379">
      <c r="A379" s="85" t="n"/>
      <c r="B379" s="86" t="n"/>
      <c r="C379" s="86" t="n"/>
      <c r="D379" s="87" t="n"/>
      <c r="E379" s="87" t="n"/>
      <c r="F379" s="87" t="n"/>
      <c r="G379" s="87" t="n"/>
      <c r="H379" s="88" t="n"/>
      <c r="I379" s="89">
        <f>IF($G379="","",IF($F379="",IFERROR(INDEX(Setup!$C$21:$C$60,MATCH("|"&amp;UPPER(TRIM($G379)),Setup!$Q$21:$Q$60,0)),"NO RATE"),IFERROR(INDEX(Setup!$C$21:$C$60,MATCH(UPPER(TRIM($F379))&amp;"|"&amp;UPPER(TRIM($G379)),Setup!$P$21:$P$60,0)),IFERROR(INDEX(Setup!$C$21:$C$60,MATCH(UPPER(TRIM($G379))&amp;"|"&amp;UPPER(TRIM($F379)),Setup!$P$21:$P$60,0)),"NO RATE"))))</f>
        <v/>
      </c>
      <c r="J379" s="90" t="n"/>
      <c r="K379" s="89">
        <f>IF(OR($G379="",$H379="",NOT(ISNUMBER($I379))),"",ROUND($H379*$I379*(1+IF($J379="",Setup!$B$16,$J379)),2))</f>
        <v/>
      </c>
      <c r="L379" s="89">
        <f>IF($K379="","",ROUND($K379*Setup!$B$13,2))</f>
        <v/>
      </c>
      <c r="M379" s="89">
        <f>IF($K379="","",$K379-$L379)</f>
        <v/>
      </c>
      <c r="N379" s="89">
        <f>IF(OR($M379="",$D379=""),"",ROUND($M379*IFERROR(IF(VLOOKUP($D379,Setup!$A$76:$C$87,3,FALSE)="",Setup!$B$14,VLOOKUP($D379,Setup!$A$76:$C$87,3,FALSE)),Setup!$B$14),2))</f>
        <v/>
      </c>
      <c r="O379" s="89">
        <f>IF(OR($M379="",$E379=""),"",ROUND($M379*IFERROR(IF(VLOOKUP($E379,Setup!$A$76:$C$87,3,FALSE)="",Setup!$B$15,VLOOKUP($E379,Setup!$A$76:$C$87,3,FALSE)),Setup!$B$15),2))</f>
        <v/>
      </c>
      <c r="P379" s="91" t="n"/>
      <c r="Q379" s="91" t="n"/>
      <c r="R379" s="91" t="n"/>
      <c r="S379" s="91" t="n"/>
      <c r="T379" s="91" t="n"/>
      <c r="U379" s="89">
        <f>IF($K379="","",SUM($R379:$T379))</f>
        <v/>
      </c>
      <c r="V379" s="89">
        <f>IF($K379="","",$M379-(N($N379)+N($O379)+IF($P379="",Setup!$B$17,$P379)+N($Q379))-N($U379))</f>
        <v/>
      </c>
      <c r="W379" s="86" t="n"/>
      <c r="X379" s="87" t="n"/>
      <c r="Z379" s="92">
        <f>IF($A379="","",DATE(YEAR($A379),MONTH($A379),1))</f>
        <v/>
      </c>
    </row>
    <row r="380">
      <c r="A380" s="93" t="n"/>
      <c r="B380" s="94" t="n"/>
      <c r="C380" s="94" t="n"/>
      <c r="D380" s="95" t="n"/>
      <c r="E380" s="95" t="n"/>
      <c r="F380" s="95" t="n"/>
      <c r="G380" s="95" t="n"/>
      <c r="H380" s="96" t="n"/>
      <c r="I380" s="89">
        <f>IF($G380="","",IF($F380="",IFERROR(INDEX(Setup!$C$21:$C$60,MATCH("|"&amp;UPPER(TRIM($G380)),Setup!$Q$21:$Q$60,0)),"NO RATE"),IFERROR(INDEX(Setup!$C$21:$C$60,MATCH(UPPER(TRIM($F380))&amp;"|"&amp;UPPER(TRIM($G380)),Setup!$P$21:$P$60,0)),IFERROR(INDEX(Setup!$C$21:$C$60,MATCH(UPPER(TRIM($G380))&amp;"|"&amp;UPPER(TRIM($F380)),Setup!$P$21:$P$60,0)),"NO RATE"))))</f>
        <v/>
      </c>
      <c r="J380" s="97" t="n"/>
      <c r="K380" s="89">
        <f>IF(OR($G380="",$H380="",NOT(ISNUMBER($I380))),"",ROUND($H380*$I380*(1+IF($J380="",Setup!$B$16,$J380)),2))</f>
        <v/>
      </c>
      <c r="L380" s="89">
        <f>IF($K380="","",ROUND($K380*Setup!$B$13,2))</f>
        <v/>
      </c>
      <c r="M380" s="89">
        <f>IF($K380="","",$K380-$L380)</f>
        <v/>
      </c>
      <c r="N380" s="89">
        <f>IF(OR($M380="",$D380=""),"",ROUND($M380*IFERROR(IF(VLOOKUP($D380,Setup!$A$76:$C$87,3,FALSE)="",Setup!$B$14,VLOOKUP($D380,Setup!$A$76:$C$87,3,FALSE)),Setup!$B$14),2))</f>
        <v/>
      </c>
      <c r="O380" s="89">
        <f>IF(OR($M380="",$E380=""),"",ROUND($M380*IFERROR(IF(VLOOKUP($E380,Setup!$A$76:$C$87,3,FALSE)="",Setup!$B$15,VLOOKUP($E380,Setup!$A$76:$C$87,3,FALSE)),Setup!$B$15),2))</f>
        <v/>
      </c>
      <c r="P380" s="98" t="n"/>
      <c r="Q380" s="98" t="n"/>
      <c r="R380" s="98" t="n"/>
      <c r="S380" s="98" t="n"/>
      <c r="T380" s="98" t="n"/>
      <c r="U380" s="89">
        <f>IF($K380="","",SUM($R380:$T380))</f>
        <v/>
      </c>
      <c r="V380" s="89">
        <f>IF($K380="","",$M380-(N($N380)+N($O380)+IF($P380="",Setup!$B$17,$P380)+N($Q380))-N($U380))</f>
        <v/>
      </c>
      <c r="W380" s="94" t="n"/>
      <c r="X380" s="95" t="n"/>
      <c r="Z380" s="92">
        <f>IF($A380="","",DATE(YEAR($A380),MONTH($A380),1))</f>
        <v/>
      </c>
    </row>
    <row r="381">
      <c r="A381" s="85" t="n"/>
      <c r="B381" s="86" t="n"/>
      <c r="C381" s="86" t="n"/>
      <c r="D381" s="87" t="n"/>
      <c r="E381" s="87" t="n"/>
      <c r="F381" s="87" t="n"/>
      <c r="G381" s="87" t="n"/>
      <c r="H381" s="88" t="n"/>
      <c r="I381" s="89">
        <f>IF($G381="","",IF($F381="",IFERROR(INDEX(Setup!$C$21:$C$60,MATCH("|"&amp;UPPER(TRIM($G381)),Setup!$Q$21:$Q$60,0)),"NO RATE"),IFERROR(INDEX(Setup!$C$21:$C$60,MATCH(UPPER(TRIM($F381))&amp;"|"&amp;UPPER(TRIM($G381)),Setup!$P$21:$P$60,0)),IFERROR(INDEX(Setup!$C$21:$C$60,MATCH(UPPER(TRIM($G381))&amp;"|"&amp;UPPER(TRIM($F381)),Setup!$P$21:$P$60,0)),"NO RATE"))))</f>
        <v/>
      </c>
      <c r="J381" s="90" t="n"/>
      <c r="K381" s="89">
        <f>IF(OR($G381="",$H381="",NOT(ISNUMBER($I381))),"",ROUND($H381*$I381*(1+IF($J381="",Setup!$B$16,$J381)),2))</f>
        <v/>
      </c>
      <c r="L381" s="89">
        <f>IF($K381="","",ROUND($K381*Setup!$B$13,2))</f>
        <v/>
      </c>
      <c r="M381" s="89">
        <f>IF($K381="","",$K381-$L381)</f>
        <v/>
      </c>
      <c r="N381" s="89">
        <f>IF(OR($M381="",$D381=""),"",ROUND($M381*IFERROR(IF(VLOOKUP($D381,Setup!$A$76:$C$87,3,FALSE)="",Setup!$B$14,VLOOKUP($D381,Setup!$A$76:$C$87,3,FALSE)),Setup!$B$14),2))</f>
        <v/>
      </c>
      <c r="O381" s="89">
        <f>IF(OR($M381="",$E381=""),"",ROUND($M381*IFERROR(IF(VLOOKUP($E381,Setup!$A$76:$C$87,3,FALSE)="",Setup!$B$15,VLOOKUP($E381,Setup!$A$76:$C$87,3,FALSE)),Setup!$B$15),2))</f>
        <v/>
      </c>
      <c r="P381" s="91" t="n"/>
      <c r="Q381" s="91" t="n"/>
      <c r="R381" s="91" t="n"/>
      <c r="S381" s="91" t="n"/>
      <c r="T381" s="91" t="n"/>
      <c r="U381" s="89">
        <f>IF($K381="","",SUM($R381:$T381))</f>
        <v/>
      </c>
      <c r="V381" s="89">
        <f>IF($K381="","",$M381-(N($N381)+N($O381)+IF($P381="",Setup!$B$17,$P381)+N($Q381))-N($U381))</f>
        <v/>
      </c>
      <c r="W381" s="86" t="n"/>
      <c r="X381" s="87" t="n"/>
      <c r="Z381" s="92">
        <f>IF($A381="","",DATE(YEAR($A381),MONTH($A381),1))</f>
        <v/>
      </c>
    </row>
    <row r="382">
      <c r="A382" s="93" t="n"/>
      <c r="B382" s="94" t="n"/>
      <c r="C382" s="94" t="n"/>
      <c r="D382" s="95" t="n"/>
      <c r="E382" s="95" t="n"/>
      <c r="F382" s="95" t="n"/>
      <c r="G382" s="95" t="n"/>
      <c r="H382" s="96" t="n"/>
      <c r="I382" s="89">
        <f>IF($G382="","",IF($F382="",IFERROR(INDEX(Setup!$C$21:$C$60,MATCH("|"&amp;UPPER(TRIM($G382)),Setup!$Q$21:$Q$60,0)),"NO RATE"),IFERROR(INDEX(Setup!$C$21:$C$60,MATCH(UPPER(TRIM($F382))&amp;"|"&amp;UPPER(TRIM($G382)),Setup!$P$21:$P$60,0)),IFERROR(INDEX(Setup!$C$21:$C$60,MATCH(UPPER(TRIM($G382))&amp;"|"&amp;UPPER(TRIM($F382)),Setup!$P$21:$P$60,0)),"NO RATE"))))</f>
        <v/>
      </c>
      <c r="J382" s="97" t="n"/>
      <c r="K382" s="89">
        <f>IF(OR($G382="",$H382="",NOT(ISNUMBER($I382))),"",ROUND($H382*$I382*(1+IF($J382="",Setup!$B$16,$J382)),2))</f>
        <v/>
      </c>
      <c r="L382" s="89">
        <f>IF($K382="","",ROUND($K382*Setup!$B$13,2))</f>
        <v/>
      </c>
      <c r="M382" s="89">
        <f>IF($K382="","",$K382-$L382)</f>
        <v/>
      </c>
      <c r="N382" s="89">
        <f>IF(OR($M382="",$D382=""),"",ROUND($M382*IFERROR(IF(VLOOKUP($D382,Setup!$A$76:$C$87,3,FALSE)="",Setup!$B$14,VLOOKUP($D382,Setup!$A$76:$C$87,3,FALSE)),Setup!$B$14),2))</f>
        <v/>
      </c>
      <c r="O382" s="89">
        <f>IF(OR($M382="",$E382=""),"",ROUND($M382*IFERROR(IF(VLOOKUP($E382,Setup!$A$76:$C$87,3,FALSE)="",Setup!$B$15,VLOOKUP($E382,Setup!$A$76:$C$87,3,FALSE)),Setup!$B$15),2))</f>
        <v/>
      </c>
      <c r="P382" s="98" t="n"/>
      <c r="Q382" s="98" t="n"/>
      <c r="R382" s="98" t="n"/>
      <c r="S382" s="98" t="n"/>
      <c r="T382" s="98" t="n"/>
      <c r="U382" s="89">
        <f>IF($K382="","",SUM($R382:$T382))</f>
        <v/>
      </c>
      <c r="V382" s="89">
        <f>IF($K382="","",$M382-(N($N382)+N($O382)+IF($P382="",Setup!$B$17,$P382)+N($Q382))-N($U382))</f>
        <v/>
      </c>
      <c r="W382" s="94" t="n"/>
      <c r="X382" s="95" t="n"/>
      <c r="Z382" s="92">
        <f>IF($A382="","",DATE(YEAR($A382),MONTH($A382),1))</f>
        <v/>
      </c>
    </row>
    <row r="383">
      <c r="A383" s="85" t="n"/>
      <c r="B383" s="86" t="n"/>
      <c r="C383" s="86" t="n"/>
      <c r="D383" s="87" t="n"/>
      <c r="E383" s="87" t="n"/>
      <c r="F383" s="87" t="n"/>
      <c r="G383" s="87" t="n"/>
      <c r="H383" s="88" t="n"/>
      <c r="I383" s="89">
        <f>IF($G383="","",IF($F383="",IFERROR(INDEX(Setup!$C$21:$C$60,MATCH("|"&amp;UPPER(TRIM($G383)),Setup!$Q$21:$Q$60,0)),"NO RATE"),IFERROR(INDEX(Setup!$C$21:$C$60,MATCH(UPPER(TRIM($F383))&amp;"|"&amp;UPPER(TRIM($G383)),Setup!$P$21:$P$60,0)),IFERROR(INDEX(Setup!$C$21:$C$60,MATCH(UPPER(TRIM($G383))&amp;"|"&amp;UPPER(TRIM($F383)),Setup!$P$21:$P$60,0)),"NO RATE"))))</f>
        <v/>
      </c>
      <c r="J383" s="90" t="n"/>
      <c r="K383" s="89">
        <f>IF(OR($G383="",$H383="",NOT(ISNUMBER($I383))),"",ROUND($H383*$I383*(1+IF($J383="",Setup!$B$16,$J383)),2))</f>
        <v/>
      </c>
      <c r="L383" s="89">
        <f>IF($K383="","",ROUND($K383*Setup!$B$13,2))</f>
        <v/>
      </c>
      <c r="M383" s="89">
        <f>IF($K383="","",$K383-$L383)</f>
        <v/>
      </c>
      <c r="N383" s="89">
        <f>IF(OR($M383="",$D383=""),"",ROUND($M383*IFERROR(IF(VLOOKUP($D383,Setup!$A$76:$C$87,3,FALSE)="",Setup!$B$14,VLOOKUP($D383,Setup!$A$76:$C$87,3,FALSE)),Setup!$B$14),2))</f>
        <v/>
      </c>
      <c r="O383" s="89">
        <f>IF(OR($M383="",$E383=""),"",ROUND($M383*IFERROR(IF(VLOOKUP($E383,Setup!$A$76:$C$87,3,FALSE)="",Setup!$B$15,VLOOKUP($E383,Setup!$A$76:$C$87,3,FALSE)),Setup!$B$15),2))</f>
        <v/>
      </c>
      <c r="P383" s="91" t="n"/>
      <c r="Q383" s="91" t="n"/>
      <c r="R383" s="91" t="n"/>
      <c r="S383" s="91" t="n"/>
      <c r="T383" s="91" t="n"/>
      <c r="U383" s="89">
        <f>IF($K383="","",SUM($R383:$T383))</f>
        <v/>
      </c>
      <c r="V383" s="89">
        <f>IF($K383="","",$M383-(N($N383)+N($O383)+IF($P383="",Setup!$B$17,$P383)+N($Q383))-N($U383))</f>
        <v/>
      </c>
      <c r="W383" s="86" t="n"/>
      <c r="X383" s="87" t="n"/>
      <c r="Z383" s="92">
        <f>IF($A383="","",DATE(YEAR($A383),MONTH($A383),1))</f>
        <v/>
      </c>
    </row>
    <row r="384">
      <c r="A384" s="93" t="n"/>
      <c r="B384" s="94" t="n"/>
      <c r="C384" s="94" t="n"/>
      <c r="D384" s="95" t="n"/>
      <c r="E384" s="95" t="n"/>
      <c r="F384" s="95" t="n"/>
      <c r="G384" s="95" t="n"/>
      <c r="H384" s="96" t="n"/>
      <c r="I384" s="89">
        <f>IF($G384="","",IF($F384="",IFERROR(INDEX(Setup!$C$21:$C$60,MATCH("|"&amp;UPPER(TRIM($G384)),Setup!$Q$21:$Q$60,0)),"NO RATE"),IFERROR(INDEX(Setup!$C$21:$C$60,MATCH(UPPER(TRIM($F384))&amp;"|"&amp;UPPER(TRIM($G384)),Setup!$P$21:$P$60,0)),IFERROR(INDEX(Setup!$C$21:$C$60,MATCH(UPPER(TRIM($G384))&amp;"|"&amp;UPPER(TRIM($F384)),Setup!$P$21:$P$60,0)),"NO RATE"))))</f>
        <v/>
      </c>
      <c r="J384" s="97" t="n"/>
      <c r="K384" s="89">
        <f>IF(OR($G384="",$H384="",NOT(ISNUMBER($I384))),"",ROUND($H384*$I384*(1+IF($J384="",Setup!$B$16,$J384)),2))</f>
        <v/>
      </c>
      <c r="L384" s="89">
        <f>IF($K384="","",ROUND($K384*Setup!$B$13,2))</f>
        <v/>
      </c>
      <c r="M384" s="89">
        <f>IF($K384="","",$K384-$L384)</f>
        <v/>
      </c>
      <c r="N384" s="89">
        <f>IF(OR($M384="",$D384=""),"",ROUND($M384*IFERROR(IF(VLOOKUP($D384,Setup!$A$76:$C$87,3,FALSE)="",Setup!$B$14,VLOOKUP($D384,Setup!$A$76:$C$87,3,FALSE)),Setup!$B$14),2))</f>
        <v/>
      </c>
      <c r="O384" s="89">
        <f>IF(OR($M384="",$E384=""),"",ROUND($M384*IFERROR(IF(VLOOKUP($E384,Setup!$A$76:$C$87,3,FALSE)="",Setup!$B$15,VLOOKUP($E384,Setup!$A$76:$C$87,3,FALSE)),Setup!$B$15),2))</f>
        <v/>
      </c>
      <c r="P384" s="98" t="n"/>
      <c r="Q384" s="98" t="n"/>
      <c r="R384" s="98" t="n"/>
      <c r="S384" s="98" t="n"/>
      <c r="T384" s="98" t="n"/>
      <c r="U384" s="89">
        <f>IF($K384="","",SUM($R384:$T384))</f>
        <v/>
      </c>
      <c r="V384" s="89">
        <f>IF($K384="","",$M384-(N($N384)+N($O384)+IF($P384="",Setup!$B$17,$P384)+N($Q384))-N($U384))</f>
        <v/>
      </c>
      <c r="W384" s="94" t="n"/>
      <c r="X384" s="95" t="n"/>
      <c r="Z384" s="92">
        <f>IF($A384="","",DATE(YEAR($A384),MONTH($A384),1))</f>
        <v/>
      </c>
    </row>
    <row r="385">
      <c r="A385" s="85" t="n"/>
      <c r="B385" s="86" t="n"/>
      <c r="C385" s="86" t="n"/>
      <c r="D385" s="87" t="n"/>
      <c r="E385" s="87" t="n"/>
      <c r="F385" s="87" t="n"/>
      <c r="G385" s="87" t="n"/>
      <c r="H385" s="88" t="n"/>
      <c r="I385" s="89">
        <f>IF($G385="","",IF($F385="",IFERROR(INDEX(Setup!$C$21:$C$60,MATCH("|"&amp;UPPER(TRIM($G385)),Setup!$Q$21:$Q$60,0)),"NO RATE"),IFERROR(INDEX(Setup!$C$21:$C$60,MATCH(UPPER(TRIM($F385))&amp;"|"&amp;UPPER(TRIM($G385)),Setup!$P$21:$P$60,0)),IFERROR(INDEX(Setup!$C$21:$C$60,MATCH(UPPER(TRIM($G385))&amp;"|"&amp;UPPER(TRIM($F385)),Setup!$P$21:$P$60,0)),"NO RATE"))))</f>
        <v/>
      </c>
      <c r="J385" s="90" t="n"/>
      <c r="K385" s="89">
        <f>IF(OR($G385="",$H385="",NOT(ISNUMBER($I385))),"",ROUND($H385*$I385*(1+IF($J385="",Setup!$B$16,$J385)),2))</f>
        <v/>
      </c>
      <c r="L385" s="89">
        <f>IF($K385="","",ROUND($K385*Setup!$B$13,2))</f>
        <v/>
      </c>
      <c r="M385" s="89">
        <f>IF($K385="","",$K385-$L385)</f>
        <v/>
      </c>
      <c r="N385" s="89">
        <f>IF(OR($M385="",$D385=""),"",ROUND($M385*IFERROR(IF(VLOOKUP($D385,Setup!$A$76:$C$87,3,FALSE)="",Setup!$B$14,VLOOKUP($D385,Setup!$A$76:$C$87,3,FALSE)),Setup!$B$14),2))</f>
        <v/>
      </c>
      <c r="O385" s="89">
        <f>IF(OR($M385="",$E385=""),"",ROUND($M385*IFERROR(IF(VLOOKUP($E385,Setup!$A$76:$C$87,3,FALSE)="",Setup!$B$15,VLOOKUP($E385,Setup!$A$76:$C$87,3,FALSE)),Setup!$B$15),2))</f>
        <v/>
      </c>
      <c r="P385" s="91" t="n"/>
      <c r="Q385" s="91" t="n"/>
      <c r="R385" s="91" t="n"/>
      <c r="S385" s="91" t="n"/>
      <c r="T385" s="91" t="n"/>
      <c r="U385" s="89">
        <f>IF($K385="","",SUM($R385:$T385))</f>
        <v/>
      </c>
      <c r="V385" s="89">
        <f>IF($K385="","",$M385-(N($N385)+N($O385)+IF($P385="",Setup!$B$17,$P385)+N($Q385))-N($U385))</f>
        <v/>
      </c>
      <c r="W385" s="86" t="n"/>
      <c r="X385" s="87" t="n"/>
      <c r="Z385" s="92">
        <f>IF($A385="","",DATE(YEAR($A385),MONTH($A385),1))</f>
        <v/>
      </c>
    </row>
    <row r="386">
      <c r="A386" s="93" t="n"/>
      <c r="B386" s="94" t="n"/>
      <c r="C386" s="94" t="n"/>
      <c r="D386" s="95" t="n"/>
      <c r="E386" s="95" t="n"/>
      <c r="F386" s="95" t="n"/>
      <c r="G386" s="95" t="n"/>
      <c r="H386" s="96" t="n"/>
      <c r="I386" s="89">
        <f>IF($G386="","",IF($F386="",IFERROR(INDEX(Setup!$C$21:$C$60,MATCH("|"&amp;UPPER(TRIM($G386)),Setup!$Q$21:$Q$60,0)),"NO RATE"),IFERROR(INDEX(Setup!$C$21:$C$60,MATCH(UPPER(TRIM($F386))&amp;"|"&amp;UPPER(TRIM($G386)),Setup!$P$21:$P$60,0)),IFERROR(INDEX(Setup!$C$21:$C$60,MATCH(UPPER(TRIM($G386))&amp;"|"&amp;UPPER(TRIM($F386)),Setup!$P$21:$P$60,0)),"NO RATE"))))</f>
        <v/>
      </c>
      <c r="J386" s="97" t="n"/>
      <c r="K386" s="89">
        <f>IF(OR($G386="",$H386="",NOT(ISNUMBER($I386))),"",ROUND($H386*$I386*(1+IF($J386="",Setup!$B$16,$J386)),2))</f>
        <v/>
      </c>
      <c r="L386" s="89">
        <f>IF($K386="","",ROUND($K386*Setup!$B$13,2))</f>
        <v/>
      </c>
      <c r="M386" s="89">
        <f>IF($K386="","",$K386-$L386)</f>
        <v/>
      </c>
      <c r="N386" s="89">
        <f>IF(OR($M386="",$D386=""),"",ROUND($M386*IFERROR(IF(VLOOKUP($D386,Setup!$A$76:$C$87,3,FALSE)="",Setup!$B$14,VLOOKUP($D386,Setup!$A$76:$C$87,3,FALSE)),Setup!$B$14),2))</f>
        <v/>
      </c>
      <c r="O386" s="89">
        <f>IF(OR($M386="",$E386=""),"",ROUND($M386*IFERROR(IF(VLOOKUP($E386,Setup!$A$76:$C$87,3,FALSE)="",Setup!$B$15,VLOOKUP($E386,Setup!$A$76:$C$87,3,FALSE)),Setup!$B$15),2))</f>
        <v/>
      </c>
      <c r="P386" s="98" t="n"/>
      <c r="Q386" s="98" t="n"/>
      <c r="R386" s="98" t="n"/>
      <c r="S386" s="98" t="n"/>
      <c r="T386" s="98" t="n"/>
      <c r="U386" s="89">
        <f>IF($K386="","",SUM($R386:$T386))</f>
        <v/>
      </c>
      <c r="V386" s="89">
        <f>IF($K386="","",$M386-(N($N386)+N($O386)+IF($P386="",Setup!$B$17,$P386)+N($Q386))-N($U386))</f>
        <v/>
      </c>
      <c r="W386" s="94" t="n"/>
      <c r="X386" s="95" t="n"/>
      <c r="Z386" s="92">
        <f>IF($A386="","",DATE(YEAR($A386),MONTH($A386),1))</f>
        <v/>
      </c>
    </row>
    <row r="387">
      <c r="A387" s="85" t="n"/>
      <c r="B387" s="86" t="n"/>
      <c r="C387" s="86" t="n"/>
      <c r="D387" s="87" t="n"/>
      <c r="E387" s="87" t="n"/>
      <c r="F387" s="87" t="n"/>
      <c r="G387" s="87" t="n"/>
      <c r="H387" s="88" t="n"/>
      <c r="I387" s="89">
        <f>IF($G387="","",IF($F387="",IFERROR(INDEX(Setup!$C$21:$C$60,MATCH("|"&amp;UPPER(TRIM($G387)),Setup!$Q$21:$Q$60,0)),"NO RATE"),IFERROR(INDEX(Setup!$C$21:$C$60,MATCH(UPPER(TRIM($F387))&amp;"|"&amp;UPPER(TRIM($G387)),Setup!$P$21:$P$60,0)),IFERROR(INDEX(Setup!$C$21:$C$60,MATCH(UPPER(TRIM($G387))&amp;"|"&amp;UPPER(TRIM($F387)),Setup!$P$21:$P$60,0)),"NO RATE"))))</f>
        <v/>
      </c>
      <c r="J387" s="90" t="n"/>
      <c r="K387" s="89">
        <f>IF(OR($G387="",$H387="",NOT(ISNUMBER($I387))),"",ROUND($H387*$I387*(1+IF($J387="",Setup!$B$16,$J387)),2))</f>
        <v/>
      </c>
      <c r="L387" s="89">
        <f>IF($K387="","",ROUND($K387*Setup!$B$13,2))</f>
        <v/>
      </c>
      <c r="M387" s="89">
        <f>IF($K387="","",$K387-$L387)</f>
        <v/>
      </c>
      <c r="N387" s="89">
        <f>IF(OR($M387="",$D387=""),"",ROUND($M387*IFERROR(IF(VLOOKUP($D387,Setup!$A$76:$C$87,3,FALSE)="",Setup!$B$14,VLOOKUP($D387,Setup!$A$76:$C$87,3,FALSE)),Setup!$B$14),2))</f>
        <v/>
      </c>
      <c r="O387" s="89">
        <f>IF(OR($M387="",$E387=""),"",ROUND($M387*IFERROR(IF(VLOOKUP($E387,Setup!$A$76:$C$87,3,FALSE)="",Setup!$B$15,VLOOKUP($E387,Setup!$A$76:$C$87,3,FALSE)),Setup!$B$15),2))</f>
        <v/>
      </c>
      <c r="P387" s="91" t="n"/>
      <c r="Q387" s="91" t="n"/>
      <c r="R387" s="91" t="n"/>
      <c r="S387" s="91" t="n"/>
      <c r="T387" s="91" t="n"/>
      <c r="U387" s="89">
        <f>IF($K387="","",SUM($R387:$T387))</f>
        <v/>
      </c>
      <c r="V387" s="89">
        <f>IF($K387="","",$M387-(N($N387)+N($O387)+IF($P387="",Setup!$B$17,$P387)+N($Q387))-N($U387))</f>
        <v/>
      </c>
      <c r="W387" s="86" t="n"/>
      <c r="X387" s="87" t="n"/>
      <c r="Z387" s="92">
        <f>IF($A387="","",DATE(YEAR($A387),MONTH($A387),1))</f>
        <v/>
      </c>
    </row>
    <row r="388">
      <c r="A388" s="93" t="n"/>
      <c r="B388" s="94" t="n"/>
      <c r="C388" s="94" t="n"/>
      <c r="D388" s="95" t="n"/>
      <c r="E388" s="95" t="n"/>
      <c r="F388" s="95" t="n"/>
      <c r="G388" s="95" t="n"/>
      <c r="H388" s="96" t="n"/>
      <c r="I388" s="89">
        <f>IF($G388="","",IF($F388="",IFERROR(INDEX(Setup!$C$21:$C$60,MATCH("|"&amp;UPPER(TRIM($G388)),Setup!$Q$21:$Q$60,0)),"NO RATE"),IFERROR(INDEX(Setup!$C$21:$C$60,MATCH(UPPER(TRIM($F388))&amp;"|"&amp;UPPER(TRIM($G388)),Setup!$P$21:$P$60,0)),IFERROR(INDEX(Setup!$C$21:$C$60,MATCH(UPPER(TRIM($G388))&amp;"|"&amp;UPPER(TRIM($F388)),Setup!$P$21:$P$60,0)),"NO RATE"))))</f>
        <v/>
      </c>
      <c r="J388" s="97" t="n"/>
      <c r="K388" s="89">
        <f>IF(OR($G388="",$H388="",NOT(ISNUMBER($I388))),"",ROUND($H388*$I388*(1+IF($J388="",Setup!$B$16,$J388)),2))</f>
        <v/>
      </c>
      <c r="L388" s="89">
        <f>IF($K388="","",ROUND($K388*Setup!$B$13,2))</f>
        <v/>
      </c>
      <c r="M388" s="89">
        <f>IF($K388="","",$K388-$L388)</f>
        <v/>
      </c>
      <c r="N388" s="89">
        <f>IF(OR($M388="",$D388=""),"",ROUND($M388*IFERROR(IF(VLOOKUP($D388,Setup!$A$76:$C$87,3,FALSE)="",Setup!$B$14,VLOOKUP($D388,Setup!$A$76:$C$87,3,FALSE)),Setup!$B$14),2))</f>
        <v/>
      </c>
      <c r="O388" s="89">
        <f>IF(OR($M388="",$E388=""),"",ROUND($M388*IFERROR(IF(VLOOKUP($E388,Setup!$A$76:$C$87,3,FALSE)="",Setup!$B$15,VLOOKUP($E388,Setup!$A$76:$C$87,3,FALSE)),Setup!$B$15),2))</f>
        <v/>
      </c>
      <c r="P388" s="98" t="n"/>
      <c r="Q388" s="98" t="n"/>
      <c r="R388" s="98" t="n"/>
      <c r="S388" s="98" t="n"/>
      <c r="T388" s="98" t="n"/>
      <c r="U388" s="89">
        <f>IF($K388="","",SUM($R388:$T388))</f>
        <v/>
      </c>
      <c r="V388" s="89">
        <f>IF($K388="","",$M388-(N($N388)+N($O388)+IF($P388="",Setup!$B$17,$P388)+N($Q388))-N($U388))</f>
        <v/>
      </c>
      <c r="W388" s="94" t="n"/>
      <c r="X388" s="95" t="n"/>
      <c r="Z388" s="92">
        <f>IF($A388="","",DATE(YEAR($A388),MONTH($A388),1))</f>
        <v/>
      </c>
    </row>
    <row r="389">
      <c r="A389" s="85" t="n"/>
      <c r="B389" s="86" t="n"/>
      <c r="C389" s="86" t="n"/>
      <c r="D389" s="87" t="n"/>
      <c r="E389" s="87" t="n"/>
      <c r="F389" s="87" t="n"/>
      <c r="G389" s="87" t="n"/>
      <c r="H389" s="88" t="n"/>
      <c r="I389" s="89">
        <f>IF($G389="","",IF($F389="",IFERROR(INDEX(Setup!$C$21:$C$60,MATCH("|"&amp;UPPER(TRIM($G389)),Setup!$Q$21:$Q$60,0)),"NO RATE"),IFERROR(INDEX(Setup!$C$21:$C$60,MATCH(UPPER(TRIM($F389))&amp;"|"&amp;UPPER(TRIM($G389)),Setup!$P$21:$P$60,0)),IFERROR(INDEX(Setup!$C$21:$C$60,MATCH(UPPER(TRIM($G389))&amp;"|"&amp;UPPER(TRIM($F389)),Setup!$P$21:$P$60,0)),"NO RATE"))))</f>
        <v/>
      </c>
      <c r="J389" s="90" t="n"/>
      <c r="K389" s="89">
        <f>IF(OR($G389="",$H389="",NOT(ISNUMBER($I389))),"",ROUND($H389*$I389*(1+IF($J389="",Setup!$B$16,$J389)),2))</f>
        <v/>
      </c>
      <c r="L389" s="89">
        <f>IF($K389="","",ROUND($K389*Setup!$B$13,2))</f>
        <v/>
      </c>
      <c r="M389" s="89">
        <f>IF($K389="","",$K389-$L389)</f>
        <v/>
      </c>
      <c r="N389" s="89">
        <f>IF(OR($M389="",$D389=""),"",ROUND($M389*IFERROR(IF(VLOOKUP($D389,Setup!$A$76:$C$87,3,FALSE)="",Setup!$B$14,VLOOKUP($D389,Setup!$A$76:$C$87,3,FALSE)),Setup!$B$14),2))</f>
        <v/>
      </c>
      <c r="O389" s="89">
        <f>IF(OR($M389="",$E389=""),"",ROUND($M389*IFERROR(IF(VLOOKUP($E389,Setup!$A$76:$C$87,3,FALSE)="",Setup!$B$15,VLOOKUP($E389,Setup!$A$76:$C$87,3,FALSE)),Setup!$B$15),2))</f>
        <v/>
      </c>
      <c r="P389" s="91" t="n"/>
      <c r="Q389" s="91" t="n"/>
      <c r="R389" s="91" t="n"/>
      <c r="S389" s="91" t="n"/>
      <c r="T389" s="91" t="n"/>
      <c r="U389" s="89">
        <f>IF($K389="","",SUM($R389:$T389))</f>
        <v/>
      </c>
      <c r="V389" s="89">
        <f>IF($K389="","",$M389-(N($N389)+N($O389)+IF($P389="",Setup!$B$17,$P389)+N($Q389))-N($U389))</f>
        <v/>
      </c>
      <c r="W389" s="86" t="n"/>
      <c r="X389" s="87" t="n"/>
      <c r="Z389" s="92">
        <f>IF($A389="","",DATE(YEAR($A389),MONTH($A389),1))</f>
        <v/>
      </c>
    </row>
    <row r="390">
      <c r="A390" s="93" t="n"/>
      <c r="B390" s="94" t="n"/>
      <c r="C390" s="94" t="n"/>
      <c r="D390" s="95" t="n"/>
      <c r="E390" s="95" t="n"/>
      <c r="F390" s="95" t="n"/>
      <c r="G390" s="95" t="n"/>
      <c r="H390" s="96" t="n"/>
      <c r="I390" s="89">
        <f>IF($G390="","",IF($F390="",IFERROR(INDEX(Setup!$C$21:$C$60,MATCH("|"&amp;UPPER(TRIM($G390)),Setup!$Q$21:$Q$60,0)),"NO RATE"),IFERROR(INDEX(Setup!$C$21:$C$60,MATCH(UPPER(TRIM($F390))&amp;"|"&amp;UPPER(TRIM($G390)),Setup!$P$21:$P$60,0)),IFERROR(INDEX(Setup!$C$21:$C$60,MATCH(UPPER(TRIM($G390))&amp;"|"&amp;UPPER(TRIM($F390)),Setup!$P$21:$P$60,0)),"NO RATE"))))</f>
        <v/>
      </c>
      <c r="J390" s="97" t="n"/>
      <c r="K390" s="89">
        <f>IF(OR($G390="",$H390="",NOT(ISNUMBER($I390))),"",ROUND($H390*$I390*(1+IF($J390="",Setup!$B$16,$J390)),2))</f>
        <v/>
      </c>
      <c r="L390" s="89">
        <f>IF($K390="","",ROUND($K390*Setup!$B$13,2))</f>
        <v/>
      </c>
      <c r="M390" s="89">
        <f>IF($K390="","",$K390-$L390)</f>
        <v/>
      </c>
      <c r="N390" s="89">
        <f>IF(OR($M390="",$D390=""),"",ROUND($M390*IFERROR(IF(VLOOKUP($D390,Setup!$A$76:$C$87,3,FALSE)="",Setup!$B$14,VLOOKUP($D390,Setup!$A$76:$C$87,3,FALSE)),Setup!$B$14),2))</f>
        <v/>
      </c>
      <c r="O390" s="89">
        <f>IF(OR($M390="",$E390=""),"",ROUND($M390*IFERROR(IF(VLOOKUP($E390,Setup!$A$76:$C$87,3,FALSE)="",Setup!$B$15,VLOOKUP($E390,Setup!$A$76:$C$87,3,FALSE)),Setup!$B$15),2))</f>
        <v/>
      </c>
      <c r="P390" s="98" t="n"/>
      <c r="Q390" s="98" t="n"/>
      <c r="R390" s="98" t="n"/>
      <c r="S390" s="98" t="n"/>
      <c r="T390" s="98" t="n"/>
      <c r="U390" s="89">
        <f>IF($K390="","",SUM($R390:$T390))</f>
        <v/>
      </c>
      <c r="V390" s="89">
        <f>IF($K390="","",$M390-(N($N390)+N($O390)+IF($P390="",Setup!$B$17,$P390)+N($Q390))-N($U390))</f>
        <v/>
      </c>
      <c r="W390" s="94" t="n"/>
      <c r="X390" s="95" t="n"/>
      <c r="Z390" s="92">
        <f>IF($A390="","",DATE(YEAR($A390),MONTH($A390),1))</f>
        <v/>
      </c>
    </row>
    <row r="391">
      <c r="A391" s="85" t="n"/>
      <c r="B391" s="86" t="n"/>
      <c r="C391" s="86" t="n"/>
      <c r="D391" s="87" t="n"/>
      <c r="E391" s="87" t="n"/>
      <c r="F391" s="87" t="n"/>
      <c r="G391" s="87" t="n"/>
      <c r="H391" s="88" t="n"/>
      <c r="I391" s="89">
        <f>IF($G391="","",IF($F391="",IFERROR(INDEX(Setup!$C$21:$C$60,MATCH("|"&amp;UPPER(TRIM($G391)),Setup!$Q$21:$Q$60,0)),"NO RATE"),IFERROR(INDEX(Setup!$C$21:$C$60,MATCH(UPPER(TRIM($F391))&amp;"|"&amp;UPPER(TRIM($G391)),Setup!$P$21:$P$60,0)),IFERROR(INDEX(Setup!$C$21:$C$60,MATCH(UPPER(TRIM($G391))&amp;"|"&amp;UPPER(TRIM($F391)),Setup!$P$21:$P$60,0)),"NO RATE"))))</f>
        <v/>
      </c>
      <c r="J391" s="90" t="n"/>
      <c r="K391" s="89">
        <f>IF(OR($G391="",$H391="",NOT(ISNUMBER($I391))),"",ROUND($H391*$I391*(1+IF($J391="",Setup!$B$16,$J391)),2))</f>
        <v/>
      </c>
      <c r="L391" s="89">
        <f>IF($K391="","",ROUND($K391*Setup!$B$13,2))</f>
        <v/>
      </c>
      <c r="M391" s="89">
        <f>IF($K391="","",$K391-$L391)</f>
        <v/>
      </c>
      <c r="N391" s="89">
        <f>IF(OR($M391="",$D391=""),"",ROUND($M391*IFERROR(IF(VLOOKUP($D391,Setup!$A$76:$C$87,3,FALSE)="",Setup!$B$14,VLOOKUP($D391,Setup!$A$76:$C$87,3,FALSE)),Setup!$B$14),2))</f>
        <v/>
      </c>
      <c r="O391" s="89">
        <f>IF(OR($M391="",$E391=""),"",ROUND($M391*IFERROR(IF(VLOOKUP($E391,Setup!$A$76:$C$87,3,FALSE)="",Setup!$B$15,VLOOKUP($E391,Setup!$A$76:$C$87,3,FALSE)),Setup!$B$15),2))</f>
        <v/>
      </c>
      <c r="P391" s="91" t="n"/>
      <c r="Q391" s="91" t="n"/>
      <c r="R391" s="91" t="n"/>
      <c r="S391" s="91" t="n"/>
      <c r="T391" s="91" t="n"/>
      <c r="U391" s="89">
        <f>IF($K391="","",SUM($R391:$T391))</f>
        <v/>
      </c>
      <c r="V391" s="89">
        <f>IF($K391="","",$M391-(N($N391)+N($O391)+IF($P391="",Setup!$B$17,$P391)+N($Q391))-N($U391))</f>
        <v/>
      </c>
      <c r="W391" s="86" t="n"/>
      <c r="X391" s="87" t="n"/>
      <c r="Z391" s="92">
        <f>IF($A391="","",DATE(YEAR($A391),MONTH($A391),1))</f>
        <v/>
      </c>
    </row>
    <row r="392">
      <c r="A392" s="93" t="n"/>
      <c r="B392" s="94" t="n"/>
      <c r="C392" s="94" t="n"/>
      <c r="D392" s="95" t="n"/>
      <c r="E392" s="95" t="n"/>
      <c r="F392" s="95" t="n"/>
      <c r="G392" s="95" t="n"/>
      <c r="H392" s="96" t="n"/>
      <c r="I392" s="89">
        <f>IF($G392="","",IF($F392="",IFERROR(INDEX(Setup!$C$21:$C$60,MATCH("|"&amp;UPPER(TRIM($G392)),Setup!$Q$21:$Q$60,0)),"NO RATE"),IFERROR(INDEX(Setup!$C$21:$C$60,MATCH(UPPER(TRIM($F392))&amp;"|"&amp;UPPER(TRIM($G392)),Setup!$P$21:$P$60,0)),IFERROR(INDEX(Setup!$C$21:$C$60,MATCH(UPPER(TRIM($G392))&amp;"|"&amp;UPPER(TRIM($F392)),Setup!$P$21:$P$60,0)),"NO RATE"))))</f>
        <v/>
      </c>
      <c r="J392" s="97" t="n"/>
      <c r="K392" s="89">
        <f>IF(OR($G392="",$H392="",NOT(ISNUMBER($I392))),"",ROUND($H392*$I392*(1+IF($J392="",Setup!$B$16,$J392)),2))</f>
        <v/>
      </c>
      <c r="L392" s="89">
        <f>IF($K392="","",ROUND($K392*Setup!$B$13,2))</f>
        <v/>
      </c>
      <c r="M392" s="89">
        <f>IF($K392="","",$K392-$L392)</f>
        <v/>
      </c>
      <c r="N392" s="89">
        <f>IF(OR($M392="",$D392=""),"",ROUND($M392*IFERROR(IF(VLOOKUP($D392,Setup!$A$76:$C$87,3,FALSE)="",Setup!$B$14,VLOOKUP($D392,Setup!$A$76:$C$87,3,FALSE)),Setup!$B$14),2))</f>
        <v/>
      </c>
      <c r="O392" s="89">
        <f>IF(OR($M392="",$E392=""),"",ROUND($M392*IFERROR(IF(VLOOKUP($E392,Setup!$A$76:$C$87,3,FALSE)="",Setup!$B$15,VLOOKUP($E392,Setup!$A$76:$C$87,3,FALSE)),Setup!$B$15),2))</f>
        <v/>
      </c>
      <c r="P392" s="98" t="n"/>
      <c r="Q392" s="98" t="n"/>
      <c r="R392" s="98" t="n"/>
      <c r="S392" s="98" t="n"/>
      <c r="T392" s="98" t="n"/>
      <c r="U392" s="89">
        <f>IF($K392="","",SUM($R392:$T392))</f>
        <v/>
      </c>
      <c r="V392" s="89">
        <f>IF($K392="","",$M392-(N($N392)+N($O392)+IF($P392="",Setup!$B$17,$P392)+N($Q392))-N($U392))</f>
        <v/>
      </c>
      <c r="W392" s="94" t="n"/>
      <c r="X392" s="95" t="n"/>
      <c r="Z392" s="92">
        <f>IF($A392="","",DATE(YEAR($A392),MONTH($A392),1))</f>
        <v/>
      </c>
    </row>
    <row r="393">
      <c r="A393" s="85" t="n"/>
      <c r="B393" s="86" t="n"/>
      <c r="C393" s="86" t="n"/>
      <c r="D393" s="87" t="n"/>
      <c r="E393" s="87" t="n"/>
      <c r="F393" s="87" t="n"/>
      <c r="G393" s="87" t="n"/>
      <c r="H393" s="88" t="n"/>
      <c r="I393" s="89">
        <f>IF($G393="","",IF($F393="",IFERROR(INDEX(Setup!$C$21:$C$60,MATCH("|"&amp;UPPER(TRIM($G393)),Setup!$Q$21:$Q$60,0)),"NO RATE"),IFERROR(INDEX(Setup!$C$21:$C$60,MATCH(UPPER(TRIM($F393))&amp;"|"&amp;UPPER(TRIM($G393)),Setup!$P$21:$P$60,0)),IFERROR(INDEX(Setup!$C$21:$C$60,MATCH(UPPER(TRIM($G393))&amp;"|"&amp;UPPER(TRIM($F393)),Setup!$P$21:$P$60,0)),"NO RATE"))))</f>
        <v/>
      </c>
      <c r="J393" s="90" t="n"/>
      <c r="K393" s="89">
        <f>IF(OR($G393="",$H393="",NOT(ISNUMBER($I393))),"",ROUND($H393*$I393*(1+IF($J393="",Setup!$B$16,$J393)),2))</f>
        <v/>
      </c>
      <c r="L393" s="89">
        <f>IF($K393="","",ROUND($K393*Setup!$B$13,2))</f>
        <v/>
      </c>
      <c r="M393" s="89">
        <f>IF($K393="","",$K393-$L393)</f>
        <v/>
      </c>
      <c r="N393" s="89">
        <f>IF(OR($M393="",$D393=""),"",ROUND($M393*IFERROR(IF(VLOOKUP($D393,Setup!$A$76:$C$87,3,FALSE)="",Setup!$B$14,VLOOKUP($D393,Setup!$A$76:$C$87,3,FALSE)),Setup!$B$14),2))</f>
        <v/>
      </c>
      <c r="O393" s="89">
        <f>IF(OR($M393="",$E393=""),"",ROUND($M393*IFERROR(IF(VLOOKUP($E393,Setup!$A$76:$C$87,3,FALSE)="",Setup!$B$15,VLOOKUP($E393,Setup!$A$76:$C$87,3,FALSE)),Setup!$B$15),2))</f>
        <v/>
      </c>
      <c r="P393" s="91" t="n"/>
      <c r="Q393" s="91" t="n"/>
      <c r="R393" s="91" t="n"/>
      <c r="S393" s="91" t="n"/>
      <c r="T393" s="91" t="n"/>
      <c r="U393" s="89">
        <f>IF($K393="","",SUM($R393:$T393))</f>
        <v/>
      </c>
      <c r="V393" s="89">
        <f>IF($K393="","",$M393-(N($N393)+N($O393)+IF($P393="",Setup!$B$17,$P393)+N($Q393))-N($U393))</f>
        <v/>
      </c>
      <c r="W393" s="86" t="n"/>
      <c r="X393" s="87" t="n"/>
      <c r="Z393" s="92">
        <f>IF($A393="","",DATE(YEAR($A393),MONTH($A393),1))</f>
        <v/>
      </c>
    </row>
    <row r="394">
      <c r="A394" s="93" t="n"/>
      <c r="B394" s="94" t="n"/>
      <c r="C394" s="94" t="n"/>
      <c r="D394" s="95" t="n"/>
      <c r="E394" s="95" t="n"/>
      <c r="F394" s="95" t="n"/>
      <c r="G394" s="95" t="n"/>
      <c r="H394" s="96" t="n"/>
      <c r="I394" s="89">
        <f>IF($G394="","",IF($F394="",IFERROR(INDEX(Setup!$C$21:$C$60,MATCH("|"&amp;UPPER(TRIM($G394)),Setup!$Q$21:$Q$60,0)),"NO RATE"),IFERROR(INDEX(Setup!$C$21:$C$60,MATCH(UPPER(TRIM($F394))&amp;"|"&amp;UPPER(TRIM($G394)),Setup!$P$21:$P$60,0)),IFERROR(INDEX(Setup!$C$21:$C$60,MATCH(UPPER(TRIM($G394))&amp;"|"&amp;UPPER(TRIM($F394)),Setup!$P$21:$P$60,0)),"NO RATE"))))</f>
        <v/>
      </c>
      <c r="J394" s="97" t="n"/>
      <c r="K394" s="89">
        <f>IF(OR($G394="",$H394="",NOT(ISNUMBER($I394))),"",ROUND($H394*$I394*(1+IF($J394="",Setup!$B$16,$J394)),2))</f>
        <v/>
      </c>
      <c r="L394" s="89">
        <f>IF($K394="","",ROUND($K394*Setup!$B$13,2))</f>
        <v/>
      </c>
      <c r="M394" s="89">
        <f>IF($K394="","",$K394-$L394)</f>
        <v/>
      </c>
      <c r="N394" s="89">
        <f>IF(OR($M394="",$D394=""),"",ROUND($M394*IFERROR(IF(VLOOKUP($D394,Setup!$A$76:$C$87,3,FALSE)="",Setup!$B$14,VLOOKUP($D394,Setup!$A$76:$C$87,3,FALSE)),Setup!$B$14),2))</f>
        <v/>
      </c>
      <c r="O394" s="89">
        <f>IF(OR($M394="",$E394=""),"",ROUND($M394*IFERROR(IF(VLOOKUP($E394,Setup!$A$76:$C$87,3,FALSE)="",Setup!$B$15,VLOOKUP($E394,Setup!$A$76:$C$87,3,FALSE)),Setup!$B$15),2))</f>
        <v/>
      </c>
      <c r="P394" s="98" t="n"/>
      <c r="Q394" s="98" t="n"/>
      <c r="R394" s="98" t="n"/>
      <c r="S394" s="98" t="n"/>
      <c r="T394" s="98" t="n"/>
      <c r="U394" s="89">
        <f>IF($K394="","",SUM($R394:$T394))</f>
        <v/>
      </c>
      <c r="V394" s="89">
        <f>IF($K394="","",$M394-(N($N394)+N($O394)+IF($P394="",Setup!$B$17,$P394)+N($Q394))-N($U394))</f>
        <v/>
      </c>
      <c r="W394" s="94" t="n"/>
      <c r="X394" s="95" t="n"/>
      <c r="Z394" s="92">
        <f>IF($A394="","",DATE(YEAR($A394),MONTH($A394),1))</f>
        <v/>
      </c>
    </row>
    <row r="395">
      <c r="A395" s="85" t="n"/>
      <c r="B395" s="86" t="n"/>
      <c r="C395" s="86" t="n"/>
      <c r="D395" s="87" t="n"/>
      <c r="E395" s="87" t="n"/>
      <c r="F395" s="87" t="n"/>
      <c r="G395" s="87" t="n"/>
      <c r="H395" s="88" t="n"/>
      <c r="I395" s="89">
        <f>IF($G395="","",IF($F395="",IFERROR(INDEX(Setup!$C$21:$C$60,MATCH("|"&amp;UPPER(TRIM($G395)),Setup!$Q$21:$Q$60,0)),"NO RATE"),IFERROR(INDEX(Setup!$C$21:$C$60,MATCH(UPPER(TRIM($F395))&amp;"|"&amp;UPPER(TRIM($G395)),Setup!$P$21:$P$60,0)),IFERROR(INDEX(Setup!$C$21:$C$60,MATCH(UPPER(TRIM($G395))&amp;"|"&amp;UPPER(TRIM($F395)),Setup!$P$21:$P$60,0)),"NO RATE"))))</f>
        <v/>
      </c>
      <c r="J395" s="90" t="n"/>
      <c r="K395" s="89">
        <f>IF(OR($G395="",$H395="",NOT(ISNUMBER($I395))),"",ROUND($H395*$I395*(1+IF($J395="",Setup!$B$16,$J395)),2))</f>
        <v/>
      </c>
      <c r="L395" s="89">
        <f>IF($K395="","",ROUND($K395*Setup!$B$13,2))</f>
        <v/>
      </c>
      <c r="M395" s="89">
        <f>IF($K395="","",$K395-$L395)</f>
        <v/>
      </c>
      <c r="N395" s="89">
        <f>IF(OR($M395="",$D395=""),"",ROUND($M395*IFERROR(IF(VLOOKUP($D395,Setup!$A$76:$C$87,3,FALSE)="",Setup!$B$14,VLOOKUP($D395,Setup!$A$76:$C$87,3,FALSE)),Setup!$B$14),2))</f>
        <v/>
      </c>
      <c r="O395" s="89">
        <f>IF(OR($M395="",$E395=""),"",ROUND($M395*IFERROR(IF(VLOOKUP($E395,Setup!$A$76:$C$87,3,FALSE)="",Setup!$B$15,VLOOKUP($E395,Setup!$A$76:$C$87,3,FALSE)),Setup!$B$15),2))</f>
        <v/>
      </c>
      <c r="P395" s="91" t="n"/>
      <c r="Q395" s="91" t="n"/>
      <c r="R395" s="91" t="n"/>
      <c r="S395" s="91" t="n"/>
      <c r="T395" s="91" t="n"/>
      <c r="U395" s="89">
        <f>IF($K395="","",SUM($R395:$T395))</f>
        <v/>
      </c>
      <c r="V395" s="89">
        <f>IF($K395="","",$M395-(N($N395)+N($O395)+IF($P395="",Setup!$B$17,$P395)+N($Q395))-N($U395))</f>
        <v/>
      </c>
      <c r="W395" s="86" t="n"/>
      <c r="X395" s="87" t="n"/>
      <c r="Z395" s="92">
        <f>IF($A395="","",DATE(YEAR($A395),MONTH($A395),1))</f>
        <v/>
      </c>
    </row>
    <row r="396">
      <c r="A396" s="93" t="n"/>
      <c r="B396" s="94" t="n"/>
      <c r="C396" s="94" t="n"/>
      <c r="D396" s="95" t="n"/>
      <c r="E396" s="95" t="n"/>
      <c r="F396" s="95" t="n"/>
      <c r="G396" s="95" t="n"/>
      <c r="H396" s="96" t="n"/>
      <c r="I396" s="89">
        <f>IF($G396="","",IF($F396="",IFERROR(INDEX(Setup!$C$21:$C$60,MATCH("|"&amp;UPPER(TRIM($G396)),Setup!$Q$21:$Q$60,0)),"NO RATE"),IFERROR(INDEX(Setup!$C$21:$C$60,MATCH(UPPER(TRIM($F396))&amp;"|"&amp;UPPER(TRIM($G396)),Setup!$P$21:$P$60,0)),IFERROR(INDEX(Setup!$C$21:$C$60,MATCH(UPPER(TRIM($G396))&amp;"|"&amp;UPPER(TRIM($F396)),Setup!$P$21:$P$60,0)),"NO RATE"))))</f>
        <v/>
      </c>
      <c r="J396" s="97" t="n"/>
      <c r="K396" s="89">
        <f>IF(OR($G396="",$H396="",NOT(ISNUMBER($I396))),"",ROUND($H396*$I396*(1+IF($J396="",Setup!$B$16,$J396)),2))</f>
        <v/>
      </c>
      <c r="L396" s="89">
        <f>IF($K396="","",ROUND($K396*Setup!$B$13,2))</f>
        <v/>
      </c>
      <c r="M396" s="89">
        <f>IF($K396="","",$K396-$L396)</f>
        <v/>
      </c>
      <c r="N396" s="89">
        <f>IF(OR($M396="",$D396=""),"",ROUND($M396*IFERROR(IF(VLOOKUP($D396,Setup!$A$76:$C$87,3,FALSE)="",Setup!$B$14,VLOOKUP($D396,Setup!$A$76:$C$87,3,FALSE)),Setup!$B$14),2))</f>
        <v/>
      </c>
      <c r="O396" s="89">
        <f>IF(OR($M396="",$E396=""),"",ROUND($M396*IFERROR(IF(VLOOKUP($E396,Setup!$A$76:$C$87,3,FALSE)="",Setup!$B$15,VLOOKUP($E396,Setup!$A$76:$C$87,3,FALSE)),Setup!$B$15),2))</f>
        <v/>
      </c>
      <c r="P396" s="98" t="n"/>
      <c r="Q396" s="98" t="n"/>
      <c r="R396" s="98" t="n"/>
      <c r="S396" s="98" t="n"/>
      <c r="T396" s="98" t="n"/>
      <c r="U396" s="89">
        <f>IF($K396="","",SUM($R396:$T396))</f>
        <v/>
      </c>
      <c r="V396" s="89">
        <f>IF($K396="","",$M396-(N($N396)+N($O396)+IF($P396="",Setup!$B$17,$P396)+N($Q396))-N($U396))</f>
        <v/>
      </c>
      <c r="W396" s="94" t="n"/>
      <c r="X396" s="95" t="n"/>
      <c r="Z396" s="92">
        <f>IF($A396="","",DATE(YEAR($A396),MONTH($A396),1))</f>
        <v/>
      </c>
    </row>
    <row r="397">
      <c r="A397" s="85" t="n"/>
      <c r="B397" s="86" t="n"/>
      <c r="C397" s="86" t="n"/>
      <c r="D397" s="87" t="n"/>
      <c r="E397" s="87" t="n"/>
      <c r="F397" s="87" t="n"/>
      <c r="G397" s="87" t="n"/>
      <c r="H397" s="88" t="n"/>
      <c r="I397" s="89">
        <f>IF($G397="","",IF($F397="",IFERROR(INDEX(Setup!$C$21:$C$60,MATCH("|"&amp;UPPER(TRIM($G397)),Setup!$Q$21:$Q$60,0)),"NO RATE"),IFERROR(INDEX(Setup!$C$21:$C$60,MATCH(UPPER(TRIM($F397))&amp;"|"&amp;UPPER(TRIM($G397)),Setup!$P$21:$P$60,0)),IFERROR(INDEX(Setup!$C$21:$C$60,MATCH(UPPER(TRIM($G397))&amp;"|"&amp;UPPER(TRIM($F397)),Setup!$P$21:$P$60,0)),"NO RATE"))))</f>
        <v/>
      </c>
      <c r="J397" s="90" t="n"/>
      <c r="K397" s="89">
        <f>IF(OR($G397="",$H397="",NOT(ISNUMBER($I397))),"",ROUND($H397*$I397*(1+IF($J397="",Setup!$B$16,$J397)),2))</f>
        <v/>
      </c>
      <c r="L397" s="89">
        <f>IF($K397="","",ROUND($K397*Setup!$B$13,2))</f>
        <v/>
      </c>
      <c r="M397" s="89">
        <f>IF($K397="","",$K397-$L397)</f>
        <v/>
      </c>
      <c r="N397" s="89">
        <f>IF(OR($M397="",$D397=""),"",ROUND($M397*IFERROR(IF(VLOOKUP($D397,Setup!$A$76:$C$87,3,FALSE)="",Setup!$B$14,VLOOKUP($D397,Setup!$A$76:$C$87,3,FALSE)),Setup!$B$14),2))</f>
        <v/>
      </c>
      <c r="O397" s="89">
        <f>IF(OR($M397="",$E397=""),"",ROUND($M397*IFERROR(IF(VLOOKUP($E397,Setup!$A$76:$C$87,3,FALSE)="",Setup!$B$15,VLOOKUP($E397,Setup!$A$76:$C$87,3,FALSE)),Setup!$B$15),2))</f>
        <v/>
      </c>
      <c r="P397" s="91" t="n"/>
      <c r="Q397" s="91" t="n"/>
      <c r="R397" s="91" t="n"/>
      <c r="S397" s="91" t="n"/>
      <c r="T397" s="91" t="n"/>
      <c r="U397" s="89">
        <f>IF($K397="","",SUM($R397:$T397))</f>
        <v/>
      </c>
      <c r="V397" s="89">
        <f>IF($K397="","",$M397-(N($N397)+N($O397)+IF($P397="",Setup!$B$17,$P397)+N($Q397))-N($U397))</f>
        <v/>
      </c>
      <c r="W397" s="86" t="n"/>
      <c r="X397" s="87" t="n"/>
      <c r="Z397" s="92">
        <f>IF($A397="","",DATE(YEAR($A397),MONTH($A397),1))</f>
        <v/>
      </c>
    </row>
    <row r="398">
      <c r="A398" s="93" t="n"/>
      <c r="B398" s="94" t="n"/>
      <c r="C398" s="94" t="n"/>
      <c r="D398" s="95" t="n"/>
      <c r="E398" s="95" t="n"/>
      <c r="F398" s="95" t="n"/>
      <c r="G398" s="95" t="n"/>
      <c r="H398" s="96" t="n"/>
      <c r="I398" s="89">
        <f>IF($G398="","",IF($F398="",IFERROR(INDEX(Setup!$C$21:$C$60,MATCH("|"&amp;UPPER(TRIM($G398)),Setup!$Q$21:$Q$60,0)),"NO RATE"),IFERROR(INDEX(Setup!$C$21:$C$60,MATCH(UPPER(TRIM($F398))&amp;"|"&amp;UPPER(TRIM($G398)),Setup!$P$21:$P$60,0)),IFERROR(INDEX(Setup!$C$21:$C$60,MATCH(UPPER(TRIM($G398))&amp;"|"&amp;UPPER(TRIM($F398)),Setup!$P$21:$P$60,0)),"NO RATE"))))</f>
        <v/>
      </c>
      <c r="J398" s="97" t="n"/>
      <c r="K398" s="89">
        <f>IF(OR($G398="",$H398="",NOT(ISNUMBER($I398))),"",ROUND($H398*$I398*(1+IF($J398="",Setup!$B$16,$J398)),2))</f>
        <v/>
      </c>
      <c r="L398" s="89">
        <f>IF($K398="","",ROUND($K398*Setup!$B$13,2))</f>
        <v/>
      </c>
      <c r="M398" s="89">
        <f>IF($K398="","",$K398-$L398)</f>
        <v/>
      </c>
      <c r="N398" s="89">
        <f>IF(OR($M398="",$D398=""),"",ROUND($M398*IFERROR(IF(VLOOKUP($D398,Setup!$A$76:$C$87,3,FALSE)="",Setup!$B$14,VLOOKUP($D398,Setup!$A$76:$C$87,3,FALSE)),Setup!$B$14),2))</f>
        <v/>
      </c>
      <c r="O398" s="89">
        <f>IF(OR($M398="",$E398=""),"",ROUND($M398*IFERROR(IF(VLOOKUP($E398,Setup!$A$76:$C$87,3,FALSE)="",Setup!$B$15,VLOOKUP($E398,Setup!$A$76:$C$87,3,FALSE)),Setup!$B$15),2))</f>
        <v/>
      </c>
      <c r="P398" s="98" t="n"/>
      <c r="Q398" s="98" t="n"/>
      <c r="R398" s="98" t="n"/>
      <c r="S398" s="98" t="n"/>
      <c r="T398" s="98" t="n"/>
      <c r="U398" s="89">
        <f>IF($K398="","",SUM($R398:$T398))</f>
        <v/>
      </c>
      <c r="V398" s="89">
        <f>IF($K398="","",$M398-(N($N398)+N($O398)+IF($P398="",Setup!$B$17,$P398)+N($Q398))-N($U398))</f>
        <v/>
      </c>
      <c r="W398" s="94" t="n"/>
      <c r="X398" s="95" t="n"/>
      <c r="Z398" s="92">
        <f>IF($A398="","",DATE(YEAR($A398),MONTH($A398),1))</f>
        <v/>
      </c>
    </row>
    <row r="399">
      <c r="A399" s="85" t="n"/>
      <c r="B399" s="86" t="n"/>
      <c r="C399" s="86" t="n"/>
      <c r="D399" s="87" t="n"/>
      <c r="E399" s="87" t="n"/>
      <c r="F399" s="87" t="n"/>
      <c r="G399" s="87" t="n"/>
      <c r="H399" s="88" t="n"/>
      <c r="I399" s="89">
        <f>IF($G399="","",IF($F399="",IFERROR(INDEX(Setup!$C$21:$C$60,MATCH("|"&amp;UPPER(TRIM($G399)),Setup!$Q$21:$Q$60,0)),"NO RATE"),IFERROR(INDEX(Setup!$C$21:$C$60,MATCH(UPPER(TRIM($F399))&amp;"|"&amp;UPPER(TRIM($G399)),Setup!$P$21:$P$60,0)),IFERROR(INDEX(Setup!$C$21:$C$60,MATCH(UPPER(TRIM($G399))&amp;"|"&amp;UPPER(TRIM($F399)),Setup!$P$21:$P$60,0)),"NO RATE"))))</f>
        <v/>
      </c>
      <c r="J399" s="90" t="n"/>
      <c r="K399" s="89">
        <f>IF(OR($G399="",$H399="",NOT(ISNUMBER($I399))),"",ROUND($H399*$I399*(1+IF($J399="",Setup!$B$16,$J399)),2))</f>
        <v/>
      </c>
      <c r="L399" s="89">
        <f>IF($K399="","",ROUND($K399*Setup!$B$13,2))</f>
        <v/>
      </c>
      <c r="M399" s="89">
        <f>IF($K399="","",$K399-$L399)</f>
        <v/>
      </c>
      <c r="N399" s="89">
        <f>IF(OR($M399="",$D399=""),"",ROUND($M399*IFERROR(IF(VLOOKUP($D399,Setup!$A$76:$C$87,3,FALSE)="",Setup!$B$14,VLOOKUP($D399,Setup!$A$76:$C$87,3,FALSE)),Setup!$B$14),2))</f>
        <v/>
      </c>
      <c r="O399" s="89">
        <f>IF(OR($M399="",$E399=""),"",ROUND($M399*IFERROR(IF(VLOOKUP($E399,Setup!$A$76:$C$87,3,FALSE)="",Setup!$B$15,VLOOKUP($E399,Setup!$A$76:$C$87,3,FALSE)),Setup!$B$15),2))</f>
        <v/>
      </c>
      <c r="P399" s="91" t="n"/>
      <c r="Q399" s="91" t="n"/>
      <c r="R399" s="91" t="n"/>
      <c r="S399" s="91" t="n"/>
      <c r="T399" s="91" t="n"/>
      <c r="U399" s="89">
        <f>IF($K399="","",SUM($R399:$T399))</f>
        <v/>
      </c>
      <c r="V399" s="89">
        <f>IF($K399="","",$M399-(N($N399)+N($O399)+IF($P399="",Setup!$B$17,$P399)+N($Q399))-N($U399))</f>
        <v/>
      </c>
      <c r="W399" s="86" t="n"/>
      <c r="X399" s="87" t="n"/>
      <c r="Z399" s="92">
        <f>IF($A399="","",DATE(YEAR($A399),MONTH($A399),1))</f>
        <v/>
      </c>
    </row>
    <row r="400">
      <c r="A400" s="93" t="n"/>
      <c r="B400" s="94" t="n"/>
      <c r="C400" s="94" t="n"/>
      <c r="D400" s="95" t="n"/>
      <c r="E400" s="95" t="n"/>
      <c r="F400" s="95" t="n"/>
      <c r="G400" s="95" t="n"/>
      <c r="H400" s="96" t="n"/>
      <c r="I400" s="89">
        <f>IF($G400="","",IF($F400="",IFERROR(INDEX(Setup!$C$21:$C$60,MATCH("|"&amp;UPPER(TRIM($G400)),Setup!$Q$21:$Q$60,0)),"NO RATE"),IFERROR(INDEX(Setup!$C$21:$C$60,MATCH(UPPER(TRIM($F400))&amp;"|"&amp;UPPER(TRIM($G400)),Setup!$P$21:$P$60,0)),IFERROR(INDEX(Setup!$C$21:$C$60,MATCH(UPPER(TRIM($G400))&amp;"|"&amp;UPPER(TRIM($F400)),Setup!$P$21:$P$60,0)),"NO RATE"))))</f>
        <v/>
      </c>
      <c r="J400" s="97" t="n"/>
      <c r="K400" s="89">
        <f>IF(OR($G400="",$H400="",NOT(ISNUMBER($I400))),"",ROUND($H400*$I400*(1+IF($J400="",Setup!$B$16,$J400)),2))</f>
        <v/>
      </c>
      <c r="L400" s="89">
        <f>IF($K400="","",ROUND($K400*Setup!$B$13,2))</f>
        <v/>
      </c>
      <c r="M400" s="89">
        <f>IF($K400="","",$K400-$L400)</f>
        <v/>
      </c>
      <c r="N400" s="89">
        <f>IF(OR($M400="",$D400=""),"",ROUND($M400*IFERROR(IF(VLOOKUP($D400,Setup!$A$76:$C$87,3,FALSE)="",Setup!$B$14,VLOOKUP($D400,Setup!$A$76:$C$87,3,FALSE)),Setup!$B$14),2))</f>
        <v/>
      </c>
      <c r="O400" s="89">
        <f>IF(OR($M400="",$E400=""),"",ROUND($M400*IFERROR(IF(VLOOKUP($E400,Setup!$A$76:$C$87,3,FALSE)="",Setup!$B$15,VLOOKUP($E400,Setup!$A$76:$C$87,3,FALSE)),Setup!$B$15),2))</f>
        <v/>
      </c>
      <c r="P400" s="98" t="n"/>
      <c r="Q400" s="98" t="n"/>
      <c r="R400" s="98" t="n"/>
      <c r="S400" s="98" t="n"/>
      <c r="T400" s="98" t="n"/>
      <c r="U400" s="89">
        <f>IF($K400="","",SUM($R400:$T400))</f>
        <v/>
      </c>
      <c r="V400" s="89">
        <f>IF($K400="","",$M400-(N($N400)+N($O400)+IF($P400="",Setup!$B$17,$P400)+N($Q400))-N($U400))</f>
        <v/>
      </c>
      <c r="W400" s="94" t="n"/>
      <c r="X400" s="95" t="n"/>
      <c r="Z400" s="92">
        <f>IF($A400="","",DATE(YEAR($A400),MONTH($A400),1))</f>
        <v/>
      </c>
    </row>
    <row r="401">
      <c r="A401" s="85" t="n"/>
      <c r="B401" s="86" t="n"/>
      <c r="C401" s="86" t="n"/>
      <c r="D401" s="87" t="n"/>
      <c r="E401" s="87" t="n"/>
      <c r="F401" s="87" t="n"/>
      <c r="G401" s="87" t="n"/>
      <c r="H401" s="88" t="n"/>
      <c r="I401" s="89">
        <f>IF($G401="","",IF($F401="",IFERROR(INDEX(Setup!$C$21:$C$60,MATCH("|"&amp;UPPER(TRIM($G401)),Setup!$Q$21:$Q$60,0)),"NO RATE"),IFERROR(INDEX(Setup!$C$21:$C$60,MATCH(UPPER(TRIM($F401))&amp;"|"&amp;UPPER(TRIM($G401)),Setup!$P$21:$P$60,0)),IFERROR(INDEX(Setup!$C$21:$C$60,MATCH(UPPER(TRIM($G401))&amp;"|"&amp;UPPER(TRIM($F401)),Setup!$P$21:$P$60,0)),"NO RATE"))))</f>
        <v/>
      </c>
      <c r="J401" s="90" t="n"/>
      <c r="K401" s="89">
        <f>IF(OR($G401="",$H401="",NOT(ISNUMBER($I401))),"",ROUND($H401*$I401*(1+IF($J401="",Setup!$B$16,$J401)),2))</f>
        <v/>
      </c>
      <c r="L401" s="89">
        <f>IF($K401="","",ROUND($K401*Setup!$B$13,2))</f>
        <v/>
      </c>
      <c r="M401" s="89">
        <f>IF($K401="","",$K401-$L401)</f>
        <v/>
      </c>
      <c r="N401" s="89">
        <f>IF(OR($M401="",$D401=""),"",ROUND($M401*IFERROR(IF(VLOOKUP($D401,Setup!$A$76:$C$87,3,FALSE)="",Setup!$B$14,VLOOKUP($D401,Setup!$A$76:$C$87,3,FALSE)),Setup!$B$14),2))</f>
        <v/>
      </c>
      <c r="O401" s="89">
        <f>IF(OR($M401="",$E401=""),"",ROUND($M401*IFERROR(IF(VLOOKUP($E401,Setup!$A$76:$C$87,3,FALSE)="",Setup!$B$15,VLOOKUP($E401,Setup!$A$76:$C$87,3,FALSE)),Setup!$B$15),2))</f>
        <v/>
      </c>
      <c r="P401" s="91" t="n"/>
      <c r="Q401" s="91" t="n"/>
      <c r="R401" s="91" t="n"/>
      <c r="S401" s="91" t="n"/>
      <c r="T401" s="91" t="n"/>
      <c r="U401" s="89">
        <f>IF($K401="","",SUM($R401:$T401))</f>
        <v/>
      </c>
      <c r="V401" s="89">
        <f>IF($K401="","",$M401-(N($N401)+N($O401)+IF($P401="",Setup!$B$17,$P401)+N($Q401))-N($U401))</f>
        <v/>
      </c>
      <c r="W401" s="86" t="n"/>
      <c r="X401" s="87" t="n"/>
      <c r="Z401" s="92">
        <f>IF($A401="","",DATE(YEAR($A401),MONTH($A401),1))</f>
        <v/>
      </c>
    </row>
    <row r="402">
      <c r="A402" s="93" t="n"/>
      <c r="B402" s="94" t="n"/>
      <c r="C402" s="94" t="n"/>
      <c r="D402" s="95" t="n"/>
      <c r="E402" s="95" t="n"/>
      <c r="F402" s="95" t="n"/>
      <c r="G402" s="95" t="n"/>
      <c r="H402" s="96" t="n"/>
      <c r="I402" s="89">
        <f>IF($G402="","",IF($F402="",IFERROR(INDEX(Setup!$C$21:$C$60,MATCH("|"&amp;UPPER(TRIM($G402)),Setup!$Q$21:$Q$60,0)),"NO RATE"),IFERROR(INDEX(Setup!$C$21:$C$60,MATCH(UPPER(TRIM($F402))&amp;"|"&amp;UPPER(TRIM($G402)),Setup!$P$21:$P$60,0)),IFERROR(INDEX(Setup!$C$21:$C$60,MATCH(UPPER(TRIM($G402))&amp;"|"&amp;UPPER(TRIM($F402)),Setup!$P$21:$P$60,0)),"NO RATE"))))</f>
        <v/>
      </c>
      <c r="J402" s="97" t="n"/>
      <c r="K402" s="89">
        <f>IF(OR($G402="",$H402="",NOT(ISNUMBER($I402))),"",ROUND($H402*$I402*(1+IF($J402="",Setup!$B$16,$J402)),2))</f>
        <v/>
      </c>
      <c r="L402" s="89">
        <f>IF($K402="","",ROUND($K402*Setup!$B$13,2))</f>
        <v/>
      </c>
      <c r="M402" s="89">
        <f>IF($K402="","",$K402-$L402)</f>
        <v/>
      </c>
      <c r="N402" s="89">
        <f>IF(OR($M402="",$D402=""),"",ROUND($M402*IFERROR(IF(VLOOKUP($D402,Setup!$A$76:$C$87,3,FALSE)="",Setup!$B$14,VLOOKUP($D402,Setup!$A$76:$C$87,3,FALSE)),Setup!$B$14),2))</f>
        <v/>
      </c>
      <c r="O402" s="89">
        <f>IF(OR($M402="",$E402=""),"",ROUND($M402*IFERROR(IF(VLOOKUP($E402,Setup!$A$76:$C$87,3,FALSE)="",Setup!$B$15,VLOOKUP($E402,Setup!$A$76:$C$87,3,FALSE)),Setup!$B$15),2))</f>
        <v/>
      </c>
      <c r="P402" s="98" t="n"/>
      <c r="Q402" s="98" t="n"/>
      <c r="R402" s="98" t="n"/>
      <c r="S402" s="98" t="n"/>
      <c r="T402" s="98" t="n"/>
      <c r="U402" s="89">
        <f>IF($K402="","",SUM($R402:$T402))</f>
        <v/>
      </c>
      <c r="V402" s="89">
        <f>IF($K402="","",$M402-(N($N402)+N($O402)+IF($P402="",Setup!$B$17,$P402)+N($Q402))-N($U402))</f>
        <v/>
      </c>
      <c r="W402" s="94" t="n"/>
      <c r="X402" s="95" t="n"/>
      <c r="Z402" s="92">
        <f>IF($A402="","",DATE(YEAR($A402),MONTH($A402),1))</f>
        <v/>
      </c>
    </row>
    <row r="403">
      <c r="A403" s="85" t="n"/>
      <c r="B403" s="86" t="n"/>
      <c r="C403" s="86" t="n"/>
      <c r="D403" s="87" t="n"/>
      <c r="E403" s="87" t="n"/>
      <c r="F403" s="87" t="n"/>
      <c r="G403" s="87" t="n"/>
      <c r="H403" s="88" t="n"/>
      <c r="I403" s="89">
        <f>IF($G403="","",IF($F403="",IFERROR(INDEX(Setup!$C$21:$C$60,MATCH("|"&amp;UPPER(TRIM($G403)),Setup!$Q$21:$Q$60,0)),"NO RATE"),IFERROR(INDEX(Setup!$C$21:$C$60,MATCH(UPPER(TRIM($F403))&amp;"|"&amp;UPPER(TRIM($G403)),Setup!$P$21:$P$60,0)),IFERROR(INDEX(Setup!$C$21:$C$60,MATCH(UPPER(TRIM($G403))&amp;"|"&amp;UPPER(TRIM($F403)),Setup!$P$21:$P$60,0)),"NO RATE"))))</f>
        <v/>
      </c>
      <c r="J403" s="90" t="n"/>
      <c r="K403" s="89">
        <f>IF(OR($G403="",$H403="",NOT(ISNUMBER($I403))),"",ROUND($H403*$I403*(1+IF($J403="",Setup!$B$16,$J403)),2))</f>
        <v/>
      </c>
      <c r="L403" s="89">
        <f>IF($K403="","",ROUND($K403*Setup!$B$13,2))</f>
        <v/>
      </c>
      <c r="M403" s="89">
        <f>IF($K403="","",$K403-$L403)</f>
        <v/>
      </c>
      <c r="N403" s="89">
        <f>IF(OR($M403="",$D403=""),"",ROUND($M403*IFERROR(IF(VLOOKUP($D403,Setup!$A$76:$C$87,3,FALSE)="",Setup!$B$14,VLOOKUP($D403,Setup!$A$76:$C$87,3,FALSE)),Setup!$B$14),2))</f>
        <v/>
      </c>
      <c r="O403" s="89">
        <f>IF(OR($M403="",$E403=""),"",ROUND($M403*IFERROR(IF(VLOOKUP($E403,Setup!$A$76:$C$87,3,FALSE)="",Setup!$B$15,VLOOKUP($E403,Setup!$A$76:$C$87,3,FALSE)),Setup!$B$15),2))</f>
        <v/>
      </c>
      <c r="P403" s="91" t="n"/>
      <c r="Q403" s="91" t="n"/>
      <c r="R403" s="91" t="n"/>
      <c r="S403" s="91" t="n"/>
      <c r="T403" s="91" t="n"/>
      <c r="U403" s="89">
        <f>IF($K403="","",SUM($R403:$T403))</f>
        <v/>
      </c>
      <c r="V403" s="89">
        <f>IF($K403="","",$M403-(N($N403)+N($O403)+IF($P403="",Setup!$B$17,$P403)+N($Q403))-N($U403))</f>
        <v/>
      </c>
      <c r="W403" s="86" t="n"/>
      <c r="X403" s="87" t="n"/>
      <c r="Z403" s="92">
        <f>IF($A403="","",DATE(YEAR($A403),MONTH($A403),1))</f>
        <v/>
      </c>
    </row>
    <row r="404">
      <c r="A404" s="93" t="n"/>
      <c r="B404" s="94" t="n"/>
      <c r="C404" s="94" t="n"/>
      <c r="D404" s="95" t="n"/>
      <c r="E404" s="95" t="n"/>
      <c r="F404" s="95" t="n"/>
      <c r="G404" s="95" t="n"/>
      <c r="H404" s="96" t="n"/>
      <c r="I404" s="89">
        <f>IF($G404="","",IF($F404="",IFERROR(INDEX(Setup!$C$21:$C$60,MATCH("|"&amp;UPPER(TRIM($G404)),Setup!$Q$21:$Q$60,0)),"NO RATE"),IFERROR(INDEX(Setup!$C$21:$C$60,MATCH(UPPER(TRIM($F404))&amp;"|"&amp;UPPER(TRIM($G404)),Setup!$P$21:$P$60,0)),IFERROR(INDEX(Setup!$C$21:$C$60,MATCH(UPPER(TRIM($G404))&amp;"|"&amp;UPPER(TRIM($F404)),Setup!$P$21:$P$60,0)),"NO RATE"))))</f>
        <v/>
      </c>
      <c r="J404" s="97" t="n"/>
      <c r="K404" s="89">
        <f>IF(OR($G404="",$H404="",NOT(ISNUMBER($I404))),"",ROUND($H404*$I404*(1+IF($J404="",Setup!$B$16,$J404)),2))</f>
        <v/>
      </c>
      <c r="L404" s="89">
        <f>IF($K404="","",ROUND($K404*Setup!$B$13,2))</f>
        <v/>
      </c>
      <c r="M404" s="89">
        <f>IF($K404="","",$K404-$L404)</f>
        <v/>
      </c>
      <c r="N404" s="89">
        <f>IF(OR($M404="",$D404=""),"",ROUND($M404*IFERROR(IF(VLOOKUP($D404,Setup!$A$76:$C$87,3,FALSE)="",Setup!$B$14,VLOOKUP($D404,Setup!$A$76:$C$87,3,FALSE)),Setup!$B$14),2))</f>
        <v/>
      </c>
      <c r="O404" s="89">
        <f>IF(OR($M404="",$E404=""),"",ROUND($M404*IFERROR(IF(VLOOKUP($E404,Setup!$A$76:$C$87,3,FALSE)="",Setup!$B$15,VLOOKUP($E404,Setup!$A$76:$C$87,3,FALSE)),Setup!$B$15),2))</f>
        <v/>
      </c>
      <c r="P404" s="98" t="n"/>
      <c r="Q404" s="98" t="n"/>
      <c r="R404" s="98" t="n"/>
      <c r="S404" s="98" t="n"/>
      <c r="T404" s="98" t="n"/>
      <c r="U404" s="89">
        <f>IF($K404="","",SUM($R404:$T404))</f>
        <v/>
      </c>
      <c r="V404" s="89">
        <f>IF($K404="","",$M404-(N($N404)+N($O404)+IF($P404="",Setup!$B$17,$P404)+N($Q404))-N($U404))</f>
        <v/>
      </c>
      <c r="W404" s="94" t="n"/>
      <c r="X404" s="95" t="n"/>
      <c r="Z404" s="92">
        <f>IF($A404="","",DATE(YEAR($A404),MONTH($A404),1))</f>
        <v/>
      </c>
    </row>
    <row r="405">
      <c r="A405" s="85" t="n"/>
      <c r="B405" s="86" t="n"/>
      <c r="C405" s="86" t="n"/>
      <c r="D405" s="87" t="n"/>
      <c r="E405" s="87" t="n"/>
      <c r="F405" s="87" t="n"/>
      <c r="G405" s="87" t="n"/>
      <c r="H405" s="88" t="n"/>
      <c r="I405" s="89">
        <f>IF($G405="","",IF($F405="",IFERROR(INDEX(Setup!$C$21:$C$60,MATCH("|"&amp;UPPER(TRIM($G405)),Setup!$Q$21:$Q$60,0)),"NO RATE"),IFERROR(INDEX(Setup!$C$21:$C$60,MATCH(UPPER(TRIM($F405))&amp;"|"&amp;UPPER(TRIM($G405)),Setup!$P$21:$P$60,0)),IFERROR(INDEX(Setup!$C$21:$C$60,MATCH(UPPER(TRIM($G405))&amp;"|"&amp;UPPER(TRIM($F405)),Setup!$P$21:$P$60,0)),"NO RATE"))))</f>
        <v/>
      </c>
      <c r="J405" s="90" t="n"/>
      <c r="K405" s="89">
        <f>IF(OR($G405="",$H405="",NOT(ISNUMBER($I405))),"",ROUND($H405*$I405*(1+IF($J405="",Setup!$B$16,$J405)),2))</f>
        <v/>
      </c>
      <c r="L405" s="89">
        <f>IF($K405="","",ROUND($K405*Setup!$B$13,2))</f>
        <v/>
      </c>
      <c r="M405" s="89">
        <f>IF($K405="","",$K405-$L405)</f>
        <v/>
      </c>
      <c r="N405" s="89">
        <f>IF(OR($M405="",$D405=""),"",ROUND($M405*IFERROR(IF(VLOOKUP($D405,Setup!$A$76:$C$87,3,FALSE)="",Setup!$B$14,VLOOKUP($D405,Setup!$A$76:$C$87,3,FALSE)),Setup!$B$14),2))</f>
        <v/>
      </c>
      <c r="O405" s="89">
        <f>IF(OR($M405="",$E405=""),"",ROUND($M405*IFERROR(IF(VLOOKUP($E405,Setup!$A$76:$C$87,3,FALSE)="",Setup!$B$15,VLOOKUP($E405,Setup!$A$76:$C$87,3,FALSE)),Setup!$B$15),2))</f>
        <v/>
      </c>
      <c r="P405" s="91" t="n"/>
      <c r="Q405" s="91" t="n"/>
      <c r="R405" s="91" t="n"/>
      <c r="S405" s="91" t="n"/>
      <c r="T405" s="91" t="n"/>
      <c r="U405" s="89">
        <f>IF($K405="","",SUM($R405:$T405))</f>
        <v/>
      </c>
      <c r="V405" s="89">
        <f>IF($K405="","",$M405-(N($N405)+N($O405)+IF($P405="",Setup!$B$17,$P405)+N($Q405))-N($U405))</f>
        <v/>
      </c>
      <c r="W405" s="86" t="n"/>
      <c r="X405" s="87" t="n"/>
      <c r="Z405" s="92">
        <f>IF($A405="","",DATE(YEAR($A405),MONTH($A405),1))</f>
        <v/>
      </c>
    </row>
    <row r="406">
      <c r="A406" s="93" t="n"/>
      <c r="B406" s="94" t="n"/>
      <c r="C406" s="94" t="n"/>
      <c r="D406" s="95" t="n"/>
      <c r="E406" s="95" t="n"/>
      <c r="F406" s="95" t="n"/>
      <c r="G406" s="95" t="n"/>
      <c r="H406" s="96" t="n"/>
      <c r="I406" s="89">
        <f>IF($G406="","",IF($F406="",IFERROR(INDEX(Setup!$C$21:$C$60,MATCH("|"&amp;UPPER(TRIM($G406)),Setup!$Q$21:$Q$60,0)),"NO RATE"),IFERROR(INDEX(Setup!$C$21:$C$60,MATCH(UPPER(TRIM($F406))&amp;"|"&amp;UPPER(TRIM($G406)),Setup!$P$21:$P$60,0)),IFERROR(INDEX(Setup!$C$21:$C$60,MATCH(UPPER(TRIM($G406))&amp;"|"&amp;UPPER(TRIM($F406)),Setup!$P$21:$P$60,0)),"NO RATE"))))</f>
        <v/>
      </c>
      <c r="J406" s="97" t="n"/>
      <c r="K406" s="89">
        <f>IF(OR($G406="",$H406="",NOT(ISNUMBER($I406))),"",ROUND($H406*$I406*(1+IF($J406="",Setup!$B$16,$J406)),2))</f>
        <v/>
      </c>
      <c r="L406" s="89">
        <f>IF($K406="","",ROUND($K406*Setup!$B$13,2))</f>
        <v/>
      </c>
      <c r="M406" s="89">
        <f>IF($K406="","",$K406-$L406)</f>
        <v/>
      </c>
      <c r="N406" s="89">
        <f>IF(OR($M406="",$D406=""),"",ROUND($M406*IFERROR(IF(VLOOKUP($D406,Setup!$A$76:$C$87,3,FALSE)="",Setup!$B$14,VLOOKUP($D406,Setup!$A$76:$C$87,3,FALSE)),Setup!$B$14),2))</f>
        <v/>
      </c>
      <c r="O406" s="89">
        <f>IF(OR($M406="",$E406=""),"",ROUND($M406*IFERROR(IF(VLOOKUP($E406,Setup!$A$76:$C$87,3,FALSE)="",Setup!$B$15,VLOOKUP($E406,Setup!$A$76:$C$87,3,FALSE)),Setup!$B$15),2))</f>
        <v/>
      </c>
      <c r="P406" s="98" t="n"/>
      <c r="Q406" s="98" t="n"/>
      <c r="R406" s="98" t="n"/>
      <c r="S406" s="98" t="n"/>
      <c r="T406" s="98" t="n"/>
      <c r="U406" s="89">
        <f>IF($K406="","",SUM($R406:$T406))</f>
        <v/>
      </c>
      <c r="V406" s="89">
        <f>IF($K406="","",$M406-(N($N406)+N($O406)+IF($P406="",Setup!$B$17,$P406)+N($Q406))-N($U406))</f>
        <v/>
      </c>
      <c r="W406" s="94" t="n"/>
      <c r="X406" s="95" t="n"/>
      <c r="Z406" s="92">
        <f>IF($A406="","",DATE(YEAR($A406),MONTH($A406),1))</f>
        <v/>
      </c>
    </row>
    <row r="407">
      <c r="A407" s="85" t="n"/>
      <c r="B407" s="86" t="n"/>
      <c r="C407" s="86" t="n"/>
      <c r="D407" s="87" t="n"/>
      <c r="E407" s="87" t="n"/>
      <c r="F407" s="87" t="n"/>
      <c r="G407" s="87" t="n"/>
      <c r="H407" s="88" t="n"/>
      <c r="I407" s="89">
        <f>IF($G407="","",IF($F407="",IFERROR(INDEX(Setup!$C$21:$C$60,MATCH("|"&amp;UPPER(TRIM($G407)),Setup!$Q$21:$Q$60,0)),"NO RATE"),IFERROR(INDEX(Setup!$C$21:$C$60,MATCH(UPPER(TRIM($F407))&amp;"|"&amp;UPPER(TRIM($G407)),Setup!$P$21:$P$60,0)),IFERROR(INDEX(Setup!$C$21:$C$60,MATCH(UPPER(TRIM($G407))&amp;"|"&amp;UPPER(TRIM($F407)),Setup!$P$21:$P$60,0)),"NO RATE"))))</f>
        <v/>
      </c>
      <c r="J407" s="90" t="n"/>
      <c r="K407" s="89">
        <f>IF(OR($G407="",$H407="",NOT(ISNUMBER($I407))),"",ROUND($H407*$I407*(1+IF($J407="",Setup!$B$16,$J407)),2))</f>
        <v/>
      </c>
      <c r="L407" s="89">
        <f>IF($K407="","",ROUND($K407*Setup!$B$13,2))</f>
        <v/>
      </c>
      <c r="M407" s="89">
        <f>IF($K407="","",$K407-$L407)</f>
        <v/>
      </c>
      <c r="N407" s="89">
        <f>IF(OR($M407="",$D407=""),"",ROUND($M407*IFERROR(IF(VLOOKUP($D407,Setup!$A$76:$C$87,3,FALSE)="",Setup!$B$14,VLOOKUP($D407,Setup!$A$76:$C$87,3,FALSE)),Setup!$B$14),2))</f>
        <v/>
      </c>
      <c r="O407" s="89">
        <f>IF(OR($M407="",$E407=""),"",ROUND($M407*IFERROR(IF(VLOOKUP($E407,Setup!$A$76:$C$87,3,FALSE)="",Setup!$B$15,VLOOKUP($E407,Setup!$A$76:$C$87,3,FALSE)),Setup!$B$15),2))</f>
        <v/>
      </c>
      <c r="P407" s="91" t="n"/>
      <c r="Q407" s="91" t="n"/>
      <c r="R407" s="91" t="n"/>
      <c r="S407" s="91" t="n"/>
      <c r="T407" s="91" t="n"/>
      <c r="U407" s="89">
        <f>IF($K407="","",SUM($R407:$T407))</f>
        <v/>
      </c>
      <c r="V407" s="89">
        <f>IF($K407="","",$M407-(N($N407)+N($O407)+IF($P407="",Setup!$B$17,$P407)+N($Q407))-N($U407))</f>
        <v/>
      </c>
      <c r="W407" s="86" t="n"/>
      <c r="X407" s="87" t="n"/>
      <c r="Z407" s="92">
        <f>IF($A407="","",DATE(YEAR($A407),MONTH($A407),1))</f>
        <v/>
      </c>
    </row>
    <row r="408">
      <c r="A408" s="93" t="n"/>
      <c r="B408" s="94" t="n"/>
      <c r="C408" s="94" t="n"/>
      <c r="D408" s="95" t="n"/>
      <c r="E408" s="95" t="n"/>
      <c r="F408" s="95" t="n"/>
      <c r="G408" s="95" t="n"/>
      <c r="H408" s="96" t="n"/>
      <c r="I408" s="89">
        <f>IF($G408="","",IF($F408="",IFERROR(INDEX(Setup!$C$21:$C$60,MATCH("|"&amp;UPPER(TRIM($G408)),Setup!$Q$21:$Q$60,0)),"NO RATE"),IFERROR(INDEX(Setup!$C$21:$C$60,MATCH(UPPER(TRIM($F408))&amp;"|"&amp;UPPER(TRIM($G408)),Setup!$P$21:$P$60,0)),IFERROR(INDEX(Setup!$C$21:$C$60,MATCH(UPPER(TRIM($G408))&amp;"|"&amp;UPPER(TRIM($F408)),Setup!$P$21:$P$60,0)),"NO RATE"))))</f>
        <v/>
      </c>
      <c r="J408" s="97" t="n"/>
      <c r="K408" s="89">
        <f>IF(OR($G408="",$H408="",NOT(ISNUMBER($I408))),"",ROUND($H408*$I408*(1+IF($J408="",Setup!$B$16,$J408)),2))</f>
        <v/>
      </c>
      <c r="L408" s="89">
        <f>IF($K408="","",ROUND($K408*Setup!$B$13,2))</f>
        <v/>
      </c>
      <c r="M408" s="89">
        <f>IF($K408="","",$K408-$L408)</f>
        <v/>
      </c>
      <c r="N408" s="89">
        <f>IF(OR($M408="",$D408=""),"",ROUND($M408*IFERROR(IF(VLOOKUP($D408,Setup!$A$76:$C$87,3,FALSE)="",Setup!$B$14,VLOOKUP($D408,Setup!$A$76:$C$87,3,FALSE)),Setup!$B$14),2))</f>
        <v/>
      </c>
      <c r="O408" s="89">
        <f>IF(OR($M408="",$E408=""),"",ROUND($M408*IFERROR(IF(VLOOKUP($E408,Setup!$A$76:$C$87,3,FALSE)="",Setup!$B$15,VLOOKUP($E408,Setup!$A$76:$C$87,3,FALSE)),Setup!$B$15),2))</f>
        <v/>
      </c>
      <c r="P408" s="98" t="n"/>
      <c r="Q408" s="98" t="n"/>
      <c r="R408" s="98" t="n"/>
      <c r="S408" s="98" t="n"/>
      <c r="T408" s="98" t="n"/>
      <c r="U408" s="89">
        <f>IF($K408="","",SUM($R408:$T408))</f>
        <v/>
      </c>
      <c r="V408" s="89">
        <f>IF($K408="","",$M408-(N($N408)+N($O408)+IF($P408="",Setup!$B$17,$P408)+N($Q408))-N($U408))</f>
        <v/>
      </c>
      <c r="W408" s="94" t="n"/>
      <c r="X408" s="95" t="n"/>
      <c r="Z408" s="92">
        <f>IF($A408="","",DATE(YEAR($A408),MONTH($A408),1))</f>
        <v/>
      </c>
    </row>
    <row r="409">
      <c r="A409" s="85" t="n"/>
      <c r="B409" s="86" t="n"/>
      <c r="C409" s="86" t="n"/>
      <c r="D409" s="87" t="n"/>
      <c r="E409" s="87" t="n"/>
      <c r="F409" s="87" t="n"/>
      <c r="G409" s="87" t="n"/>
      <c r="H409" s="88" t="n"/>
      <c r="I409" s="89">
        <f>IF($G409="","",IF($F409="",IFERROR(INDEX(Setup!$C$21:$C$60,MATCH("|"&amp;UPPER(TRIM($G409)),Setup!$Q$21:$Q$60,0)),"NO RATE"),IFERROR(INDEX(Setup!$C$21:$C$60,MATCH(UPPER(TRIM($F409))&amp;"|"&amp;UPPER(TRIM($G409)),Setup!$P$21:$P$60,0)),IFERROR(INDEX(Setup!$C$21:$C$60,MATCH(UPPER(TRIM($G409))&amp;"|"&amp;UPPER(TRIM($F409)),Setup!$P$21:$P$60,0)),"NO RATE"))))</f>
        <v/>
      </c>
      <c r="J409" s="90" t="n"/>
      <c r="K409" s="89">
        <f>IF(OR($G409="",$H409="",NOT(ISNUMBER($I409))),"",ROUND($H409*$I409*(1+IF($J409="",Setup!$B$16,$J409)),2))</f>
        <v/>
      </c>
      <c r="L409" s="89">
        <f>IF($K409="","",ROUND($K409*Setup!$B$13,2))</f>
        <v/>
      </c>
      <c r="M409" s="89">
        <f>IF($K409="","",$K409-$L409)</f>
        <v/>
      </c>
      <c r="N409" s="89">
        <f>IF(OR($M409="",$D409=""),"",ROUND($M409*IFERROR(IF(VLOOKUP($D409,Setup!$A$76:$C$87,3,FALSE)="",Setup!$B$14,VLOOKUP($D409,Setup!$A$76:$C$87,3,FALSE)),Setup!$B$14),2))</f>
        <v/>
      </c>
      <c r="O409" s="89">
        <f>IF(OR($M409="",$E409=""),"",ROUND($M409*IFERROR(IF(VLOOKUP($E409,Setup!$A$76:$C$87,3,FALSE)="",Setup!$B$15,VLOOKUP($E409,Setup!$A$76:$C$87,3,FALSE)),Setup!$B$15),2))</f>
        <v/>
      </c>
      <c r="P409" s="91" t="n"/>
      <c r="Q409" s="91" t="n"/>
      <c r="R409" s="91" t="n"/>
      <c r="S409" s="91" t="n"/>
      <c r="T409" s="91" t="n"/>
      <c r="U409" s="89">
        <f>IF($K409="","",SUM($R409:$T409))</f>
        <v/>
      </c>
      <c r="V409" s="89">
        <f>IF($K409="","",$M409-(N($N409)+N($O409)+IF($P409="",Setup!$B$17,$P409)+N($Q409))-N($U409))</f>
        <v/>
      </c>
      <c r="W409" s="86" t="n"/>
      <c r="X409" s="87" t="n"/>
      <c r="Z409" s="92">
        <f>IF($A409="","",DATE(YEAR($A409),MONTH($A409),1))</f>
        <v/>
      </c>
    </row>
    <row r="410">
      <c r="A410" s="93" t="n"/>
      <c r="B410" s="94" t="n"/>
      <c r="C410" s="94" t="n"/>
      <c r="D410" s="95" t="n"/>
      <c r="E410" s="95" t="n"/>
      <c r="F410" s="95" t="n"/>
      <c r="G410" s="95" t="n"/>
      <c r="H410" s="96" t="n"/>
      <c r="I410" s="89">
        <f>IF($G410="","",IF($F410="",IFERROR(INDEX(Setup!$C$21:$C$60,MATCH("|"&amp;UPPER(TRIM($G410)),Setup!$Q$21:$Q$60,0)),"NO RATE"),IFERROR(INDEX(Setup!$C$21:$C$60,MATCH(UPPER(TRIM($F410))&amp;"|"&amp;UPPER(TRIM($G410)),Setup!$P$21:$P$60,0)),IFERROR(INDEX(Setup!$C$21:$C$60,MATCH(UPPER(TRIM($G410))&amp;"|"&amp;UPPER(TRIM($F410)),Setup!$P$21:$P$60,0)),"NO RATE"))))</f>
        <v/>
      </c>
      <c r="J410" s="97" t="n"/>
      <c r="K410" s="89">
        <f>IF(OR($G410="",$H410="",NOT(ISNUMBER($I410))),"",ROUND($H410*$I410*(1+IF($J410="",Setup!$B$16,$J410)),2))</f>
        <v/>
      </c>
      <c r="L410" s="89">
        <f>IF($K410="","",ROUND($K410*Setup!$B$13,2))</f>
        <v/>
      </c>
      <c r="M410" s="89">
        <f>IF($K410="","",$K410-$L410)</f>
        <v/>
      </c>
      <c r="N410" s="89">
        <f>IF(OR($M410="",$D410=""),"",ROUND($M410*IFERROR(IF(VLOOKUP($D410,Setup!$A$76:$C$87,3,FALSE)="",Setup!$B$14,VLOOKUP($D410,Setup!$A$76:$C$87,3,FALSE)),Setup!$B$14),2))</f>
        <v/>
      </c>
      <c r="O410" s="89">
        <f>IF(OR($M410="",$E410=""),"",ROUND($M410*IFERROR(IF(VLOOKUP($E410,Setup!$A$76:$C$87,3,FALSE)="",Setup!$B$15,VLOOKUP($E410,Setup!$A$76:$C$87,3,FALSE)),Setup!$B$15),2))</f>
        <v/>
      </c>
      <c r="P410" s="98" t="n"/>
      <c r="Q410" s="98" t="n"/>
      <c r="R410" s="98" t="n"/>
      <c r="S410" s="98" t="n"/>
      <c r="T410" s="98" t="n"/>
      <c r="U410" s="89">
        <f>IF($K410="","",SUM($R410:$T410))</f>
        <v/>
      </c>
      <c r="V410" s="89">
        <f>IF($K410="","",$M410-(N($N410)+N($O410)+IF($P410="",Setup!$B$17,$P410)+N($Q410))-N($U410))</f>
        <v/>
      </c>
      <c r="W410" s="94" t="n"/>
      <c r="X410" s="95" t="n"/>
      <c r="Z410" s="92">
        <f>IF($A410="","",DATE(YEAR($A410),MONTH($A410),1))</f>
        <v/>
      </c>
    </row>
    <row r="411">
      <c r="A411" s="85" t="n"/>
      <c r="B411" s="86" t="n"/>
      <c r="C411" s="86" t="n"/>
      <c r="D411" s="87" t="n"/>
      <c r="E411" s="87" t="n"/>
      <c r="F411" s="87" t="n"/>
      <c r="G411" s="87" t="n"/>
      <c r="H411" s="88" t="n"/>
      <c r="I411" s="89">
        <f>IF($G411="","",IF($F411="",IFERROR(INDEX(Setup!$C$21:$C$60,MATCH("|"&amp;UPPER(TRIM($G411)),Setup!$Q$21:$Q$60,0)),"NO RATE"),IFERROR(INDEX(Setup!$C$21:$C$60,MATCH(UPPER(TRIM($F411))&amp;"|"&amp;UPPER(TRIM($G411)),Setup!$P$21:$P$60,0)),IFERROR(INDEX(Setup!$C$21:$C$60,MATCH(UPPER(TRIM($G411))&amp;"|"&amp;UPPER(TRIM($F411)),Setup!$P$21:$P$60,0)),"NO RATE"))))</f>
        <v/>
      </c>
      <c r="J411" s="90" t="n"/>
      <c r="K411" s="89">
        <f>IF(OR($G411="",$H411="",NOT(ISNUMBER($I411))),"",ROUND($H411*$I411*(1+IF($J411="",Setup!$B$16,$J411)),2))</f>
        <v/>
      </c>
      <c r="L411" s="89">
        <f>IF($K411="","",ROUND($K411*Setup!$B$13,2))</f>
        <v/>
      </c>
      <c r="M411" s="89">
        <f>IF($K411="","",$K411-$L411)</f>
        <v/>
      </c>
      <c r="N411" s="89">
        <f>IF(OR($M411="",$D411=""),"",ROUND($M411*IFERROR(IF(VLOOKUP($D411,Setup!$A$76:$C$87,3,FALSE)="",Setup!$B$14,VLOOKUP($D411,Setup!$A$76:$C$87,3,FALSE)),Setup!$B$14),2))</f>
        <v/>
      </c>
      <c r="O411" s="89">
        <f>IF(OR($M411="",$E411=""),"",ROUND($M411*IFERROR(IF(VLOOKUP($E411,Setup!$A$76:$C$87,3,FALSE)="",Setup!$B$15,VLOOKUP($E411,Setup!$A$76:$C$87,3,FALSE)),Setup!$B$15),2))</f>
        <v/>
      </c>
      <c r="P411" s="91" t="n"/>
      <c r="Q411" s="91" t="n"/>
      <c r="R411" s="91" t="n"/>
      <c r="S411" s="91" t="n"/>
      <c r="T411" s="91" t="n"/>
      <c r="U411" s="89">
        <f>IF($K411="","",SUM($R411:$T411))</f>
        <v/>
      </c>
      <c r="V411" s="89">
        <f>IF($K411="","",$M411-(N($N411)+N($O411)+IF($P411="",Setup!$B$17,$P411)+N($Q411))-N($U411))</f>
        <v/>
      </c>
      <c r="W411" s="86" t="n"/>
      <c r="X411" s="87" t="n"/>
      <c r="Z411" s="92">
        <f>IF($A411="","",DATE(YEAR($A411),MONTH($A411),1))</f>
        <v/>
      </c>
    </row>
    <row r="412">
      <c r="A412" s="93" t="n"/>
      <c r="B412" s="94" t="n"/>
      <c r="C412" s="94" t="n"/>
      <c r="D412" s="95" t="n"/>
      <c r="E412" s="95" t="n"/>
      <c r="F412" s="95" t="n"/>
      <c r="G412" s="95" t="n"/>
      <c r="H412" s="96" t="n"/>
      <c r="I412" s="89">
        <f>IF($G412="","",IF($F412="",IFERROR(INDEX(Setup!$C$21:$C$60,MATCH("|"&amp;UPPER(TRIM($G412)),Setup!$Q$21:$Q$60,0)),"NO RATE"),IFERROR(INDEX(Setup!$C$21:$C$60,MATCH(UPPER(TRIM($F412))&amp;"|"&amp;UPPER(TRIM($G412)),Setup!$P$21:$P$60,0)),IFERROR(INDEX(Setup!$C$21:$C$60,MATCH(UPPER(TRIM($G412))&amp;"|"&amp;UPPER(TRIM($F412)),Setup!$P$21:$P$60,0)),"NO RATE"))))</f>
        <v/>
      </c>
      <c r="J412" s="97" t="n"/>
      <c r="K412" s="89">
        <f>IF(OR($G412="",$H412="",NOT(ISNUMBER($I412))),"",ROUND($H412*$I412*(1+IF($J412="",Setup!$B$16,$J412)),2))</f>
        <v/>
      </c>
      <c r="L412" s="89">
        <f>IF($K412="","",ROUND($K412*Setup!$B$13,2))</f>
        <v/>
      </c>
      <c r="M412" s="89">
        <f>IF($K412="","",$K412-$L412)</f>
        <v/>
      </c>
      <c r="N412" s="89">
        <f>IF(OR($M412="",$D412=""),"",ROUND($M412*IFERROR(IF(VLOOKUP($D412,Setup!$A$76:$C$87,3,FALSE)="",Setup!$B$14,VLOOKUP($D412,Setup!$A$76:$C$87,3,FALSE)),Setup!$B$14),2))</f>
        <v/>
      </c>
      <c r="O412" s="89">
        <f>IF(OR($M412="",$E412=""),"",ROUND($M412*IFERROR(IF(VLOOKUP($E412,Setup!$A$76:$C$87,3,FALSE)="",Setup!$B$15,VLOOKUP($E412,Setup!$A$76:$C$87,3,FALSE)),Setup!$B$15),2))</f>
        <v/>
      </c>
      <c r="P412" s="98" t="n"/>
      <c r="Q412" s="98" t="n"/>
      <c r="R412" s="98" t="n"/>
      <c r="S412" s="98" t="n"/>
      <c r="T412" s="98" t="n"/>
      <c r="U412" s="89">
        <f>IF($K412="","",SUM($R412:$T412))</f>
        <v/>
      </c>
      <c r="V412" s="89">
        <f>IF($K412="","",$M412-(N($N412)+N($O412)+IF($P412="",Setup!$B$17,$P412)+N($Q412))-N($U412))</f>
        <v/>
      </c>
      <c r="W412" s="94" t="n"/>
      <c r="X412" s="95" t="n"/>
      <c r="Z412" s="92">
        <f>IF($A412="","",DATE(YEAR($A412),MONTH($A412),1))</f>
        <v/>
      </c>
    </row>
    <row r="413">
      <c r="A413" s="85" t="n"/>
      <c r="B413" s="86" t="n"/>
      <c r="C413" s="86" t="n"/>
      <c r="D413" s="87" t="n"/>
      <c r="E413" s="87" t="n"/>
      <c r="F413" s="87" t="n"/>
      <c r="G413" s="87" t="n"/>
      <c r="H413" s="88" t="n"/>
      <c r="I413" s="89">
        <f>IF($G413="","",IF($F413="",IFERROR(INDEX(Setup!$C$21:$C$60,MATCH("|"&amp;UPPER(TRIM($G413)),Setup!$Q$21:$Q$60,0)),"NO RATE"),IFERROR(INDEX(Setup!$C$21:$C$60,MATCH(UPPER(TRIM($F413))&amp;"|"&amp;UPPER(TRIM($G413)),Setup!$P$21:$P$60,0)),IFERROR(INDEX(Setup!$C$21:$C$60,MATCH(UPPER(TRIM($G413))&amp;"|"&amp;UPPER(TRIM($F413)),Setup!$P$21:$P$60,0)),"NO RATE"))))</f>
        <v/>
      </c>
      <c r="J413" s="90" t="n"/>
      <c r="K413" s="89">
        <f>IF(OR($G413="",$H413="",NOT(ISNUMBER($I413))),"",ROUND($H413*$I413*(1+IF($J413="",Setup!$B$16,$J413)),2))</f>
        <v/>
      </c>
      <c r="L413" s="89">
        <f>IF($K413="","",ROUND($K413*Setup!$B$13,2))</f>
        <v/>
      </c>
      <c r="M413" s="89">
        <f>IF($K413="","",$K413-$L413)</f>
        <v/>
      </c>
      <c r="N413" s="89">
        <f>IF(OR($M413="",$D413=""),"",ROUND($M413*IFERROR(IF(VLOOKUP($D413,Setup!$A$76:$C$87,3,FALSE)="",Setup!$B$14,VLOOKUP($D413,Setup!$A$76:$C$87,3,FALSE)),Setup!$B$14),2))</f>
        <v/>
      </c>
      <c r="O413" s="89">
        <f>IF(OR($M413="",$E413=""),"",ROUND($M413*IFERROR(IF(VLOOKUP($E413,Setup!$A$76:$C$87,3,FALSE)="",Setup!$B$15,VLOOKUP($E413,Setup!$A$76:$C$87,3,FALSE)),Setup!$B$15),2))</f>
        <v/>
      </c>
      <c r="P413" s="91" t="n"/>
      <c r="Q413" s="91" t="n"/>
      <c r="R413" s="91" t="n"/>
      <c r="S413" s="91" t="n"/>
      <c r="T413" s="91" t="n"/>
      <c r="U413" s="89">
        <f>IF($K413="","",SUM($R413:$T413))</f>
        <v/>
      </c>
      <c r="V413" s="89">
        <f>IF($K413="","",$M413-(N($N413)+N($O413)+IF($P413="",Setup!$B$17,$P413)+N($Q413))-N($U413))</f>
        <v/>
      </c>
      <c r="W413" s="86" t="n"/>
      <c r="X413" s="87" t="n"/>
      <c r="Z413" s="92">
        <f>IF($A413="","",DATE(YEAR($A413),MONTH($A413),1))</f>
        <v/>
      </c>
    </row>
    <row r="414">
      <c r="A414" s="93" t="n"/>
      <c r="B414" s="94" t="n"/>
      <c r="C414" s="94" t="n"/>
      <c r="D414" s="95" t="n"/>
      <c r="E414" s="95" t="n"/>
      <c r="F414" s="95" t="n"/>
      <c r="G414" s="95" t="n"/>
      <c r="H414" s="96" t="n"/>
      <c r="I414" s="89">
        <f>IF($G414="","",IF($F414="",IFERROR(INDEX(Setup!$C$21:$C$60,MATCH("|"&amp;UPPER(TRIM($G414)),Setup!$Q$21:$Q$60,0)),"NO RATE"),IFERROR(INDEX(Setup!$C$21:$C$60,MATCH(UPPER(TRIM($F414))&amp;"|"&amp;UPPER(TRIM($G414)),Setup!$P$21:$P$60,0)),IFERROR(INDEX(Setup!$C$21:$C$60,MATCH(UPPER(TRIM($G414))&amp;"|"&amp;UPPER(TRIM($F414)),Setup!$P$21:$P$60,0)),"NO RATE"))))</f>
        <v/>
      </c>
      <c r="J414" s="97" t="n"/>
      <c r="K414" s="89">
        <f>IF(OR($G414="",$H414="",NOT(ISNUMBER($I414))),"",ROUND($H414*$I414*(1+IF($J414="",Setup!$B$16,$J414)),2))</f>
        <v/>
      </c>
      <c r="L414" s="89">
        <f>IF($K414="","",ROUND($K414*Setup!$B$13,2))</f>
        <v/>
      </c>
      <c r="M414" s="89">
        <f>IF($K414="","",$K414-$L414)</f>
        <v/>
      </c>
      <c r="N414" s="89">
        <f>IF(OR($M414="",$D414=""),"",ROUND($M414*IFERROR(IF(VLOOKUP($D414,Setup!$A$76:$C$87,3,FALSE)="",Setup!$B$14,VLOOKUP($D414,Setup!$A$76:$C$87,3,FALSE)),Setup!$B$14),2))</f>
        <v/>
      </c>
      <c r="O414" s="89">
        <f>IF(OR($M414="",$E414=""),"",ROUND($M414*IFERROR(IF(VLOOKUP($E414,Setup!$A$76:$C$87,3,FALSE)="",Setup!$B$15,VLOOKUP($E414,Setup!$A$76:$C$87,3,FALSE)),Setup!$B$15),2))</f>
        <v/>
      </c>
      <c r="P414" s="98" t="n"/>
      <c r="Q414" s="98" t="n"/>
      <c r="R414" s="98" t="n"/>
      <c r="S414" s="98" t="n"/>
      <c r="T414" s="98" t="n"/>
      <c r="U414" s="89">
        <f>IF($K414="","",SUM($R414:$T414))</f>
        <v/>
      </c>
      <c r="V414" s="89">
        <f>IF($K414="","",$M414-(N($N414)+N($O414)+IF($P414="",Setup!$B$17,$P414)+N($Q414))-N($U414))</f>
        <v/>
      </c>
      <c r="W414" s="94" t="n"/>
      <c r="X414" s="95" t="n"/>
      <c r="Z414" s="92">
        <f>IF($A414="","",DATE(YEAR($A414),MONTH($A414),1))</f>
        <v/>
      </c>
    </row>
    <row r="415">
      <c r="A415" s="85" t="n"/>
      <c r="B415" s="86" t="n"/>
      <c r="C415" s="86" t="n"/>
      <c r="D415" s="87" t="n"/>
      <c r="E415" s="87" t="n"/>
      <c r="F415" s="87" t="n"/>
      <c r="G415" s="87" t="n"/>
      <c r="H415" s="88" t="n"/>
      <c r="I415" s="89">
        <f>IF($G415="","",IF($F415="",IFERROR(INDEX(Setup!$C$21:$C$60,MATCH("|"&amp;UPPER(TRIM($G415)),Setup!$Q$21:$Q$60,0)),"NO RATE"),IFERROR(INDEX(Setup!$C$21:$C$60,MATCH(UPPER(TRIM($F415))&amp;"|"&amp;UPPER(TRIM($G415)),Setup!$P$21:$P$60,0)),IFERROR(INDEX(Setup!$C$21:$C$60,MATCH(UPPER(TRIM($G415))&amp;"|"&amp;UPPER(TRIM($F415)),Setup!$P$21:$P$60,0)),"NO RATE"))))</f>
        <v/>
      </c>
      <c r="J415" s="90" t="n"/>
      <c r="K415" s="89">
        <f>IF(OR($G415="",$H415="",NOT(ISNUMBER($I415))),"",ROUND($H415*$I415*(1+IF($J415="",Setup!$B$16,$J415)),2))</f>
        <v/>
      </c>
      <c r="L415" s="89">
        <f>IF($K415="","",ROUND($K415*Setup!$B$13,2))</f>
        <v/>
      </c>
      <c r="M415" s="89">
        <f>IF($K415="","",$K415-$L415)</f>
        <v/>
      </c>
      <c r="N415" s="89">
        <f>IF(OR($M415="",$D415=""),"",ROUND($M415*IFERROR(IF(VLOOKUP($D415,Setup!$A$76:$C$87,3,FALSE)="",Setup!$B$14,VLOOKUP($D415,Setup!$A$76:$C$87,3,FALSE)),Setup!$B$14),2))</f>
        <v/>
      </c>
      <c r="O415" s="89">
        <f>IF(OR($M415="",$E415=""),"",ROUND($M415*IFERROR(IF(VLOOKUP($E415,Setup!$A$76:$C$87,3,FALSE)="",Setup!$B$15,VLOOKUP($E415,Setup!$A$76:$C$87,3,FALSE)),Setup!$B$15),2))</f>
        <v/>
      </c>
      <c r="P415" s="91" t="n"/>
      <c r="Q415" s="91" t="n"/>
      <c r="R415" s="91" t="n"/>
      <c r="S415" s="91" t="n"/>
      <c r="T415" s="91" t="n"/>
      <c r="U415" s="89">
        <f>IF($K415="","",SUM($R415:$T415))</f>
        <v/>
      </c>
      <c r="V415" s="89">
        <f>IF($K415="","",$M415-(N($N415)+N($O415)+IF($P415="",Setup!$B$17,$P415)+N($Q415))-N($U415))</f>
        <v/>
      </c>
      <c r="W415" s="86" t="n"/>
      <c r="X415" s="87" t="n"/>
      <c r="Z415" s="92">
        <f>IF($A415="","",DATE(YEAR($A415),MONTH($A415),1))</f>
        <v/>
      </c>
    </row>
    <row r="416">
      <c r="A416" s="93" t="n"/>
      <c r="B416" s="94" t="n"/>
      <c r="C416" s="94" t="n"/>
      <c r="D416" s="95" t="n"/>
      <c r="E416" s="95" t="n"/>
      <c r="F416" s="95" t="n"/>
      <c r="G416" s="95" t="n"/>
      <c r="H416" s="96" t="n"/>
      <c r="I416" s="89">
        <f>IF($G416="","",IF($F416="",IFERROR(INDEX(Setup!$C$21:$C$60,MATCH("|"&amp;UPPER(TRIM($G416)),Setup!$Q$21:$Q$60,0)),"NO RATE"),IFERROR(INDEX(Setup!$C$21:$C$60,MATCH(UPPER(TRIM($F416))&amp;"|"&amp;UPPER(TRIM($G416)),Setup!$P$21:$P$60,0)),IFERROR(INDEX(Setup!$C$21:$C$60,MATCH(UPPER(TRIM($G416))&amp;"|"&amp;UPPER(TRIM($F416)),Setup!$P$21:$P$60,0)),"NO RATE"))))</f>
        <v/>
      </c>
      <c r="J416" s="97" t="n"/>
      <c r="K416" s="89">
        <f>IF(OR($G416="",$H416="",NOT(ISNUMBER($I416))),"",ROUND($H416*$I416*(1+IF($J416="",Setup!$B$16,$J416)),2))</f>
        <v/>
      </c>
      <c r="L416" s="89">
        <f>IF($K416="","",ROUND($K416*Setup!$B$13,2))</f>
        <v/>
      </c>
      <c r="M416" s="89">
        <f>IF($K416="","",$K416-$L416)</f>
        <v/>
      </c>
      <c r="N416" s="89">
        <f>IF(OR($M416="",$D416=""),"",ROUND($M416*IFERROR(IF(VLOOKUP($D416,Setup!$A$76:$C$87,3,FALSE)="",Setup!$B$14,VLOOKUP($D416,Setup!$A$76:$C$87,3,FALSE)),Setup!$B$14),2))</f>
        <v/>
      </c>
      <c r="O416" s="89">
        <f>IF(OR($M416="",$E416=""),"",ROUND($M416*IFERROR(IF(VLOOKUP($E416,Setup!$A$76:$C$87,3,FALSE)="",Setup!$B$15,VLOOKUP($E416,Setup!$A$76:$C$87,3,FALSE)),Setup!$B$15),2))</f>
        <v/>
      </c>
      <c r="P416" s="98" t="n"/>
      <c r="Q416" s="98" t="n"/>
      <c r="R416" s="98" t="n"/>
      <c r="S416" s="98" t="n"/>
      <c r="T416" s="98" t="n"/>
      <c r="U416" s="89">
        <f>IF($K416="","",SUM($R416:$T416))</f>
        <v/>
      </c>
      <c r="V416" s="89">
        <f>IF($K416="","",$M416-(N($N416)+N($O416)+IF($P416="",Setup!$B$17,$P416)+N($Q416))-N($U416))</f>
        <v/>
      </c>
      <c r="W416" s="94" t="n"/>
      <c r="X416" s="95" t="n"/>
      <c r="Z416" s="92">
        <f>IF($A416="","",DATE(YEAR($A416),MONTH($A416),1))</f>
        <v/>
      </c>
    </row>
    <row r="417">
      <c r="A417" s="85" t="n"/>
      <c r="B417" s="86" t="n"/>
      <c r="C417" s="86" t="n"/>
      <c r="D417" s="87" t="n"/>
      <c r="E417" s="87" t="n"/>
      <c r="F417" s="87" t="n"/>
      <c r="G417" s="87" t="n"/>
      <c r="H417" s="88" t="n"/>
      <c r="I417" s="89">
        <f>IF($G417="","",IF($F417="",IFERROR(INDEX(Setup!$C$21:$C$60,MATCH("|"&amp;UPPER(TRIM($G417)),Setup!$Q$21:$Q$60,0)),"NO RATE"),IFERROR(INDEX(Setup!$C$21:$C$60,MATCH(UPPER(TRIM($F417))&amp;"|"&amp;UPPER(TRIM($G417)),Setup!$P$21:$P$60,0)),IFERROR(INDEX(Setup!$C$21:$C$60,MATCH(UPPER(TRIM($G417))&amp;"|"&amp;UPPER(TRIM($F417)),Setup!$P$21:$P$60,0)),"NO RATE"))))</f>
        <v/>
      </c>
      <c r="J417" s="90" t="n"/>
      <c r="K417" s="89">
        <f>IF(OR($G417="",$H417="",NOT(ISNUMBER($I417))),"",ROUND($H417*$I417*(1+IF($J417="",Setup!$B$16,$J417)),2))</f>
        <v/>
      </c>
      <c r="L417" s="89">
        <f>IF($K417="","",ROUND($K417*Setup!$B$13,2))</f>
        <v/>
      </c>
      <c r="M417" s="89">
        <f>IF($K417="","",$K417-$L417)</f>
        <v/>
      </c>
      <c r="N417" s="89">
        <f>IF(OR($M417="",$D417=""),"",ROUND($M417*IFERROR(IF(VLOOKUP($D417,Setup!$A$76:$C$87,3,FALSE)="",Setup!$B$14,VLOOKUP($D417,Setup!$A$76:$C$87,3,FALSE)),Setup!$B$14),2))</f>
        <v/>
      </c>
      <c r="O417" s="89">
        <f>IF(OR($M417="",$E417=""),"",ROUND($M417*IFERROR(IF(VLOOKUP($E417,Setup!$A$76:$C$87,3,FALSE)="",Setup!$B$15,VLOOKUP($E417,Setup!$A$76:$C$87,3,FALSE)),Setup!$B$15),2))</f>
        <v/>
      </c>
      <c r="P417" s="91" t="n"/>
      <c r="Q417" s="91" t="n"/>
      <c r="R417" s="91" t="n"/>
      <c r="S417" s="91" t="n"/>
      <c r="T417" s="91" t="n"/>
      <c r="U417" s="89">
        <f>IF($K417="","",SUM($R417:$T417))</f>
        <v/>
      </c>
      <c r="V417" s="89">
        <f>IF($K417="","",$M417-(N($N417)+N($O417)+IF($P417="",Setup!$B$17,$P417)+N($Q417))-N($U417))</f>
        <v/>
      </c>
      <c r="W417" s="86" t="n"/>
      <c r="X417" s="87" t="n"/>
      <c r="Z417" s="92">
        <f>IF($A417="","",DATE(YEAR($A417),MONTH($A417),1))</f>
        <v/>
      </c>
    </row>
    <row r="418">
      <c r="A418" s="93" t="n"/>
      <c r="B418" s="94" t="n"/>
      <c r="C418" s="94" t="n"/>
      <c r="D418" s="95" t="n"/>
      <c r="E418" s="95" t="n"/>
      <c r="F418" s="95" t="n"/>
      <c r="G418" s="95" t="n"/>
      <c r="H418" s="96" t="n"/>
      <c r="I418" s="89">
        <f>IF($G418="","",IF($F418="",IFERROR(INDEX(Setup!$C$21:$C$60,MATCH("|"&amp;UPPER(TRIM($G418)),Setup!$Q$21:$Q$60,0)),"NO RATE"),IFERROR(INDEX(Setup!$C$21:$C$60,MATCH(UPPER(TRIM($F418))&amp;"|"&amp;UPPER(TRIM($G418)),Setup!$P$21:$P$60,0)),IFERROR(INDEX(Setup!$C$21:$C$60,MATCH(UPPER(TRIM($G418))&amp;"|"&amp;UPPER(TRIM($F418)),Setup!$P$21:$P$60,0)),"NO RATE"))))</f>
        <v/>
      </c>
      <c r="J418" s="97" t="n"/>
      <c r="K418" s="89">
        <f>IF(OR($G418="",$H418="",NOT(ISNUMBER($I418))),"",ROUND($H418*$I418*(1+IF($J418="",Setup!$B$16,$J418)),2))</f>
        <v/>
      </c>
      <c r="L418" s="89">
        <f>IF($K418="","",ROUND($K418*Setup!$B$13,2))</f>
        <v/>
      </c>
      <c r="M418" s="89">
        <f>IF($K418="","",$K418-$L418)</f>
        <v/>
      </c>
      <c r="N418" s="89">
        <f>IF(OR($M418="",$D418=""),"",ROUND($M418*IFERROR(IF(VLOOKUP($D418,Setup!$A$76:$C$87,3,FALSE)="",Setup!$B$14,VLOOKUP($D418,Setup!$A$76:$C$87,3,FALSE)),Setup!$B$14),2))</f>
        <v/>
      </c>
      <c r="O418" s="89">
        <f>IF(OR($M418="",$E418=""),"",ROUND($M418*IFERROR(IF(VLOOKUP($E418,Setup!$A$76:$C$87,3,FALSE)="",Setup!$B$15,VLOOKUP($E418,Setup!$A$76:$C$87,3,FALSE)),Setup!$B$15),2))</f>
        <v/>
      </c>
      <c r="P418" s="98" t="n"/>
      <c r="Q418" s="98" t="n"/>
      <c r="R418" s="98" t="n"/>
      <c r="S418" s="98" t="n"/>
      <c r="T418" s="98" t="n"/>
      <c r="U418" s="89">
        <f>IF($K418="","",SUM($R418:$T418))</f>
        <v/>
      </c>
      <c r="V418" s="89">
        <f>IF($K418="","",$M418-(N($N418)+N($O418)+IF($P418="",Setup!$B$17,$P418)+N($Q418))-N($U418))</f>
        <v/>
      </c>
      <c r="W418" s="94" t="n"/>
      <c r="X418" s="95" t="n"/>
      <c r="Z418" s="92">
        <f>IF($A418="","",DATE(YEAR($A418),MONTH($A418),1))</f>
        <v/>
      </c>
    </row>
    <row r="419">
      <c r="A419" s="85" t="n"/>
      <c r="B419" s="86" t="n"/>
      <c r="C419" s="86" t="n"/>
      <c r="D419" s="87" t="n"/>
      <c r="E419" s="87" t="n"/>
      <c r="F419" s="87" t="n"/>
      <c r="G419" s="87" t="n"/>
      <c r="H419" s="88" t="n"/>
      <c r="I419" s="89">
        <f>IF($G419="","",IF($F419="",IFERROR(INDEX(Setup!$C$21:$C$60,MATCH("|"&amp;UPPER(TRIM($G419)),Setup!$Q$21:$Q$60,0)),"NO RATE"),IFERROR(INDEX(Setup!$C$21:$C$60,MATCH(UPPER(TRIM($F419))&amp;"|"&amp;UPPER(TRIM($G419)),Setup!$P$21:$P$60,0)),IFERROR(INDEX(Setup!$C$21:$C$60,MATCH(UPPER(TRIM($G419))&amp;"|"&amp;UPPER(TRIM($F419)),Setup!$P$21:$P$60,0)),"NO RATE"))))</f>
        <v/>
      </c>
      <c r="J419" s="90" t="n"/>
      <c r="K419" s="89">
        <f>IF(OR($G419="",$H419="",NOT(ISNUMBER($I419))),"",ROUND($H419*$I419*(1+IF($J419="",Setup!$B$16,$J419)),2))</f>
        <v/>
      </c>
      <c r="L419" s="89">
        <f>IF($K419="","",ROUND($K419*Setup!$B$13,2))</f>
        <v/>
      </c>
      <c r="M419" s="89">
        <f>IF($K419="","",$K419-$L419)</f>
        <v/>
      </c>
      <c r="N419" s="89">
        <f>IF(OR($M419="",$D419=""),"",ROUND($M419*IFERROR(IF(VLOOKUP($D419,Setup!$A$76:$C$87,3,FALSE)="",Setup!$B$14,VLOOKUP($D419,Setup!$A$76:$C$87,3,FALSE)),Setup!$B$14),2))</f>
        <v/>
      </c>
      <c r="O419" s="89">
        <f>IF(OR($M419="",$E419=""),"",ROUND($M419*IFERROR(IF(VLOOKUP($E419,Setup!$A$76:$C$87,3,FALSE)="",Setup!$B$15,VLOOKUP($E419,Setup!$A$76:$C$87,3,FALSE)),Setup!$B$15),2))</f>
        <v/>
      </c>
      <c r="P419" s="91" t="n"/>
      <c r="Q419" s="91" t="n"/>
      <c r="R419" s="91" t="n"/>
      <c r="S419" s="91" t="n"/>
      <c r="T419" s="91" t="n"/>
      <c r="U419" s="89">
        <f>IF($K419="","",SUM($R419:$T419))</f>
        <v/>
      </c>
      <c r="V419" s="89">
        <f>IF($K419="","",$M419-(N($N419)+N($O419)+IF($P419="",Setup!$B$17,$P419)+N($Q419))-N($U419))</f>
        <v/>
      </c>
      <c r="W419" s="86" t="n"/>
      <c r="X419" s="87" t="n"/>
      <c r="Z419" s="92">
        <f>IF($A419="","",DATE(YEAR($A419),MONTH($A419),1))</f>
        <v/>
      </c>
    </row>
    <row r="420">
      <c r="A420" s="93" t="n"/>
      <c r="B420" s="94" t="n"/>
      <c r="C420" s="94" t="n"/>
      <c r="D420" s="95" t="n"/>
      <c r="E420" s="95" t="n"/>
      <c r="F420" s="95" t="n"/>
      <c r="G420" s="95" t="n"/>
      <c r="H420" s="96" t="n"/>
      <c r="I420" s="89">
        <f>IF($G420="","",IF($F420="",IFERROR(INDEX(Setup!$C$21:$C$60,MATCH("|"&amp;UPPER(TRIM($G420)),Setup!$Q$21:$Q$60,0)),"NO RATE"),IFERROR(INDEX(Setup!$C$21:$C$60,MATCH(UPPER(TRIM($F420))&amp;"|"&amp;UPPER(TRIM($G420)),Setup!$P$21:$P$60,0)),IFERROR(INDEX(Setup!$C$21:$C$60,MATCH(UPPER(TRIM($G420))&amp;"|"&amp;UPPER(TRIM($F420)),Setup!$P$21:$P$60,0)),"NO RATE"))))</f>
        <v/>
      </c>
      <c r="J420" s="97" t="n"/>
      <c r="K420" s="89">
        <f>IF(OR($G420="",$H420="",NOT(ISNUMBER($I420))),"",ROUND($H420*$I420*(1+IF($J420="",Setup!$B$16,$J420)),2))</f>
        <v/>
      </c>
      <c r="L420" s="89">
        <f>IF($K420="","",ROUND($K420*Setup!$B$13,2))</f>
        <v/>
      </c>
      <c r="M420" s="89">
        <f>IF($K420="","",$K420-$L420)</f>
        <v/>
      </c>
      <c r="N420" s="89">
        <f>IF(OR($M420="",$D420=""),"",ROUND($M420*IFERROR(IF(VLOOKUP($D420,Setup!$A$76:$C$87,3,FALSE)="",Setup!$B$14,VLOOKUP($D420,Setup!$A$76:$C$87,3,FALSE)),Setup!$B$14),2))</f>
        <v/>
      </c>
      <c r="O420" s="89">
        <f>IF(OR($M420="",$E420=""),"",ROUND($M420*IFERROR(IF(VLOOKUP($E420,Setup!$A$76:$C$87,3,FALSE)="",Setup!$B$15,VLOOKUP($E420,Setup!$A$76:$C$87,3,FALSE)),Setup!$B$15),2))</f>
        <v/>
      </c>
      <c r="P420" s="98" t="n"/>
      <c r="Q420" s="98" t="n"/>
      <c r="R420" s="98" t="n"/>
      <c r="S420" s="98" t="n"/>
      <c r="T420" s="98" t="n"/>
      <c r="U420" s="89">
        <f>IF($K420="","",SUM($R420:$T420))</f>
        <v/>
      </c>
      <c r="V420" s="89">
        <f>IF($K420="","",$M420-(N($N420)+N($O420)+IF($P420="",Setup!$B$17,$P420)+N($Q420))-N($U420))</f>
        <v/>
      </c>
      <c r="W420" s="94" t="n"/>
      <c r="X420" s="95" t="n"/>
      <c r="Z420" s="92">
        <f>IF($A420="","",DATE(YEAR($A420),MONTH($A420),1))</f>
        <v/>
      </c>
    </row>
    <row r="421">
      <c r="A421" s="85" t="n"/>
      <c r="B421" s="86" t="n"/>
      <c r="C421" s="86" t="n"/>
      <c r="D421" s="87" t="n"/>
      <c r="E421" s="87" t="n"/>
      <c r="F421" s="87" t="n"/>
      <c r="G421" s="87" t="n"/>
      <c r="H421" s="88" t="n"/>
      <c r="I421" s="89">
        <f>IF($G421="","",IF($F421="",IFERROR(INDEX(Setup!$C$21:$C$60,MATCH("|"&amp;UPPER(TRIM($G421)),Setup!$Q$21:$Q$60,0)),"NO RATE"),IFERROR(INDEX(Setup!$C$21:$C$60,MATCH(UPPER(TRIM($F421))&amp;"|"&amp;UPPER(TRIM($G421)),Setup!$P$21:$P$60,0)),IFERROR(INDEX(Setup!$C$21:$C$60,MATCH(UPPER(TRIM($G421))&amp;"|"&amp;UPPER(TRIM($F421)),Setup!$P$21:$P$60,0)),"NO RATE"))))</f>
        <v/>
      </c>
      <c r="J421" s="90" t="n"/>
      <c r="K421" s="89">
        <f>IF(OR($G421="",$H421="",NOT(ISNUMBER($I421))),"",ROUND($H421*$I421*(1+IF($J421="",Setup!$B$16,$J421)),2))</f>
        <v/>
      </c>
      <c r="L421" s="89">
        <f>IF($K421="","",ROUND($K421*Setup!$B$13,2))</f>
        <v/>
      </c>
      <c r="M421" s="89">
        <f>IF($K421="","",$K421-$L421)</f>
        <v/>
      </c>
      <c r="N421" s="89">
        <f>IF(OR($M421="",$D421=""),"",ROUND($M421*IFERROR(IF(VLOOKUP($D421,Setup!$A$76:$C$87,3,FALSE)="",Setup!$B$14,VLOOKUP($D421,Setup!$A$76:$C$87,3,FALSE)),Setup!$B$14),2))</f>
        <v/>
      </c>
      <c r="O421" s="89">
        <f>IF(OR($M421="",$E421=""),"",ROUND($M421*IFERROR(IF(VLOOKUP($E421,Setup!$A$76:$C$87,3,FALSE)="",Setup!$B$15,VLOOKUP($E421,Setup!$A$76:$C$87,3,FALSE)),Setup!$B$15),2))</f>
        <v/>
      </c>
      <c r="P421" s="91" t="n"/>
      <c r="Q421" s="91" t="n"/>
      <c r="R421" s="91" t="n"/>
      <c r="S421" s="91" t="n"/>
      <c r="T421" s="91" t="n"/>
      <c r="U421" s="89">
        <f>IF($K421="","",SUM($R421:$T421))</f>
        <v/>
      </c>
      <c r="V421" s="89">
        <f>IF($K421="","",$M421-(N($N421)+N($O421)+IF($P421="",Setup!$B$17,$P421)+N($Q421))-N($U421))</f>
        <v/>
      </c>
      <c r="W421" s="86" t="n"/>
      <c r="X421" s="87" t="n"/>
      <c r="Z421" s="92">
        <f>IF($A421="","",DATE(YEAR($A421),MONTH($A421),1))</f>
        <v/>
      </c>
    </row>
    <row r="422">
      <c r="A422" s="93" t="n"/>
      <c r="B422" s="94" t="n"/>
      <c r="C422" s="94" t="n"/>
      <c r="D422" s="95" t="n"/>
      <c r="E422" s="95" t="n"/>
      <c r="F422" s="95" t="n"/>
      <c r="G422" s="95" t="n"/>
      <c r="H422" s="96" t="n"/>
      <c r="I422" s="89">
        <f>IF($G422="","",IF($F422="",IFERROR(INDEX(Setup!$C$21:$C$60,MATCH("|"&amp;UPPER(TRIM($G422)),Setup!$Q$21:$Q$60,0)),"NO RATE"),IFERROR(INDEX(Setup!$C$21:$C$60,MATCH(UPPER(TRIM($F422))&amp;"|"&amp;UPPER(TRIM($G422)),Setup!$P$21:$P$60,0)),IFERROR(INDEX(Setup!$C$21:$C$60,MATCH(UPPER(TRIM($G422))&amp;"|"&amp;UPPER(TRIM($F422)),Setup!$P$21:$P$60,0)),"NO RATE"))))</f>
        <v/>
      </c>
      <c r="J422" s="97" t="n"/>
      <c r="K422" s="89">
        <f>IF(OR($G422="",$H422="",NOT(ISNUMBER($I422))),"",ROUND($H422*$I422*(1+IF($J422="",Setup!$B$16,$J422)),2))</f>
        <v/>
      </c>
      <c r="L422" s="89">
        <f>IF($K422="","",ROUND($K422*Setup!$B$13,2))</f>
        <v/>
      </c>
      <c r="M422" s="89">
        <f>IF($K422="","",$K422-$L422)</f>
        <v/>
      </c>
      <c r="N422" s="89">
        <f>IF(OR($M422="",$D422=""),"",ROUND($M422*IFERROR(IF(VLOOKUP($D422,Setup!$A$76:$C$87,3,FALSE)="",Setup!$B$14,VLOOKUP($D422,Setup!$A$76:$C$87,3,FALSE)),Setup!$B$14),2))</f>
        <v/>
      </c>
      <c r="O422" s="89">
        <f>IF(OR($M422="",$E422=""),"",ROUND($M422*IFERROR(IF(VLOOKUP($E422,Setup!$A$76:$C$87,3,FALSE)="",Setup!$B$15,VLOOKUP($E422,Setup!$A$76:$C$87,3,FALSE)),Setup!$B$15),2))</f>
        <v/>
      </c>
      <c r="P422" s="98" t="n"/>
      <c r="Q422" s="98" t="n"/>
      <c r="R422" s="98" t="n"/>
      <c r="S422" s="98" t="n"/>
      <c r="T422" s="98" t="n"/>
      <c r="U422" s="89">
        <f>IF($K422="","",SUM($R422:$T422))</f>
        <v/>
      </c>
      <c r="V422" s="89">
        <f>IF($K422="","",$M422-(N($N422)+N($O422)+IF($P422="",Setup!$B$17,$P422)+N($Q422))-N($U422))</f>
        <v/>
      </c>
      <c r="W422" s="94" t="n"/>
      <c r="X422" s="95" t="n"/>
      <c r="Z422" s="92">
        <f>IF($A422="","",DATE(YEAR($A422),MONTH($A422),1))</f>
        <v/>
      </c>
    </row>
    <row r="423">
      <c r="A423" s="85" t="n"/>
      <c r="B423" s="86" t="n"/>
      <c r="C423" s="86" t="n"/>
      <c r="D423" s="87" t="n"/>
      <c r="E423" s="87" t="n"/>
      <c r="F423" s="87" t="n"/>
      <c r="G423" s="87" t="n"/>
      <c r="H423" s="88" t="n"/>
      <c r="I423" s="89">
        <f>IF($G423="","",IF($F423="",IFERROR(INDEX(Setup!$C$21:$C$60,MATCH("|"&amp;UPPER(TRIM($G423)),Setup!$Q$21:$Q$60,0)),"NO RATE"),IFERROR(INDEX(Setup!$C$21:$C$60,MATCH(UPPER(TRIM($F423))&amp;"|"&amp;UPPER(TRIM($G423)),Setup!$P$21:$P$60,0)),IFERROR(INDEX(Setup!$C$21:$C$60,MATCH(UPPER(TRIM($G423))&amp;"|"&amp;UPPER(TRIM($F423)),Setup!$P$21:$P$60,0)),"NO RATE"))))</f>
        <v/>
      </c>
      <c r="J423" s="90" t="n"/>
      <c r="K423" s="89">
        <f>IF(OR($G423="",$H423="",NOT(ISNUMBER($I423))),"",ROUND($H423*$I423*(1+IF($J423="",Setup!$B$16,$J423)),2))</f>
        <v/>
      </c>
      <c r="L423" s="89">
        <f>IF($K423="","",ROUND($K423*Setup!$B$13,2))</f>
        <v/>
      </c>
      <c r="M423" s="89">
        <f>IF($K423="","",$K423-$L423)</f>
        <v/>
      </c>
      <c r="N423" s="89">
        <f>IF(OR($M423="",$D423=""),"",ROUND($M423*IFERROR(IF(VLOOKUP($D423,Setup!$A$76:$C$87,3,FALSE)="",Setup!$B$14,VLOOKUP($D423,Setup!$A$76:$C$87,3,FALSE)),Setup!$B$14),2))</f>
        <v/>
      </c>
      <c r="O423" s="89">
        <f>IF(OR($M423="",$E423=""),"",ROUND($M423*IFERROR(IF(VLOOKUP($E423,Setup!$A$76:$C$87,3,FALSE)="",Setup!$B$15,VLOOKUP($E423,Setup!$A$76:$C$87,3,FALSE)),Setup!$B$15),2))</f>
        <v/>
      </c>
      <c r="P423" s="91" t="n"/>
      <c r="Q423" s="91" t="n"/>
      <c r="R423" s="91" t="n"/>
      <c r="S423" s="91" t="n"/>
      <c r="T423" s="91" t="n"/>
      <c r="U423" s="89">
        <f>IF($K423="","",SUM($R423:$T423))</f>
        <v/>
      </c>
      <c r="V423" s="89">
        <f>IF($K423="","",$M423-(N($N423)+N($O423)+IF($P423="",Setup!$B$17,$P423)+N($Q423))-N($U423))</f>
        <v/>
      </c>
      <c r="W423" s="86" t="n"/>
      <c r="X423" s="87" t="n"/>
      <c r="Z423" s="92">
        <f>IF($A423="","",DATE(YEAR($A423),MONTH($A423),1))</f>
        <v/>
      </c>
    </row>
    <row r="424">
      <c r="A424" s="93" t="n"/>
      <c r="B424" s="94" t="n"/>
      <c r="C424" s="94" t="n"/>
      <c r="D424" s="95" t="n"/>
      <c r="E424" s="95" t="n"/>
      <c r="F424" s="95" t="n"/>
      <c r="G424" s="95" t="n"/>
      <c r="H424" s="96" t="n"/>
      <c r="I424" s="89">
        <f>IF($G424="","",IF($F424="",IFERROR(INDEX(Setup!$C$21:$C$60,MATCH("|"&amp;UPPER(TRIM($G424)),Setup!$Q$21:$Q$60,0)),"NO RATE"),IFERROR(INDEX(Setup!$C$21:$C$60,MATCH(UPPER(TRIM($F424))&amp;"|"&amp;UPPER(TRIM($G424)),Setup!$P$21:$P$60,0)),IFERROR(INDEX(Setup!$C$21:$C$60,MATCH(UPPER(TRIM($G424))&amp;"|"&amp;UPPER(TRIM($F424)),Setup!$P$21:$P$60,0)),"NO RATE"))))</f>
        <v/>
      </c>
      <c r="J424" s="97" t="n"/>
      <c r="K424" s="89">
        <f>IF(OR($G424="",$H424="",NOT(ISNUMBER($I424))),"",ROUND($H424*$I424*(1+IF($J424="",Setup!$B$16,$J424)),2))</f>
        <v/>
      </c>
      <c r="L424" s="89">
        <f>IF($K424="","",ROUND($K424*Setup!$B$13,2))</f>
        <v/>
      </c>
      <c r="M424" s="89">
        <f>IF($K424="","",$K424-$L424)</f>
        <v/>
      </c>
      <c r="N424" s="89">
        <f>IF(OR($M424="",$D424=""),"",ROUND($M424*IFERROR(IF(VLOOKUP($D424,Setup!$A$76:$C$87,3,FALSE)="",Setup!$B$14,VLOOKUP($D424,Setup!$A$76:$C$87,3,FALSE)),Setup!$B$14),2))</f>
        <v/>
      </c>
      <c r="O424" s="89">
        <f>IF(OR($M424="",$E424=""),"",ROUND($M424*IFERROR(IF(VLOOKUP($E424,Setup!$A$76:$C$87,3,FALSE)="",Setup!$B$15,VLOOKUP($E424,Setup!$A$76:$C$87,3,FALSE)),Setup!$B$15),2))</f>
        <v/>
      </c>
      <c r="P424" s="98" t="n"/>
      <c r="Q424" s="98" t="n"/>
      <c r="R424" s="98" t="n"/>
      <c r="S424" s="98" t="n"/>
      <c r="T424" s="98" t="n"/>
      <c r="U424" s="89">
        <f>IF($K424="","",SUM($R424:$T424))</f>
        <v/>
      </c>
      <c r="V424" s="89">
        <f>IF($K424="","",$M424-(N($N424)+N($O424)+IF($P424="",Setup!$B$17,$P424)+N($Q424))-N($U424))</f>
        <v/>
      </c>
      <c r="W424" s="94" t="n"/>
      <c r="X424" s="95" t="n"/>
      <c r="Z424" s="92">
        <f>IF($A424="","",DATE(YEAR($A424),MONTH($A424),1))</f>
        <v/>
      </c>
    </row>
    <row r="425">
      <c r="A425" s="85" t="n"/>
      <c r="B425" s="86" t="n"/>
      <c r="C425" s="86" t="n"/>
      <c r="D425" s="87" t="n"/>
      <c r="E425" s="87" t="n"/>
      <c r="F425" s="87" t="n"/>
      <c r="G425" s="87" t="n"/>
      <c r="H425" s="88" t="n"/>
      <c r="I425" s="89">
        <f>IF($G425="","",IF($F425="",IFERROR(INDEX(Setup!$C$21:$C$60,MATCH("|"&amp;UPPER(TRIM($G425)),Setup!$Q$21:$Q$60,0)),"NO RATE"),IFERROR(INDEX(Setup!$C$21:$C$60,MATCH(UPPER(TRIM($F425))&amp;"|"&amp;UPPER(TRIM($G425)),Setup!$P$21:$P$60,0)),IFERROR(INDEX(Setup!$C$21:$C$60,MATCH(UPPER(TRIM($G425))&amp;"|"&amp;UPPER(TRIM($F425)),Setup!$P$21:$P$60,0)),"NO RATE"))))</f>
        <v/>
      </c>
      <c r="J425" s="90" t="n"/>
      <c r="K425" s="89">
        <f>IF(OR($G425="",$H425="",NOT(ISNUMBER($I425))),"",ROUND($H425*$I425*(1+IF($J425="",Setup!$B$16,$J425)),2))</f>
        <v/>
      </c>
      <c r="L425" s="89">
        <f>IF($K425="","",ROUND($K425*Setup!$B$13,2))</f>
        <v/>
      </c>
      <c r="M425" s="89">
        <f>IF($K425="","",$K425-$L425)</f>
        <v/>
      </c>
      <c r="N425" s="89">
        <f>IF(OR($M425="",$D425=""),"",ROUND($M425*IFERROR(IF(VLOOKUP($D425,Setup!$A$76:$C$87,3,FALSE)="",Setup!$B$14,VLOOKUP($D425,Setup!$A$76:$C$87,3,FALSE)),Setup!$B$14),2))</f>
        <v/>
      </c>
      <c r="O425" s="89">
        <f>IF(OR($M425="",$E425=""),"",ROUND($M425*IFERROR(IF(VLOOKUP($E425,Setup!$A$76:$C$87,3,FALSE)="",Setup!$B$15,VLOOKUP($E425,Setup!$A$76:$C$87,3,FALSE)),Setup!$B$15),2))</f>
        <v/>
      </c>
      <c r="P425" s="91" t="n"/>
      <c r="Q425" s="91" t="n"/>
      <c r="R425" s="91" t="n"/>
      <c r="S425" s="91" t="n"/>
      <c r="T425" s="91" t="n"/>
      <c r="U425" s="89">
        <f>IF($K425="","",SUM($R425:$T425))</f>
        <v/>
      </c>
      <c r="V425" s="89">
        <f>IF($K425="","",$M425-(N($N425)+N($O425)+IF($P425="",Setup!$B$17,$P425)+N($Q425))-N($U425))</f>
        <v/>
      </c>
      <c r="W425" s="86" t="n"/>
      <c r="X425" s="87" t="n"/>
      <c r="Z425" s="92">
        <f>IF($A425="","",DATE(YEAR($A425),MONTH($A425),1))</f>
        <v/>
      </c>
    </row>
    <row r="426">
      <c r="A426" s="93" t="n"/>
      <c r="B426" s="94" t="n"/>
      <c r="C426" s="94" t="n"/>
      <c r="D426" s="95" t="n"/>
      <c r="E426" s="95" t="n"/>
      <c r="F426" s="95" t="n"/>
      <c r="G426" s="95" t="n"/>
      <c r="H426" s="96" t="n"/>
      <c r="I426" s="89">
        <f>IF($G426="","",IF($F426="",IFERROR(INDEX(Setup!$C$21:$C$60,MATCH("|"&amp;UPPER(TRIM($G426)),Setup!$Q$21:$Q$60,0)),"NO RATE"),IFERROR(INDEX(Setup!$C$21:$C$60,MATCH(UPPER(TRIM($F426))&amp;"|"&amp;UPPER(TRIM($G426)),Setup!$P$21:$P$60,0)),IFERROR(INDEX(Setup!$C$21:$C$60,MATCH(UPPER(TRIM($G426))&amp;"|"&amp;UPPER(TRIM($F426)),Setup!$P$21:$P$60,0)),"NO RATE"))))</f>
        <v/>
      </c>
      <c r="J426" s="97" t="n"/>
      <c r="K426" s="89">
        <f>IF(OR($G426="",$H426="",NOT(ISNUMBER($I426))),"",ROUND($H426*$I426*(1+IF($J426="",Setup!$B$16,$J426)),2))</f>
        <v/>
      </c>
      <c r="L426" s="89">
        <f>IF($K426="","",ROUND($K426*Setup!$B$13,2))</f>
        <v/>
      </c>
      <c r="M426" s="89">
        <f>IF($K426="","",$K426-$L426)</f>
        <v/>
      </c>
      <c r="N426" s="89">
        <f>IF(OR($M426="",$D426=""),"",ROUND($M426*IFERROR(IF(VLOOKUP($D426,Setup!$A$76:$C$87,3,FALSE)="",Setup!$B$14,VLOOKUP($D426,Setup!$A$76:$C$87,3,FALSE)),Setup!$B$14),2))</f>
        <v/>
      </c>
      <c r="O426" s="89">
        <f>IF(OR($M426="",$E426=""),"",ROUND($M426*IFERROR(IF(VLOOKUP($E426,Setup!$A$76:$C$87,3,FALSE)="",Setup!$B$15,VLOOKUP($E426,Setup!$A$76:$C$87,3,FALSE)),Setup!$B$15),2))</f>
        <v/>
      </c>
      <c r="P426" s="98" t="n"/>
      <c r="Q426" s="98" t="n"/>
      <c r="R426" s="98" t="n"/>
      <c r="S426" s="98" t="n"/>
      <c r="T426" s="98" t="n"/>
      <c r="U426" s="89">
        <f>IF($K426="","",SUM($R426:$T426))</f>
        <v/>
      </c>
      <c r="V426" s="89">
        <f>IF($K426="","",$M426-(N($N426)+N($O426)+IF($P426="",Setup!$B$17,$P426)+N($Q426))-N($U426))</f>
        <v/>
      </c>
      <c r="W426" s="94" t="n"/>
      <c r="X426" s="95" t="n"/>
      <c r="Z426" s="92">
        <f>IF($A426="","",DATE(YEAR($A426),MONTH($A426),1))</f>
        <v/>
      </c>
    </row>
    <row r="427">
      <c r="A427" s="85" t="n"/>
      <c r="B427" s="86" t="n"/>
      <c r="C427" s="86" t="n"/>
      <c r="D427" s="87" t="n"/>
      <c r="E427" s="87" t="n"/>
      <c r="F427" s="87" t="n"/>
      <c r="G427" s="87" t="n"/>
      <c r="H427" s="88" t="n"/>
      <c r="I427" s="89">
        <f>IF($G427="","",IF($F427="",IFERROR(INDEX(Setup!$C$21:$C$60,MATCH("|"&amp;UPPER(TRIM($G427)),Setup!$Q$21:$Q$60,0)),"NO RATE"),IFERROR(INDEX(Setup!$C$21:$C$60,MATCH(UPPER(TRIM($F427))&amp;"|"&amp;UPPER(TRIM($G427)),Setup!$P$21:$P$60,0)),IFERROR(INDEX(Setup!$C$21:$C$60,MATCH(UPPER(TRIM($G427))&amp;"|"&amp;UPPER(TRIM($F427)),Setup!$P$21:$P$60,0)),"NO RATE"))))</f>
        <v/>
      </c>
      <c r="J427" s="90" t="n"/>
      <c r="K427" s="89">
        <f>IF(OR($G427="",$H427="",NOT(ISNUMBER($I427))),"",ROUND($H427*$I427*(1+IF($J427="",Setup!$B$16,$J427)),2))</f>
        <v/>
      </c>
      <c r="L427" s="89">
        <f>IF($K427="","",ROUND($K427*Setup!$B$13,2))</f>
        <v/>
      </c>
      <c r="M427" s="89">
        <f>IF($K427="","",$K427-$L427)</f>
        <v/>
      </c>
      <c r="N427" s="89">
        <f>IF(OR($M427="",$D427=""),"",ROUND($M427*IFERROR(IF(VLOOKUP($D427,Setup!$A$76:$C$87,3,FALSE)="",Setup!$B$14,VLOOKUP($D427,Setup!$A$76:$C$87,3,FALSE)),Setup!$B$14),2))</f>
        <v/>
      </c>
      <c r="O427" s="89">
        <f>IF(OR($M427="",$E427=""),"",ROUND($M427*IFERROR(IF(VLOOKUP($E427,Setup!$A$76:$C$87,3,FALSE)="",Setup!$B$15,VLOOKUP($E427,Setup!$A$76:$C$87,3,FALSE)),Setup!$B$15),2))</f>
        <v/>
      </c>
      <c r="P427" s="91" t="n"/>
      <c r="Q427" s="91" t="n"/>
      <c r="R427" s="91" t="n"/>
      <c r="S427" s="91" t="n"/>
      <c r="T427" s="91" t="n"/>
      <c r="U427" s="89">
        <f>IF($K427="","",SUM($R427:$T427))</f>
        <v/>
      </c>
      <c r="V427" s="89">
        <f>IF($K427="","",$M427-(N($N427)+N($O427)+IF($P427="",Setup!$B$17,$P427)+N($Q427))-N($U427))</f>
        <v/>
      </c>
      <c r="W427" s="86" t="n"/>
      <c r="X427" s="87" t="n"/>
      <c r="Z427" s="92">
        <f>IF($A427="","",DATE(YEAR($A427),MONTH($A427),1))</f>
        <v/>
      </c>
    </row>
    <row r="428">
      <c r="A428" s="93" t="n"/>
      <c r="B428" s="94" t="n"/>
      <c r="C428" s="94" t="n"/>
      <c r="D428" s="95" t="n"/>
      <c r="E428" s="95" t="n"/>
      <c r="F428" s="95" t="n"/>
      <c r="G428" s="95" t="n"/>
      <c r="H428" s="96" t="n"/>
      <c r="I428" s="89">
        <f>IF($G428="","",IF($F428="",IFERROR(INDEX(Setup!$C$21:$C$60,MATCH("|"&amp;UPPER(TRIM($G428)),Setup!$Q$21:$Q$60,0)),"NO RATE"),IFERROR(INDEX(Setup!$C$21:$C$60,MATCH(UPPER(TRIM($F428))&amp;"|"&amp;UPPER(TRIM($G428)),Setup!$P$21:$P$60,0)),IFERROR(INDEX(Setup!$C$21:$C$60,MATCH(UPPER(TRIM($G428))&amp;"|"&amp;UPPER(TRIM($F428)),Setup!$P$21:$P$60,0)),"NO RATE"))))</f>
        <v/>
      </c>
      <c r="J428" s="97" t="n"/>
      <c r="K428" s="89">
        <f>IF(OR($G428="",$H428="",NOT(ISNUMBER($I428))),"",ROUND($H428*$I428*(1+IF($J428="",Setup!$B$16,$J428)),2))</f>
        <v/>
      </c>
      <c r="L428" s="89">
        <f>IF($K428="","",ROUND($K428*Setup!$B$13,2))</f>
        <v/>
      </c>
      <c r="M428" s="89">
        <f>IF($K428="","",$K428-$L428)</f>
        <v/>
      </c>
      <c r="N428" s="89">
        <f>IF(OR($M428="",$D428=""),"",ROUND($M428*IFERROR(IF(VLOOKUP($D428,Setup!$A$76:$C$87,3,FALSE)="",Setup!$B$14,VLOOKUP($D428,Setup!$A$76:$C$87,3,FALSE)),Setup!$B$14),2))</f>
        <v/>
      </c>
      <c r="O428" s="89">
        <f>IF(OR($M428="",$E428=""),"",ROUND($M428*IFERROR(IF(VLOOKUP($E428,Setup!$A$76:$C$87,3,FALSE)="",Setup!$B$15,VLOOKUP($E428,Setup!$A$76:$C$87,3,FALSE)),Setup!$B$15),2))</f>
        <v/>
      </c>
      <c r="P428" s="98" t="n"/>
      <c r="Q428" s="98" t="n"/>
      <c r="R428" s="98" t="n"/>
      <c r="S428" s="98" t="n"/>
      <c r="T428" s="98" t="n"/>
      <c r="U428" s="89">
        <f>IF($K428="","",SUM($R428:$T428))</f>
        <v/>
      </c>
      <c r="V428" s="89">
        <f>IF($K428="","",$M428-(N($N428)+N($O428)+IF($P428="",Setup!$B$17,$P428)+N($Q428))-N($U428))</f>
        <v/>
      </c>
      <c r="W428" s="94" t="n"/>
      <c r="X428" s="95" t="n"/>
      <c r="Z428" s="92">
        <f>IF($A428="","",DATE(YEAR($A428),MONTH($A428),1))</f>
        <v/>
      </c>
    </row>
    <row r="429">
      <c r="A429" s="85" t="n"/>
      <c r="B429" s="86" t="n"/>
      <c r="C429" s="86" t="n"/>
      <c r="D429" s="87" t="n"/>
      <c r="E429" s="87" t="n"/>
      <c r="F429" s="87" t="n"/>
      <c r="G429" s="87" t="n"/>
      <c r="H429" s="88" t="n"/>
      <c r="I429" s="89">
        <f>IF($G429="","",IF($F429="",IFERROR(INDEX(Setup!$C$21:$C$60,MATCH("|"&amp;UPPER(TRIM($G429)),Setup!$Q$21:$Q$60,0)),"NO RATE"),IFERROR(INDEX(Setup!$C$21:$C$60,MATCH(UPPER(TRIM($F429))&amp;"|"&amp;UPPER(TRIM($G429)),Setup!$P$21:$P$60,0)),IFERROR(INDEX(Setup!$C$21:$C$60,MATCH(UPPER(TRIM($G429))&amp;"|"&amp;UPPER(TRIM($F429)),Setup!$P$21:$P$60,0)),"NO RATE"))))</f>
        <v/>
      </c>
      <c r="J429" s="90" t="n"/>
      <c r="K429" s="89">
        <f>IF(OR($G429="",$H429="",NOT(ISNUMBER($I429))),"",ROUND($H429*$I429*(1+IF($J429="",Setup!$B$16,$J429)),2))</f>
        <v/>
      </c>
      <c r="L429" s="89">
        <f>IF($K429="","",ROUND($K429*Setup!$B$13,2))</f>
        <v/>
      </c>
      <c r="M429" s="89">
        <f>IF($K429="","",$K429-$L429)</f>
        <v/>
      </c>
      <c r="N429" s="89">
        <f>IF(OR($M429="",$D429=""),"",ROUND($M429*IFERROR(IF(VLOOKUP($D429,Setup!$A$76:$C$87,3,FALSE)="",Setup!$B$14,VLOOKUP($D429,Setup!$A$76:$C$87,3,FALSE)),Setup!$B$14),2))</f>
        <v/>
      </c>
      <c r="O429" s="89">
        <f>IF(OR($M429="",$E429=""),"",ROUND($M429*IFERROR(IF(VLOOKUP($E429,Setup!$A$76:$C$87,3,FALSE)="",Setup!$B$15,VLOOKUP($E429,Setup!$A$76:$C$87,3,FALSE)),Setup!$B$15),2))</f>
        <v/>
      </c>
      <c r="P429" s="91" t="n"/>
      <c r="Q429" s="91" t="n"/>
      <c r="R429" s="91" t="n"/>
      <c r="S429" s="91" t="n"/>
      <c r="T429" s="91" t="n"/>
      <c r="U429" s="89">
        <f>IF($K429="","",SUM($R429:$T429))</f>
        <v/>
      </c>
      <c r="V429" s="89">
        <f>IF($K429="","",$M429-(N($N429)+N($O429)+IF($P429="",Setup!$B$17,$P429)+N($Q429))-N($U429))</f>
        <v/>
      </c>
      <c r="W429" s="86" t="n"/>
      <c r="X429" s="87" t="n"/>
      <c r="Z429" s="92">
        <f>IF($A429="","",DATE(YEAR($A429),MONTH($A429),1))</f>
        <v/>
      </c>
    </row>
    <row r="430">
      <c r="A430" s="93" t="n"/>
      <c r="B430" s="94" t="n"/>
      <c r="C430" s="94" t="n"/>
      <c r="D430" s="95" t="n"/>
      <c r="E430" s="95" t="n"/>
      <c r="F430" s="95" t="n"/>
      <c r="G430" s="95" t="n"/>
      <c r="H430" s="96" t="n"/>
      <c r="I430" s="89">
        <f>IF($G430="","",IF($F430="",IFERROR(INDEX(Setup!$C$21:$C$60,MATCH("|"&amp;UPPER(TRIM($G430)),Setup!$Q$21:$Q$60,0)),"NO RATE"),IFERROR(INDEX(Setup!$C$21:$C$60,MATCH(UPPER(TRIM($F430))&amp;"|"&amp;UPPER(TRIM($G430)),Setup!$P$21:$P$60,0)),IFERROR(INDEX(Setup!$C$21:$C$60,MATCH(UPPER(TRIM($G430))&amp;"|"&amp;UPPER(TRIM($F430)),Setup!$P$21:$P$60,0)),"NO RATE"))))</f>
        <v/>
      </c>
      <c r="J430" s="97" t="n"/>
      <c r="K430" s="89">
        <f>IF(OR($G430="",$H430="",NOT(ISNUMBER($I430))),"",ROUND($H430*$I430*(1+IF($J430="",Setup!$B$16,$J430)),2))</f>
        <v/>
      </c>
      <c r="L430" s="89">
        <f>IF($K430="","",ROUND($K430*Setup!$B$13,2))</f>
        <v/>
      </c>
      <c r="M430" s="89">
        <f>IF($K430="","",$K430-$L430)</f>
        <v/>
      </c>
      <c r="N430" s="89">
        <f>IF(OR($M430="",$D430=""),"",ROUND($M430*IFERROR(IF(VLOOKUP($D430,Setup!$A$76:$C$87,3,FALSE)="",Setup!$B$14,VLOOKUP($D430,Setup!$A$76:$C$87,3,FALSE)),Setup!$B$14),2))</f>
        <v/>
      </c>
      <c r="O430" s="89">
        <f>IF(OR($M430="",$E430=""),"",ROUND($M430*IFERROR(IF(VLOOKUP($E430,Setup!$A$76:$C$87,3,FALSE)="",Setup!$B$15,VLOOKUP($E430,Setup!$A$76:$C$87,3,FALSE)),Setup!$B$15),2))</f>
        <v/>
      </c>
      <c r="P430" s="98" t="n"/>
      <c r="Q430" s="98" t="n"/>
      <c r="R430" s="98" t="n"/>
      <c r="S430" s="98" t="n"/>
      <c r="T430" s="98" t="n"/>
      <c r="U430" s="89">
        <f>IF($K430="","",SUM($R430:$T430))</f>
        <v/>
      </c>
      <c r="V430" s="89">
        <f>IF($K430="","",$M430-(N($N430)+N($O430)+IF($P430="",Setup!$B$17,$P430)+N($Q430))-N($U430))</f>
        <v/>
      </c>
      <c r="W430" s="94" t="n"/>
      <c r="X430" s="95" t="n"/>
      <c r="Z430" s="92">
        <f>IF($A430="","",DATE(YEAR($A430),MONTH($A430),1))</f>
        <v/>
      </c>
    </row>
    <row r="431">
      <c r="A431" s="85" t="n"/>
      <c r="B431" s="86" t="n"/>
      <c r="C431" s="86" t="n"/>
      <c r="D431" s="87" t="n"/>
      <c r="E431" s="87" t="n"/>
      <c r="F431" s="87" t="n"/>
      <c r="G431" s="87" t="n"/>
      <c r="H431" s="88" t="n"/>
      <c r="I431" s="89">
        <f>IF($G431="","",IF($F431="",IFERROR(INDEX(Setup!$C$21:$C$60,MATCH("|"&amp;UPPER(TRIM($G431)),Setup!$Q$21:$Q$60,0)),"NO RATE"),IFERROR(INDEX(Setup!$C$21:$C$60,MATCH(UPPER(TRIM($F431))&amp;"|"&amp;UPPER(TRIM($G431)),Setup!$P$21:$P$60,0)),IFERROR(INDEX(Setup!$C$21:$C$60,MATCH(UPPER(TRIM($G431))&amp;"|"&amp;UPPER(TRIM($F431)),Setup!$P$21:$P$60,0)),"NO RATE"))))</f>
        <v/>
      </c>
      <c r="J431" s="90" t="n"/>
      <c r="K431" s="89">
        <f>IF(OR($G431="",$H431="",NOT(ISNUMBER($I431))),"",ROUND($H431*$I431*(1+IF($J431="",Setup!$B$16,$J431)),2))</f>
        <v/>
      </c>
      <c r="L431" s="89">
        <f>IF($K431="","",ROUND($K431*Setup!$B$13,2))</f>
        <v/>
      </c>
      <c r="M431" s="89">
        <f>IF($K431="","",$K431-$L431)</f>
        <v/>
      </c>
      <c r="N431" s="89">
        <f>IF(OR($M431="",$D431=""),"",ROUND($M431*IFERROR(IF(VLOOKUP($D431,Setup!$A$76:$C$87,3,FALSE)="",Setup!$B$14,VLOOKUP($D431,Setup!$A$76:$C$87,3,FALSE)),Setup!$B$14),2))</f>
        <v/>
      </c>
      <c r="O431" s="89">
        <f>IF(OR($M431="",$E431=""),"",ROUND($M431*IFERROR(IF(VLOOKUP($E431,Setup!$A$76:$C$87,3,FALSE)="",Setup!$B$15,VLOOKUP($E431,Setup!$A$76:$C$87,3,FALSE)),Setup!$B$15),2))</f>
        <v/>
      </c>
      <c r="P431" s="91" t="n"/>
      <c r="Q431" s="91" t="n"/>
      <c r="R431" s="91" t="n"/>
      <c r="S431" s="91" t="n"/>
      <c r="T431" s="91" t="n"/>
      <c r="U431" s="89">
        <f>IF($K431="","",SUM($R431:$T431))</f>
        <v/>
      </c>
      <c r="V431" s="89">
        <f>IF($K431="","",$M431-(N($N431)+N($O431)+IF($P431="",Setup!$B$17,$P431)+N($Q431))-N($U431))</f>
        <v/>
      </c>
      <c r="W431" s="86" t="n"/>
      <c r="X431" s="87" t="n"/>
      <c r="Z431" s="92">
        <f>IF($A431="","",DATE(YEAR($A431),MONTH($A431),1))</f>
        <v/>
      </c>
    </row>
    <row r="432">
      <c r="A432" s="93" t="n"/>
      <c r="B432" s="94" t="n"/>
      <c r="C432" s="94" t="n"/>
      <c r="D432" s="95" t="n"/>
      <c r="E432" s="95" t="n"/>
      <c r="F432" s="95" t="n"/>
      <c r="G432" s="95" t="n"/>
      <c r="H432" s="96" t="n"/>
      <c r="I432" s="89">
        <f>IF($G432="","",IF($F432="",IFERROR(INDEX(Setup!$C$21:$C$60,MATCH("|"&amp;UPPER(TRIM($G432)),Setup!$Q$21:$Q$60,0)),"NO RATE"),IFERROR(INDEX(Setup!$C$21:$C$60,MATCH(UPPER(TRIM($F432))&amp;"|"&amp;UPPER(TRIM($G432)),Setup!$P$21:$P$60,0)),IFERROR(INDEX(Setup!$C$21:$C$60,MATCH(UPPER(TRIM($G432))&amp;"|"&amp;UPPER(TRIM($F432)),Setup!$P$21:$P$60,0)),"NO RATE"))))</f>
        <v/>
      </c>
      <c r="J432" s="97" t="n"/>
      <c r="K432" s="89">
        <f>IF(OR($G432="",$H432="",NOT(ISNUMBER($I432))),"",ROUND($H432*$I432*(1+IF($J432="",Setup!$B$16,$J432)),2))</f>
        <v/>
      </c>
      <c r="L432" s="89">
        <f>IF($K432="","",ROUND($K432*Setup!$B$13,2))</f>
        <v/>
      </c>
      <c r="M432" s="89">
        <f>IF($K432="","",$K432-$L432)</f>
        <v/>
      </c>
      <c r="N432" s="89">
        <f>IF(OR($M432="",$D432=""),"",ROUND($M432*IFERROR(IF(VLOOKUP($D432,Setup!$A$76:$C$87,3,FALSE)="",Setup!$B$14,VLOOKUP($D432,Setup!$A$76:$C$87,3,FALSE)),Setup!$B$14),2))</f>
        <v/>
      </c>
      <c r="O432" s="89">
        <f>IF(OR($M432="",$E432=""),"",ROUND($M432*IFERROR(IF(VLOOKUP($E432,Setup!$A$76:$C$87,3,FALSE)="",Setup!$B$15,VLOOKUP($E432,Setup!$A$76:$C$87,3,FALSE)),Setup!$B$15),2))</f>
        <v/>
      </c>
      <c r="P432" s="98" t="n"/>
      <c r="Q432" s="98" t="n"/>
      <c r="R432" s="98" t="n"/>
      <c r="S432" s="98" t="n"/>
      <c r="T432" s="98" t="n"/>
      <c r="U432" s="89">
        <f>IF($K432="","",SUM($R432:$T432))</f>
        <v/>
      </c>
      <c r="V432" s="89">
        <f>IF($K432="","",$M432-(N($N432)+N($O432)+IF($P432="",Setup!$B$17,$P432)+N($Q432))-N($U432))</f>
        <v/>
      </c>
      <c r="W432" s="94" t="n"/>
      <c r="X432" s="95" t="n"/>
      <c r="Z432" s="92">
        <f>IF($A432="","",DATE(YEAR($A432),MONTH($A432),1))</f>
        <v/>
      </c>
    </row>
    <row r="433">
      <c r="A433" s="85" t="n"/>
      <c r="B433" s="86" t="n"/>
      <c r="C433" s="86" t="n"/>
      <c r="D433" s="87" t="n"/>
      <c r="E433" s="87" t="n"/>
      <c r="F433" s="87" t="n"/>
      <c r="G433" s="87" t="n"/>
      <c r="H433" s="88" t="n"/>
      <c r="I433" s="89">
        <f>IF($G433="","",IF($F433="",IFERROR(INDEX(Setup!$C$21:$C$60,MATCH("|"&amp;UPPER(TRIM($G433)),Setup!$Q$21:$Q$60,0)),"NO RATE"),IFERROR(INDEX(Setup!$C$21:$C$60,MATCH(UPPER(TRIM($F433))&amp;"|"&amp;UPPER(TRIM($G433)),Setup!$P$21:$P$60,0)),IFERROR(INDEX(Setup!$C$21:$C$60,MATCH(UPPER(TRIM($G433))&amp;"|"&amp;UPPER(TRIM($F433)),Setup!$P$21:$P$60,0)),"NO RATE"))))</f>
        <v/>
      </c>
      <c r="J433" s="90" t="n"/>
      <c r="K433" s="89">
        <f>IF(OR($G433="",$H433="",NOT(ISNUMBER($I433))),"",ROUND($H433*$I433*(1+IF($J433="",Setup!$B$16,$J433)),2))</f>
        <v/>
      </c>
      <c r="L433" s="89">
        <f>IF($K433="","",ROUND($K433*Setup!$B$13,2))</f>
        <v/>
      </c>
      <c r="M433" s="89">
        <f>IF($K433="","",$K433-$L433)</f>
        <v/>
      </c>
      <c r="N433" s="89">
        <f>IF(OR($M433="",$D433=""),"",ROUND($M433*IFERROR(IF(VLOOKUP($D433,Setup!$A$76:$C$87,3,FALSE)="",Setup!$B$14,VLOOKUP($D433,Setup!$A$76:$C$87,3,FALSE)),Setup!$B$14),2))</f>
        <v/>
      </c>
      <c r="O433" s="89">
        <f>IF(OR($M433="",$E433=""),"",ROUND($M433*IFERROR(IF(VLOOKUP($E433,Setup!$A$76:$C$87,3,FALSE)="",Setup!$B$15,VLOOKUP($E433,Setup!$A$76:$C$87,3,FALSE)),Setup!$B$15),2))</f>
        <v/>
      </c>
      <c r="P433" s="91" t="n"/>
      <c r="Q433" s="91" t="n"/>
      <c r="R433" s="91" t="n"/>
      <c r="S433" s="91" t="n"/>
      <c r="T433" s="91" t="n"/>
      <c r="U433" s="89">
        <f>IF($K433="","",SUM($R433:$T433))</f>
        <v/>
      </c>
      <c r="V433" s="89">
        <f>IF($K433="","",$M433-(N($N433)+N($O433)+IF($P433="",Setup!$B$17,$P433)+N($Q433))-N($U433))</f>
        <v/>
      </c>
      <c r="W433" s="86" t="n"/>
      <c r="X433" s="87" t="n"/>
      <c r="Z433" s="92">
        <f>IF($A433="","",DATE(YEAR($A433),MONTH($A433),1))</f>
        <v/>
      </c>
    </row>
    <row r="434">
      <c r="A434" s="93" t="n"/>
      <c r="B434" s="94" t="n"/>
      <c r="C434" s="94" t="n"/>
      <c r="D434" s="95" t="n"/>
      <c r="E434" s="95" t="n"/>
      <c r="F434" s="95" t="n"/>
      <c r="G434" s="95" t="n"/>
      <c r="H434" s="96" t="n"/>
      <c r="I434" s="89">
        <f>IF($G434="","",IF($F434="",IFERROR(INDEX(Setup!$C$21:$C$60,MATCH("|"&amp;UPPER(TRIM($G434)),Setup!$Q$21:$Q$60,0)),"NO RATE"),IFERROR(INDEX(Setup!$C$21:$C$60,MATCH(UPPER(TRIM($F434))&amp;"|"&amp;UPPER(TRIM($G434)),Setup!$P$21:$P$60,0)),IFERROR(INDEX(Setup!$C$21:$C$60,MATCH(UPPER(TRIM($G434))&amp;"|"&amp;UPPER(TRIM($F434)),Setup!$P$21:$P$60,0)),"NO RATE"))))</f>
        <v/>
      </c>
      <c r="J434" s="97" t="n"/>
      <c r="K434" s="89">
        <f>IF(OR($G434="",$H434="",NOT(ISNUMBER($I434))),"",ROUND($H434*$I434*(1+IF($J434="",Setup!$B$16,$J434)),2))</f>
        <v/>
      </c>
      <c r="L434" s="89">
        <f>IF($K434="","",ROUND($K434*Setup!$B$13,2))</f>
        <v/>
      </c>
      <c r="M434" s="89">
        <f>IF($K434="","",$K434-$L434)</f>
        <v/>
      </c>
      <c r="N434" s="89">
        <f>IF(OR($M434="",$D434=""),"",ROUND($M434*IFERROR(IF(VLOOKUP($D434,Setup!$A$76:$C$87,3,FALSE)="",Setup!$B$14,VLOOKUP($D434,Setup!$A$76:$C$87,3,FALSE)),Setup!$B$14),2))</f>
        <v/>
      </c>
      <c r="O434" s="89">
        <f>IF(OR($M434="",$E434=""),"",ROUND($M434*IFERROR(IF(VLOOKUP($E434,Setup!$A$76:$C$87,3,FALSE)="",Setup!$B$15,VLOOKUP($E434,Setup!$A$76:$C$87,3,FALSE)),Setup!$B$15),2))</f>
        <v/>
      </c>
      <c r="P434" s="98" t="n"/>
      <c r="Q434" s="98" t="n"/>
      <c r="R434" s="98" t="n"/>
      <c r="S434" s="98" t="n"/>
      <c r="T434" s="98" t="n"/>
      <c r="U434" s="89">
        <f>IF($K434="","",SUM($R434:$T434))</f>
        <v/>
      </c>
      <c r="V434" s="89">
        <f>IF($K434="","",$M434-(N($N434)+N($O434)+IF($P434="",Setup!$B$17,$P434)+N($Q434))-N($U434))</f>
        <v/>
      </c>
      <c r="W434" s="94" t="n"/>
      <c r="X434" s="95" t="n"/>
      <c r="Z434" s="92">
        <f>IF($A434="","",DATE(YEAR($A434),MONTH($A434),1))</f>
        <v/>
      </c>
    </row>
    <row r="435">
      <c r="A435" s="85" t="n"/>
      <c r="B435" s="86" t="n"/>
      <c r="C435" s="86" t="n"/>
      <c r="D435" s="87" t="n"/>
      <c r="E435" s="87" t="n"/>
      <c r="F435" s="87" t="n"/>
      <c r="G435" s="87" t="n"/>
      <c r="H435" s="88" t="n"/>
      <c r="I435" s="89">
        <f>IF($G435="","",IF($F435="",IFERROR(INDEX(Setup!$C$21:$C$60,MATCH("|"&amp;UPPER(TRIM($G435)),Setup!$Q$21:$Q$60,0)),"NO RATE"),IFERROR(INDEX(Setup!$C$21:$C$60,MATCH(UPPER(TRIM($F435))&amp;"|"&amp;UPPER(TRIM($G435)),Setup!$P$21:$P$60,0)),IFERROR(INDEX(Setup!$C$21:$C$60,MATCH(UPPER(TRIM($G435))&amp;"|"&amp;UPPER(TRIM($F435)),Setup!$P$21:$P$60,0)),"NO RATE"))))</f>
        <v/>
      </c>
      <c r="J435" s="90" t="n"/>
      <c r="K435" s="89">
        <f>IF(OR($G435="",$H435="",NOT(ISNUMBER($I435))),"",ROUND($H435*$I435*(1+IF($J435="",Setup!$B$16,$J435)),2))</f>
        <v/>
      </c>
      <c r="L435" s="89">
        <f>IF($K435="","",ROUND($K435*Setup!$B$13,2))</f>
        <v/>
      </c>
      <c r="M435" s="89">
        <f>IF($K435="","",$K435-$L435)</f>
        <v/>
      </c>
      <c r="N435" s="89">
        <f>IF(OR($M435="",$D435=""),"",ROUND($M435*IFERROR(IF(VLOOKUP($D435,Setup!$A$76:$C$87,3,FALSE)="",Setup!$B$14,VLOOKUP($D435,Setup!$A$76:$C$87,3,FALSE)),Setup!$B$14),2))</f>
        <v/>
      </c>
      <c r="O435" s="89">
        <f>IF(OR($M435="",$E435=""),"",ROUND($M435*IFERROR(IF(VLOOKUP($E435,Setup!$A$76:$C$87,3,FALSE)="",Setup!$B$15,VLOOKUP($E435,Setup!$A$76:$C$87,3,FALSE)),Setup!$B$15),2))</f>
        <v/>
      </c>
      <c r="P435" s="91" t="n"/>
      <c r="Q435" s="91" t="n"/>
      <c r="R435" s="91" t="n"/>
      <c r="S435" s="91" t="n"/>
      <c r="T435" s="91" t="n"/>
      <c r="U435" s="89">
        <f>IF($K435="","",SUM($R435:$T435))</f>
        <v/>
      </c>
      <c r="V435" s="89">
        <f>IF($K435="","",$M435-(N($N435)+N($O435)+IF($P435="",Setup!$B$17,$P435)+N($Q435))-N($U435))</f>
        <v/>
      </c>
      <c r="W435" s="86" t="n"/>
      <c r="X435" s="87" t="n"/>
      <c r="Z435" s="92">
        <f>IF($A435="","",DATE(YEAR($A435),MONTH($A435),1))</f>
        <v/>
      </c>
    </row>
    <row r="436">
      <c r="A436" s="93" t="n"/>
      <c r="B436" s="94" t="n"/>
      <c r="C436" s="94" t="n"/>
      <c r="D436" s="95" t="n"/>
      <c r="E436" s="95" t="n"/>
      <c r="F436" s="95" t="n"/>
      <c r="G436" s="95" t="n"/>
      <c r="H436" s="96" t="n"/>
      <c r="I436" s="89">
        <f>IF($G436="","",IF($F436="",IFERROR(INDEX(Setup!$C$21:$C$60,MATCH("|"&amp;UPPER(TRIM($G436)),Setup!$Q$21:$Q$60,0)),"NO RATE"),IFERROR(INDEX(Setup!$C$21:$C$60,MATCH(UPPER(TRIM($F436))&amp;"|"&amp;UPPER(TRIM($G436)),Setup!$P$21:$P$60,0)),IFERROR(INDEX(Setup!$C$21:$C$60,MATCH(UPPER(TRIM($G436))&amp;"|"&amp;UPPER(TRIM($F436)),Setup!$P$21:$P$60,0)),"NO RATE"))))</f>
        <v/>
      </c>
      <c r="J436" s="97" t="n"/>
      <c r="K436" s="89">
        <f>IF(OR($G436="",$H436="",NOT(ISNUMBER($I436))),"",ROUND($H436*$I436*(1+IF($J436="",Setup!$B$16,$J436)),2))</f>
        <v/>
      </c>
      <c r="L436" s="89">
        <f>IF($K436="","",ROUND($K436*Setup!$B$13,2))</f>
        <v/>
      </c>
      <c r="M436" s="89">
        <f>IF($K436="","",$K436-$L436)</f>
        <v/>
      </c>
      <c r="N436" s="89">
        <f>IF(OR($M436="",$D436=""),"",ROUND($M436*IFERROR(IF(VLOOKUP($D436,Setup!$A$76:$C$87,3,FALSE)="",Setup!$B$14,VLOOKUP($D436,Setup!$A$76:$C$87,3,FALSE)),Setup!$B$14),2))</f>
        <v/>
      </c>
      <c r="O436" s="89">
        <f>IF(OR($M436="",$E436=""),"",ROUND($M436*IFERROR(IF(VLOOKUP($E436,Setup!$A$76:$C$87,3,FALSE)="",Setup!$B$15,VLOOKUP($E436,Setup!$A$76:$C$87,3,FALSE)),Setup!$B$15),2))</f>
        <v/>
      </c>
      <c r="P436" s="98" t="n"/>
      <c r="Q436" s="98" t="n"/>
      <c r="R436" s="98" t="n"/>
      <c r="S436" s="98" t="n"/>
      <c r="T436" s="98" t="n"/>
      <c r="U436" s="89">
        <f>IF($K436="","",SUM($R436:$T436))</f>
        <v/>
      </c>
      <c r="V436" s="89">
        <f>IF($K436="","",$M436-(N($N436)+N($O436)+IF($P436="",Setup!$B$17,$P436)+N($Q436))-N($U436))</f>
        <v/>
      </c>
      <c r="W436" s="94" t="n"/>
      <c r="X436" s="95" t="n"/>
      <c r="Z436" s="92">
        <f>IF($A436="","",DATE(YEAR($A436),MONTH($A436),1))</f>
        <v/>
      </c>
    </row>
    <row r="437">
      <c r="A437" s="85" t="n"/>
      <c r="B437" s="86" t="n"/>
      <c r="C437" s="86" t="n"/>
      <c r="D437" s="87" t="n"/>
      <c r="E437" s="87" t="n"/>
      <c r="F437" s="87" t="n"/>
      <c r="G437" s="87" t="n"/>
      <c r="H437" s="88" t="n"/>
      <c r="I437" s="89">
        <f>IF($G437="","",IF($F437="",IFERROR(INDEX(Setup!$C$21:$C$60,MATCH("|"&amp;UPPER(TRIM($G437)),Setup!$Q$21:$Q$60,0)),"NO RATE"),IFERROR(INDEX(Setup!$C$21:$C$60,MATCH(UPPER(TRIM($F437))&amp;"|"&amp;UPPER(TRIM($G437)),Setup!$P$21:$P$60,0)),IFERROR(INDEX(Setup!$C$21:$C$60,MATCH(UPPER(TRIM($G437))&amp;"|"&amp;UPPER(TRIM($F437)),Setup!$P$21:$P$60,0)),"NO RATE"))))</f>
        <v/>
      </c>
      <c r="J437" s="90" t="n"/>
      <c r="K437" s="89">
        <f>IF(OR($G437="",$H437="",NOT(ISNUMBER($I437))),"",ROUND($H437*$I437*(1+IF($J437="",Setup!$B$16,$J437)),2))</f>
        <v/>
      </c>
      <c r="L437" s="89">
        <f>IF($K437="","",ROUND($K437*Setup!$B$13,2))</f>
        <v/>
      </c>
      <c r="M437" s="89">
        <f>IF($K437="","",$K437-$L437)</f>
        <v/>
      </c>
      <c r="N437" s="89">
        <f>IF(OR($M437="",$D437=""),"",ROUND($M437*IFERROR(IF(VLOOKUP($D437,Setup!$A$76:$C$87,3,FALSE)="",Setup!$B$14,VLOOKUP($D437,Setup!$A$76:$C$87,3,FALSE)),Setup!$B$14),2))</f>
        <v/>
      </c>
      <c r="O437" s="89">
        <f>IF(OR($M437="",$E437=""),"",ROUND($M437*IFERROR(IF(VLOOKUP($E437,Setup!$A$76:$C$87,3,FALSE)="",Setup!$B$15,VLOOKUP($E437,Setup!$A$76:$C$87,3,FALSE)),Setup!$B$15),2))</f>
        <v/>
      </c>
      <c r="P437" s="91" t="n"/>
      <c r="Q437" s="91" t="n"/>
      <c r="R437" s="91" t="n"/>
      <c r="S437" s="91" t="n"/>
      <c r="T437" s="91" t="n"/>
      <c r="U437" s="89">
        <f>IF($K437="","",SUM($R437:$T437))</f>
        <v/>
      </c>
      <c r="V437" s="89">
        <f>IF($K437="","",$M437-(N($N437)+N($O437)+IF($P437="",Setup!$B$17,$P437)+N($Q437))-N($U437))</f>
        <v/>
      </c>
      <c r="W437" s="86" t="n"/>
      <c r="X437" s="87" t="n"/>
      <c r="Z437" s="92">
        <f>IF($A437="","",DATE(YEAR($A437),MONTH($A437),1))</f>
        <v/>
      </c>
    </row>
    <row r="438">
      <c r="A438" s="93" t="n"/>
      <c r="B438" s="94" t="n"/>
      <c r="C438" s="94" t="n"/>
      <c r="D438" s="95" t="n"/>
      <c r="E438" s="95" t="n"/>
      <c r="F438" s="95" t="n"/>
      <c r="G438" s="95" t="n"/>
      <c r="H438" s="96" t="n"/>
      <c r="I438" s="89">
        <f>IF($G438="","",IF($F438="",IFERROR(INDEX(Setup!$C$21:$C$60,MATCH("|"&amp;UPPER(TRIM($G438)),Setup!$Q$21:$Q$60,0)),"NO RATE"),IFERROR(INDEX(Setup!$C$21:$C$60,MATCH(UPPER(TRIM($F438))&amp;"|"&amp;UPPER(TRIM($G438)),Setup!$P$21:$P$60,0)),IFERROR(INDEX(Setup!$C$21:$C$60,MATCH(UPPER(TRIM($G438))&amp;"|"&amp;UPPER(TRIM($F438)),Setup!$P$21:$P$60,0)),"NO RATE"))))</f>
        <v/>
      </c>
      <c r="J438" s="97" t="n"/>
      <c r="K438" s="89">
        <f>IF(OR($G438="",$H438="",NOT(ISNUMBER($I438))),"",ROUND($H438*$I438*(1+IF($J438="",Setup!$B$16,$J438)),2))</f>
        <v/>
      </c>
      <c r="L438" s="89">
        <f>IF($K438="","",ROUND($K438*Setup!$B$13,2))</f>
        <v/>
      </c>
      <c r="M438" s="89">
        <f>IF($K438="","",$K438-$L438)</f>
        <v/>
      </c>
      <c r="N438" s="89">
        <f>IF(OR($M438="",$D438=""),"",ROUND($M438*IFERROR(IF(VLOOKUP($D438,Setup!$A$76:$C$87,3,FALSE)="",Setup!$B$14,VLOOKUP($D438,Setup!$A$76:$C$87,3,FALSE)),Setup!$B$14),2))</f>
        <v/>
      </c>
      <c r="O438" s="89">
        <f>IF(OR($M438="",$E438=""),"",ROUND($M438*IFERROR(IF(VLOOKUP($E438,Setup!$A$76:$C$87,3,FALSE)="",Setup!$B$15,VLOOKUP($E438,Setup!$A$76:$C$87,3,FALSE)),Setup!$B$15),2))</f>
        <v/>
      </c>
      <c r="P438" s="98" t="n"/>
      <c r="Q438" s="98" t="n"/>
      <c r="R438" s="98" t="n"/>
      <c r="S438" s="98" t="n"/>
      <c r="T438" s="98" t="n"/>
      <c r="U438" s="89">
        <f>IF($K438="","",SUM($R438:$T438))</f>
        <v/>
      </c>
      <c r="V438" s="89">
        <f>IF($K438="","",$M438-(N($N438)+N($O438)+IF($P438="",Setup!$B$17,$P438)+N($Q438))-N($U438))</f>
        <v/>
      </c>
      <c r="W438" s="94" t="n"/>
      <c r="X438" s="95" t="n"/>
      <c r="Z438" s="92">
        <f>IF($A438="","",DATE(YEAR($A438),MONTH($A438),1))</f>
        <v/>
      </c>
    </row>
    <row r="439">
      <c r="A439" s="85" t="n"/>
      <c r="B439" s="86" t="n"/>
      <c r="C439" s="86" t="n"/>
      <c r="D439" s="87" t="n"/>
      <c r="E439" s="87" t="n"/>
      <c r="F439" s="87" t="n"/>
      <c r="G439" s="87" t="n"/>
      <c r="H439" s="88" t="n"/>
      <c r="I439" s="89">
        <f>IF($G439="","",IF($F439="",IFERROR(INDEX(Setup!$C$21:$C$60,MATCH("|"&amp;UPPER(TRIM($G439)),Setup!$Q$21:$Q$60,0)),"NO RATE"),IFERROR(INDEX(Setup!$C$21:$C$60,MATCH(UPPER(TRIM($F439))&amp;"|"&amp;UPPER(TRIM($G439)),Setup!$P$21:$P$60,0)),IFERROR(INDEX(Setup!$C$21:$C$60,MATCH(UPPER(TRIM($G439))&amp;"|"&amp;UPPER(TRIM($F439)),Setup!$P$21:$P$60,0)),"NO RATE"))))</f>
        <v/>
      </c>
      <c r="J439" s="90" t="n"/>
      <c r="K439" s="89">
        <f>IF(OR($G439="",$H439="",NOT(ISNUMBER($I439))),"",ROUND($H439*$I439*(1+IF($J439="",Setup!$B$16,$J439)),2))</f>
        <v/>
      </c>
      <c r="L439" s="89">
        <f>IF($K439="","",ROUND($K439*Setup!$B$13,2))</f>
        <v/>
      </c>
      <c r="M439" s="89">
        <f>IF($K439="","",$K439-$L439)</f>
        <v/>
      </c>
      <c r="N439" s="89">
        <f>IF(OR($M439="",$D439=""),"",ROUND($M439*IFERROR(IF(VLOOKUP($D439,Setup!$A$76:$C$87,3,FALSE)="",Setup!$B$14,VLOOKUP($D439,Setup!$A$76:$C$87,3,FALSE)),Setup!$B$14),2))</f>
        <v/>
      </c>
      <c r="O439" s="89">
        <f>IF(OR($M439="",$E439=""),"",ROUND($M439*IFERROR(IF(VLOOKUP($E439,Setup!$A$76:$C$87,3,FALSE)="",Setup!$B$15,VLOOKUP($E439,Setup!$A$76:$C$87,3,FALSE)),Setup!$B$15),2))</f>
        <v/>
      </c>
      <c r="P439" s="91" t="n"/>
      <c r="Q439" s="91" t="n"/>
      <c r="R439" s="91" t="n"/>
      <c r="S439" s="91" t="n"/>
      <c r="T439" s="91" t="n"/>
      <c r="U439" s="89">
        <f>IF($K439="","",SUM($R439:$T439))</f>
        <v/>
      </c>
      <c r="V439" s="89">
        <f>IF($K439="","",$M439-(N($N439)+N($O439)+IF($P439="",Setup!$B$17,$P439)+N($Q439))-N($U439))</f>
        <v/>
      </c>
      <c r="W439" s="86" t="n"/>
      <c r="X439" s="87" t="n"/>
      <c r="Z439" s="92">
        <f>IF($A439="","",DATE(YEAR($A439),MONTH($A439),1))</f>
        <v/>
      </c>
    </row>
    <row r="440">
      <c r="A440" s="93" t="n"/>
      <c r="B440" s="94" t="n"/>
      <c r="C440" s="94" t="n"/>
      <c r="D440" s="95" t="n"/>
      <c r="E440" s="95" t="n"/>
      <c r="F440" s="95" t="n"/>
      <c r="G440" s="95" t="n"/>
      <c r="H440" s="96" t="n"/>
      <c r="I440" s="89">
        <f>IF($G440="","",IF($F440="",IFERROR(INDEX(Setup!$C$21:$C$60,MATCH("|"&amp;UPPER(TRIM($G440)),Setup!$Q$21:$Q$60,0)),"NO RATE"),IFERROR(INDEX(Setup!$C$21:$C$60,MATCH(UPPER(TRIM($F440))&amp;"|"&amp;UPPER(TRIM($G440)),Setup!$P$21:$P$60,0)),IFERROR(INDEX(Setup!$C$21:$C$60,MATCH(UPPER(TRIM($G440))&amp;"|"&amp;UPPER(TRIM($F440)),Setup!$P$21:$P$60,0)),"NO RATE"))))</f>
        <v/>
      </c>
      <c r="J440" s="97" t="n"/>
      <c r="K440" s="89">
        <f>IF(OR($G440="",$H440="",NOT(ISNUMBER($I440))),"",ROUND($H440*$I440*(1+IF($J440="",Setup!$B$16,$J440)),2))</f>
        <v/>
      </c>
      <c r="L440" s="89">
        <f>IF($K440="","",ROUND($K440*Setup!$B$13,2))</f>
        <v/>
      </c>
      <c r="M440" s="89">
        <f>IF($K440="","",$K440-$L440)</f>
        <v/>
      </c>
      <c r="N440" s="89">
        <f>IF(OR($M440="",$D440=""),"",ROUND($M440*IFERROR(IF(VLOOKUP($D440,Setup!$A$76:$C$87,3,FALSE)="",Setup!$B$14,VLOOKUP($D440,Setup!$A$76:$C$87,3,FALSE)),Setup!$B$14),2))</f>
        <v/>
      </c>
      <c r="O440" s="89">
        <f>IF(OR($M440="",$E440=""),"",ROUND($M440*IFERROR(IF(VLOOKUP($E440,Setup!$A$76:$C$87,3,FALSE)="",Setup!$B$15,VLOOKUP($E440,Setup!$A$76:$C$87,3,FALSE)),Setup!$B$15),2))</f>
        <v/>
      </c>
      <c r="P440" s="98" t="n"/>
      <c r="Q440" s="98" t="n"/>
      <c r="R440" s="98" t="n"/>
      <c r="S440" s="98" t="n"/>
      <c r="T440" s="98" t="n"/>
      <c r="U440" s="89">
        <f>IF($K440="","",SUM($R440:$T440))</f>
        <v/>
      </c>
      <c r="V440" s="89">
        <f>IF($K440="","",$M440-(N($N440)+N($O440)+IF($P440="",Setup!$B$17,$P440)+N($Q440))-N($U440))</f>
        <v/>
      </c>
      <c r="W440" s="94" t="n"/>
      <c r="X440" s="95" t="n"/>
      <c r="Z440" s="92">
        <f>IF($A440="","",DATE(YEAR($A440),MONTH($A440),1))</f>
        <v/>
      </c>
    </row>
    <row r="441">
      <c r="A441" s="85" t="n"/>
      <c r="B441" s="86" t="n"/>
      <c r="C441" s="86" t="n"/>
      <c r="D441" s="87" t="n"/>
      <c r="E441" s="87" t="n"/>
      <c r="F441" s="87" t="n"/>
      <c r="G441" s="87" t="n"/>
      <c r="H441" s="88" t="n"/>
      <c r="I441" s="89">
        <f>IF($G441="","",IF($F441="",IFERROR(INDEX(Setup!$C$21:$C$60,MATCH("|"&amp;UPPER(TRIM($G441)),Setup!$Q$21:$Q$60,0)),"NO RATE"),IFERROR(INDEX(Setup!$C$21:$C$60,MATCH(UPPER(TRIM($F441))&amp;"|"&amp;UPPER(TRIM($G441)),Setup!$P$21:$P$60,0)),IFERROR(INDEX(Setup!$C$21:$C$60,MATCH(UPPER(TRIM($G441))&amp;"|"&amp;UPPER(TRIM($F441)),Setup!$P$21:$P$60,0)),"NO RATE"))))</f>
        <v/>
      </c>
      <c r="J441" s="90" t="n"/>
      <c r="K441" s="89">
        <f>IF(OR($G441="",$H441="",NOT(ISNUMBER($I441))),"",ROUND($H441*$I441*(1+IF($J441="",Setup!$B$16,$J441)),2))</f>
        <v/>
      </c>
      <c r="L441" s="89">
        <f>IF($K441="","",ROUND($K441*Setup!$B$13,2))</f>
        <v/>
      </c>
      <c r="M441" s="89">
        <f>IF($K441="","",$K441-$L441)</f>
        <v/>
      </c>
      <c r="N441" s="89">
        <f>IF(OR($M441="",$D441=""),"",ROUND($M441*IFERROR(IF(VLOOKUP($D441,Setup!$A$76:$C$87,3,FALSE)="",Setup!$B$14,VLOOKUP($D441,Setup!$A$76:$C$87,3,FALSE)),Setup!$B$14),2))</f>
        <v/>
      </c>
      <c r="O441" s="89">
        <f>IF(OR($M441="",$E441=""),"",ROUND($M441*IFERROR(IF(VLOOKUP($E441,Setup!$A$76:$C$87,3,FALSE)="",Setup!$B$15,VLOOKUP($E441,Setup!$A$76:$C$87,3,FALSE)),Setup!$B$15),2))</f>
        <v/>
      </c>
      <c r="P441" s="91" t="n"/>
      <c r="Q441" s="91" t="n"/>
      <c r="R441" s="91" t="n"/>
      <c r="S441" s="91" t="n"/>
      <c r="T441" s="91" t="n"/>
      <c r="U441" s="89">
        <f>IF($K441="","",SUM($R441:$T441))</f>
        <v/>
      </c>
      <c r="V441" s="89">
        <f>IF($K441="","",$M441-(N($N441)+N($O441)+IF($P441="",Setup!$B$17,$P441)+N($Q441))-N($U441))</f>
        <v/>
      </c>
      <c r="W441" s="86" t="n"/>
      <c r="X441" s="87" t="n"/>
      <c r="Z441" s="92">
        <f>IF($A441="","",DATE(YEAR($A441),MONTH($A441),1))</f>
        <v/>
      </c>
    </row>
    <row r="442">
      <c r="A442" s="93" t="n"/>
      <c r="B442" s="94" t="n"/>
      <c r="C442" s="94" t="n"/>
      <c r="D442" s="95" t="n"/>
      <c r="E442" s="95" t="n"/>
      <c r="F442" s="95" t="n"/>
      <c r="G442" s="95" t="n"/>
      <c r="H442" s="96" t="n"/>
      <c r="I442" s="89">
        <f>IF($G442="","",IF($F442="",IFERROR(INDEX(Setup!$C$21:$C$60,MATCH("|"&amp;UPPER(TRIM($G442)),Setup!$Q$21:$Q$60,0)),"NO RATE"),IFERROR(INDEX(Setup!$C$21:$C$60,MATCH(UPPER(TRIM($F442))&amp;"|"&amp;UPPER(TRIM($G442)),Setup!$P$21:$P$60,0)),IFERROR(INDEX(Setup!$C$21:$C$60,MATCH(UPPER(TRIM($G442))&amp;"|"&amp;UPPER(TRIM($F442)),Setup!$P$21:$P$60,0)),"NO RATE"))))</f>
        <v/>
      </c>
      <c r="J442" s="97" t="n"/>
      <c r="K442" s="89">
        <f>IF(OR($G442="",$H442="",NOT(ISNUMBER($I442))),"",ROUND($H442*$I442*(1+IF($J442="",Setup!$B$16,$J442)),2))</f>
        <v/>
      </c>
      <c r="L442" s="89">
        <f>IF($K442="","",ROUND($K442*Setup!$B$13,2))</f>
        <v/>
      </c>
      <c r="M442" s="89">
        <f>IF($K442="","",$K442-$L442)</f>
        <v/>
      </c>
      <c r="N442" s="89">
        <f>IF(OR($M442="",$D442=""),"",ROUND($M442*IFERROR(IF(VLOOKUP($D442,Setup!$A$76:$C$87,3,FALSE)="",Setup!$B$14,VLOOKUP($D442,Setup!$A$76:$C$87,3,FALSE)),Setup!$B$14),2))</f>
        <v/>
      </c>
      <c r="O442" s="89">
        <f>IF(OR($M442="",$E442=""),"",ROUND($M442*IFERROR(IF(VLOOKUP($E442,Setup!$A$76:$C$87,3,FALSE)="",Setup!$B$15,VLOOKUP($E442,Setup!$A$76:$C$87,3,FALSE)),Setup!$B$15),2))</f>
        <v/>
      </c>
      <c r="P442" s="98" t="n"/>
      <c r="Q442" s="98" t="n"/>
      <c r="R442" s="98" t="n"/>
      <c r="S442" s="98" t="n"/>
      <c r="T442" s="98" t="n"/>
      <c r="U442" s="89">
        <f>IF($K442="","",SUM($R442:$T442))</f>
        <v/>
      </c>
      <c r="V442" s="89">
        <f>IF($K442="","",$M442-(N($N442)+N($O442)+IF($P442="",Setup!$B$17,$P442)+N($Q442))-N($U442))</f>
        <v/>
      </c>
      <c r="W442" s="94" t="n"/>
      <c r="X442" s="95" t="n"/>
      <c r="Z442" s="92">
        <f>IF($A442="","",DATE(YEAR($A442),MONTH($A442),1))</f>
        <v/>
      </c>
    </row>
    <row r="443">
      <c r="A443" s="85" t="n"/>
      <c r="B443" s="86" t="n"/>
      <c r="C443" s="86" t="n"/>
      <c r="D443" s="87" t="n"/>
      <c r="E443" s="87" t="n"/>
      <c r="F443" s="87" t="n"/>
      <c r="G443" s="87" t="n"/>
      <c r="H443" s="88" t="n"/>
      <c r="I443" s="89">
        <f>IF($G443="","",IF($F443="",IFERROR(INDEX(Setup!$C$21:$C$60,MATCH("|"&amp;UPPER(TRIM($G443)),Setup!$Q$21:$Q$60,0)),"NO RATE"),IFERROR(INDEX(Setup!$C$21:$C$60,MATCH(UPPER(TRIM($F443))&amp;"|"&amp;UPPER(TRIM($G443)),Setup!$P$21:$P$60,0)),IFERROR(INDEX(Setup!$C$21:$C$60,MATCH(UPPER(TRIM($G443))&amp;"|"&amp;UPPER(TRIM($F443)),Setup!$P$21:$P$60,0)),"NO RATE"))))</f>
        <v/>
      </c>
      <c r="J443" s="90" t="n"/>
      <c r="K443" s="89">
        <f>IF(OR($G443="",$H443="",NOT(ISNUMBER($I443))),"",ROUND($H443*$I443*(1+IF($J443="",Setup!$B$16,$J443)),2))</f>
        <v/>
      </c>
      <c r="L443" s="89">
        <f>IF($K443="","",ROUND($K443*Setup!$B$13,2))</f>
        <v/>
      </c>
      <c r="M443" s="89">
        <f>IF($K443="","",$K443-$L443)</f>
        <v/>
      </c>
      <c r="N443" s="89">
        <f>IF(OR($M443="",$D443=""),"",ROUND($M443*IFERROR(IF(VLOOKUP($D443,Setup!$A$76:$C$87,3,FALSE)="",Setup!$B$14,VLOOKUP($D443,Setup!$A$76:$C$87,3,FALSE)),Setup!$B$14),2))</f>
        <v/>
      </c>
      <c r="O443" s="89">
        <f>IF(OR($M443="",$E443=""),"",ROUND($M443*IFERROR(IF(VLOOKUP($E443,Setup!$A$76:$C$87,3,FALSE)="",Setup!$B$15,VLOOKUP($E443,Setup!$A$76:$C$87,3,FALSE)),Setup!$B$15),2))</f>
        <v/>
      </c>
      <c r="P443" s="91" t="n"/>
      <c r="Q443" s="91" t="n"/>
      <c r="R443" s="91" t="n"/>
      <c r="S443" s="91" t="n"/>
      <c r="T443" s="91" t="n"/>
      <c r="U443" s="89">
        <f>IF($K443="","",SUM($R443:$T443))</f>
        <v/>
      </c>
      <c r="V443" s="89">
        <f>IF($K443="","",$M443-(N($N443)+N($O443)+IF($P443="",Setup!$B$17,$P443)+N($Q443))-N($U443))</f>
        <v/>
      </c>
      <c r="W443" s="86" t="n"/>
      <c r="X443" s="87" t="n"/>
      <c r="Z443" s="92">
        <f>IF($A443="","",DATE(YEAR($A443),MONTH($A443),1))</f>
        <v/>
      </c>
    </row>
    <row r="444">
      <c r="A444" s="93" t="n"/>
      <c r="B444" s="94" t="n"/>
      <c r="C444" s="94" t="n"/>
      <c r="D444" s="95" t="n"/>
      <c r="E444" s="95" t="n"/>
      <c r="F444" s="95" t="n"/>
      <c r="G444" s="95" t="n"/>
      <c r="H444" s="96" t="n"/>
      <c r="I444" s="89">
        <f>IF($G444="","",IF($F444="",IFERROR(INDEX(Setup!$C$21:$C$60,MATCH("|"&amp;UPPER(TRIM($G444)),Setup!$Q$21:$Q$60,0)),"NO RATE"),IFERROR(INDEX(Setup!$C$21:$C$60,MATCH(UPPER(TRIM($F444))&amp;"|"&amp;UPPER(TRIM($G444)),Setup!$P$21:$P$60,0)),IFERROR(INDEX(Setup!$C$21:$C$60,MATCH(UPPER(TRIM($G444))&amp;"|"&amp;UPPER(TRIM($F444)),Setup!$P$21:$P$60,0)),"NO RATE"))))</f>
        <v/>
      </c>
      <c r="J444" s="97" t="n"/>
      <c r="K444" s="89">
        <f>IF(OR($G444="",$H444="",NOT(ISNUMBER($I444))),"",ROUND($H444*$I444*(1+IF($J444="",Setup!$B$16,$J444)),2))</f>
        <v/>
      </c>
      <c r="L444" s="89">
        <f>IF($K444="","",ROUND($K444*Setup!$B$13,2))</f>
        <v/>
      </c>
      <c r="M444" s="89">
        <f>IF($K444="","",$K444-$L444)</f>
        <v/>
      </c>
      <c r="N444" s="89">
        <f>IF(OR($M444="",$D444=""),"",ROUND($M444*IFERROR(IF(VLOOKUP($D444,Setup!$A$76:$C$87,3,FALSE)="",Setup!$B$14,VLOOKUP($D444,Setup!$A$76:$C$87,3,FALSE)),Setup!$B$14),2))</f>
        <v/>
      </c>
      <c r="O444" s="89">
        <f>IF(OR($M444="",$E444=""),"",ROUND($M444*IFERROR(IF(VLOOKUP($E444,Setup!$A$76:$C$87,3,FALSE)="",Setup!$B$15,VLOOKUP($E444,Setup!$A$76:$C$87,3,FALSE)),Setup!$B$15),2))</f>
        <v/>
      </c>
      <c r="P444" s="98" t="n"/>
      <c r="Q444" s="98" t="n"/>
      <c r="R444" s="98" t="n"/>
      <c r="S444" s="98" t="n"/>
      <c r="T444" s="98" t="n"/>
      <c r="U444" s="89">
        <f>IF($K444="","",SUM($R444:$T444))</f>
        <v/>
      </c>
      <c r="V444" s="89">
        <f>IF($K444="","",$M444-(N($N444)+N($O444)+IF($P444="",Setup!$B$17,$P444)+N($Q444))-N($U444))</f>
        <v/>
      </c>
      <c r="W444" s="94" t="n"/>
      <c r="X444" s="95" t="n"/>
      <c r="Z444" s="92">
        <f>IF($A444="","",DATE(YEAR($A444),MONTH($A444),1))</f>
        <v/>
      </c>
    </row>
    <row r="445">
      <c r="A445" s="85" t="n"/>
      <c r="B445" s="86" t="n"/>
      <c r="C445" s="86" t="n"/>
      <c r="D445" s="87" t="n"/>
      <c r="E445" s="87" t="n"/>
      <c r="F445" s="87" t="n"/>
      <c r="G445" s="87" t="n"/>
      <c r="H445" s="88" t="n"/>
      <c r="I445" s="89">
        <f>IF($G445="","",IF($F445="",IFERROR(INDEX(Setup!$C$21:$C$60,MATCH("|"&amp;UPPER(TRIM($G445)),Setup!$Q$21:$Q$60,0)),"NO RATE"),IFERROR(INDEX(Setup!$C$21:$C$60,MATCH(UPPER(TRIM($F445))&amp;"|"&amp;UPPER(TRIM($G445)),Setup!$P$21:$P$60,0)),IFERROR(INDEX(Setup!$C$21:$C$60,MATCH(UPPER(TRIM($G445))&amp;"|"&amp;UPPER(TRIM($F445)),Setup!$P$21:$P$60,0)),"NO RATE"))))</f>
        <v/>
      </c>
      <c r="J445" s="90" t="n"/>
      <c r="K445" s="89">
        <f>IF(OR($G445="",$H445="",NOT(ISNUMBER($I445))),"",ROUND($H445*$I445*(1+IF($J445="",Setup!$B$16,$J445)),2))</f>
        <v/>
      </c>
      <c r="L445" s="89">
        <f>IF($K445="","",ROUND($K445*Setup!$B$13,2))</f>
        <v/>
      </c>
      <c r="M445" s="89">
        <f>IF($K445="","",$K445-$L445)</f>
        <v/>
      </c>
      <c r="N445" s="89">
        <f>IF(OR($M445="",$D445=""),"",ROUND($M445*IFERROR(IF(VLOOKUP($D445,Setup!$A$76:$C$87,3,FALSE)="",Setup!$B$14,VLOOKUP($D445,Setup!$A$76:$C$87,3,FALSE)),Setup!$B$14),2))</f>
        <v/>
      </c>
      <c r="O445" s="89">
        <f>IF(OR($M445="",$E445=""),"",ROUND($M445*IFERROR(IF(VLOOKUP($E445,Setup!$A$76:$C$87,3,FALSE)="",Setup!$B$15,VLOOKUP($E445,Setup!$A$76:$C$87,3,FALSE)),Setup!$B$15),2))</f>
        <v/>
      </c>
      <c r="P445" s="91" t="n"/>
      <c r="Q445" s="91" t="n"/>
      <c r="R445" s="91" t="n"/>
      <c r="S445" s="91" t="n"/>
      <c r="T445" s="91" t="n"/>
      <c r="U445" s="89">
        <f>IF($K445="","",SUM($R445:$T445))</f>
        <v/>
      </c>
      <c r="V445" s="89">
        <f>IF($K445="","",$M445-(N($N445)+N($O445)+IF($P445="",Setup!$B$17,$P445)+N($Q445))-N($U445))</f>
        <v/>
      </c>
      <c r="W445" s="86" t="n"/>
      <c r="X445" s="87" t="n"/>
      <c r="Z445" s="92">
        <f>IF($A445="","",DATE(YEAR($A445),MONTH($A445),1))</f>
        <v/>
      </c>
    </row>
    <row r="446">
      <c r="A446" s="93" t="n"/>
      <c r="B446" s="94" t="n"/>
      <c r="C446" s="94" t="n"/>
      <c r="D446" s="95" t="n"/>
      <c r="E446" s="95" t="n"/>
      <c r="F446" s="95" t="n"/>
      <c r="G446" s="95" t="n"/>
      <c r="H446" s="96" t="n"/>
      <c r="I446" s="89">
        <f>IF($G446="","",IF($F446="",IFERROR(INDEX(Setup!$C$21:$C$60,MATCH("|"&amp;UPPER(TRIM($G446)),Setup!$Q$21:$Q$60,0)),"NO RATE"),IFERROR(INDEX(Setup!$C$21:$C$60,MATCH(UPPER(TRIM($F446))&amp;"|"&amp;UPPER(TRIM($G446)),Setup!$P$21:$P$60,0)),IFERROR(INDEX(Setup!$C$21:$C$60,MATCH(UPPER(TRIM($G446))&amp;"|"&amp;UPPER(TRIM($F446)),Setup!$P$21:$P$60,0)),"NO RATE"))))</f>
        <v/>
      </c>
      <c r="J446" s="97" t="n"/>
      <c r="K446" s="89">
        <f>IF(OR($G446="",$H446="",NOT(ISNUMBER($I446))),"",ROUND($H446*$I446*(1+IF($J446="",Setup!$B$16,$J446)),2))</f>
        <v/>
      </c>
      <c r="L446" s="89">
        <f>IF($K446="","",ROUND($K446*Setup!$B$13,2))</f>
        <v/>
      </c>
      <c r="M446" s="89">
        <f>IF($K446="","",$K446-$L446)</f>
        <v/>
      </c>
      <c r="N446" s="89">
        <f>IF(OR($M446="",$D446=""),"",ROUND($M446*IFERROR(IF(VLOOKUP($D446,Setup!$A$76:$C$87,3,FALSE)="",Setup!$B$14,VLOOKUP($D446,Setup!$A$76:$C$87,3,FALSE)),Setup!$B$14),2))</f>
        <v/>
      </c>
      <c r="O446" s="89">
        <f>IF(OR($M446="",$E446=""),"",ROUND($M446*IFERROR(IF(VLOOKUP($E446,Setup!$A$76:$C$87,3,FALSE)="",Setup!$B$15,VLOOKUP($E446,Setup!$A$76:$C$87,3,FALSE)),Setup!$B$15),2))</f>
        <v/>
      </c>
      <c r="P446" s="98" t="n"/>
      <c r="Q446" s="98" t="n"/>
      <c r="R446" s="98" t="n"/>
      <c r="S446" s="98" t="n"/>
      <c r="T446" s="98" t="n"/>
      <c r="U446" s="89">
        <f>IF($K446="","",SUM($R446:$T446))</f>
        <v/>
      </c>
      <c r="V446" s="89">
        <f>IF($K446="","",$M446-(N($N446)+N($O446)+IF($P446="",Setup!$B$17,$P446)+N($Q446))-N($U446))</f>
        <v/>
      </c>
      <c r="W446" s="94" t="n"/>
      <c r="X446" s="95" t="n"/>
      <c r="Z446" s="92">
        <f>IF($A446="","",DATE(YEAR($A446),MONTH($A446),1))</f>
        <v/>
      </c>
    </row>
    <row r="447">
      <c r="A447" s="85" t="n"/>
      <c r="B447" s="86" t="n"/>
      <c r="C447" s="86" t="n"/>
      <c r="D447" s="87" t="n"/>
      <c r="E447" s="87" t="n"/>
      <c r="F447" s="87" t="n"/>
      <c r="G447" s="87" t="n"/>
      <c r="H447" s="88" t="n"/>
      <c r="I447" s="89">
        <f>IF($G447="","",IF($F447="",IFERROR(INDEX(Setup!$C$21:$C$60,MATCH("|"&amp;UPPER(TRIM($G447)),Setup!$Q$21:$Q$60,0)),"NO RATE"),IFERROR(INDEX(Setup!$C$21:$C$60,MATCH(UPPER(TRIM($F447))&amp;"|"&amp;UPPER(TRIM($G447)),Setup!$P$21:$P$60,0)),IFERROR(INDEX(Setup!$C$21:$C$60,MATCH(UPPER(TRIM($G447))&amp;"|"&amp;UPPER(TRIM($F447)),Setup!$P$21:$P$60,0)),"NO RATE"))))</f>
        <v/>
      </c>
      <c r="J447" s="90" t="n"/>
      <c r="K447" s="89">
        <f>IF(OR($G447="",$H447="",NOT(ISNUMBER($I447))),"",ROUND($H447*$I447*(1+IF($J447="",Setup!$B$16,$J447)),2))</f>
        <v/>
      </c>
      <c r="L447" s="89">
        <f>IF($K447="","",ROUND($K447*Setup!$B$13,2))</f>
        <v/>
      </c>
      <c r="M447" s="89">
        <f>IF($K447="","",$K447-$L447)</f>
        <v/>
      </c>
      <c r="N447" s="89">
        <f>IF(OR($M447="",$D447=""),"",ROUND($M447*IFERROR(IF(VLOOKUP($D447,Setup!$A$76:$C$87,3,FALSE)="",Setup!$B$14,VLOOKUP($D447,Setup!$A$76:$C$87,3,FALSE)),Setup!$B$14),2))</f>
        <v/>
      </c>
      <c r="O447" s="89">
        <f>IF(OR($M447="",$E447=""),"",ROUND($M447*IFERROR(IF(VLOOKUP($E447,Setup!$A$76:$C$87,3,FALSE)="",Setup!$B$15,VLOOKUP($E447,Setup!$A$76:$C$87,3,FALSE)),Setup!$B$15),2))</f>
        <v/>
      </c>
      <c r="P447" s="91" t="n"/>
      <c r="Q447" s="91" t="n"/>
      <c r="R447" s="91" t="n"/>
      <c r="S447" s="91" t="n"/>
      <c r="T447" s="91" t="n"/>
      <c r="U447" s="89">
        <f>IF($K447="","",SUM($R447:$T447))</f>
        <v/>
      </c>
      <c r="V447" s="89">
        <f>IF($K447="","",$M447-(N($N447)+N($O447)+IF($P447="",Setup!$B$17,$P447)+N($Q447))-N($U447))</f>
        <v/>
      </c>
      <c r="W447" s="86" t="n"/>
      <c r="X447" s="87" t="n"/>
      <c r="Z447" s="92">
        <f>IF($A447="","",DATE(YEAR($A447),MONTH($A447),1))</f>
        <v/>
      </c>
    </row>
    <row r="448">
      <c r="A448" s="93" t="n"/>
      <c r="B448" s="94" t="n"/>
      <c r="C448" s="94" t="n"/>
      <c r="D448" s="95" t="n"/>
      <c r="E448" s="95" t="n"/>
      <c r="F448" s="95" t="n"/>
      <c r="G448" s="95" t="n"/>
      <c r="H448" s="96" t="n"/>
      <c r="I448" s="89">
        <f>IF($G448="","",IF($F448="",IFERROR(INDEX(Setup!$C$21:$C$60,MATCH("|"&amp;UPPER(TRIM($G448)),Setup!$Q$21:$Q$60,0)),"NO RATE"),IFERROR(INDEX(Setup!$C$21:$C$60,MATCH(UPPER(TRIM($F448))&amp;"|"&amp;UPPER(TRIM($G448)),Setup!$P$21:$P$60,0)),IFERROR(INDEX(Setup!$C$21:$C$60,MATCH(UPPER(TRIM($G448))&amp;"|"&amp;UPPER(TRIM($F448)),Setup!$P$21:$P$60,0)),"NO RATE"))))</f>
        <v/>
      </c>
      <c r="J448" s="97" t="n"/>
      <c r="K448" s="89">
        <f>IF(OR($G448="",$H448="",NOT(ISNUMBER($I448))),"",ROUND($H448*$I448*(1+IF($J448="",Setup!$B$16,$J448)),2))</f>
        <v/>
      </c>
      <c r="L448" s="89">
        <f>IF($K448="","",ROUND($K448*Setup!$B$13,2))</f>
        <v/>
      </c>
      <c r="M448" s="89">
        <f>IF($K448="","",$K448-$L448)</f>
        <v/>
      </c>
      <c r="N448" s="89">
        <f>IF(OR($M448="",$D448=""),"",ROUND($M448*IFERROR(IF(VLOOKUP($D448,Setup!$A$76:$C$87,3,FALSE)="",Setup!$B$14,VLOOKUP($D448,Setup!$A$76:$C$87,3,FALSE)),Setup!$B$14),2))</f>
        <v/>
      </c>
      <c r="O448" s="89">
        <f>IF(OR($M448="",$E448=""),"",ROUND($M448*IFERROR(IF(VLOOKUP($E448,Setup!$A$76:$C$87,3,FALSE)="",Setup!$B$15,VLOOKUP($E448,Setup!$A$76:$C$87,3,FALSE)),Setup!$B$15),2))</f>
        <v/>
      </c>
      <c r="P448" s="98" t="n"/>
      <c r="Q448" s="98" t="n"/>
      <c r="R448" s="98" t="n"/>
      <c r="S448" s="98" t="n"/>
      <c r="T448" s="98" t="n"/>
      <c r="U448" s="89">
        <f>IF($K448="","",SUM($R448:$T448))</f>
        <v/>
      </c>
      <c r="V448" s="89">
        <f>IF($K448="","",$M448-(N($N448)+N($O448)+IF($P448="",Setup!$B$17,$P448)+N($Q448))-N($U448))</f>
        <v/>
      </c>
      <c r="W448" s="94" t="n"/>
      <c r="X448" s="95" t="n"/>
      <c r="Z448" s="92">
        <f>IF($A448="","",DATE(YEAR($A448),MONTH($A448),1))</f>
        <v/>
      </c>
    </row>
    <row r="449">
      <c r="A449" s="85" t="n"/>
      <c r="B449" s="86" t="n"/>
      <c r="C449" s="86" t="n"/>
      <c r="D449" s="87" t="n"/>
      <c r="E449" s="87" t="n"/>
      <c r="F449" s="87" t="n"/>
      <c r="G449" s="87" t="n"/>
      <c r="H449" s="88" t="n"/>
      <c r="I449" s="89">
        <f>IF($G449="","",IF($F449="",IFERROR(INDEX(Setup!$C$21:$C$60,MATCH("|"&amp;UPPER(TRIM($G449)),Setup!$Q$21:$Q$60,0)),"NO RATE"),IFERROR(INDEX(Setup!$C$21:$C$60,MATCH(UPPER(TRIM($F449))&amp;"|"&amp;UPPER(TRIM($G449)),Setup!$P$21:$P$60,0)),IFERROR(INDEX(Setup!$C$21:$C$60,MATCH(UPPER(TRIM($G449))&amp;"|"&amp;UPPER(TRIM($F449)),Setup!$P$21:$P$60,0)),"NO RATE"))))</f>
        <v/>
      </c>
      <c r="J449" s="90" t="n"/>
      <c r="K449" s="89">
        <f>IF(OR($G449="",$H449="",NOT(ISNUMBER($I449))),"",ROUND($H449*$I449*(1+IF($J449="",Setup!$B$16,$J449)),2))</f>
        <v/>
      </c>
      <c r="L449" s="89">
        <f>IF($K449="","",ROUND($K449*Setup!$B$13,2))</f>
        <v/>
      </c>
      <c r="M449" s="89">
        <f>IF($K449="","",$K449-$L449)</f>
        <v/>
      </c>
      <c r="N449" s="89">
        <f>IF(OR($M449="",$D449=""),"",ROUND($M449*IFERROR(IF(VLOOKUP($D449,Setup!$A$76:$C$87,3,FALSE)="",Setup!$B$14,VLOOKUP($D449,Setup!$A$76:$C$87,3,FALSE)),Setup!$B$14),2))</f>
        <v/>
      </c>
      <c r="O449" s="89">
        <f>IF(OR($M449="",$E449=""),"",ROUND($M449*IFERROR(IF(VLOOKUP($E449,Setup!$A$76:$C$87,3,FALSE)="",Setup!$B$15,VLOOKUP($E449,Setup!$A$76:$C$87,3,FALSE)),Setup!$B$15),2))</f>
        <v/>
      </c>
      <c r="P449" s="91" t="n"/>
      <c r="Q449" s="91" t="n"/>
      <c r="R449" s="91" t="n"/>
      <c r="S449" s="91" t="n"/>
      <c r="T449" s="91" t="n"/>
      <c r="U449" s="89">
        <f>IF($K449="","",SUM($R449:$T449))</f>
        <v/>
      </c>
      <c r="V449" s="89">
        <f>IF($K449="","",$M449-(N($N449)+N($O449)+IF($P449="",Setup!$B$17,$P449)+N($Q449))-N($U449))</f>
        <v/>
      </c>
      <c r="W449" s="86" t="n"/>
      <c r="X449" s="87" t="n"/>
      <c r="Z449" s="92">
        <f>IF($A449="","",DATE(YEAR($A449),MONTH($A449),1))</f>
        <v/>
      </c>
    </row>
    <row r="450">
      <c r="A450" s="93" t="n"/>
      <c r="B450" s="94" t="n"/>
      <c r="C450" s="94" t="n"/>
      <c r="D450" s="95" t="n"/>
      <c r="E450" s="95" t="n"/>
      <c r="F450" s="95" t="n"/>
      <c r="G450" s="95" t="n"/>
      <c r="H450" s="96" t="n"/>
      <c r="I450" s="89">
        <f>IF($G450="","",IF($F450="",IFERROR(INDEX(Setup!$C$21:$C$60,MATCH("|"&amp;UPPER(TRIM($G450)),Setup!$Q$21:$Q$60,0)),"NO RATE"),IFERROR(INDEX(Setup!$C$21:$C$60,MATCH(UPPER(TRIM($F450))&amp;"|"&amp;UPPER(TRIM($G450)),Setup!$P$21:$P$60,0)),IFERROR(INDEX(Setup!$C$21:$C$60,MATCH(UPPER(TRIM($G450))&amp;"|"&amp;UPPER(TRIM($F450)),Setup!$P$21:$P$60,0)),"NO RATE"))))</f>
        <v/>
      </c>
      <c r="J450" s="97" t="n"/>
      <c r="K450" s="89">
        <f>IF(OR($G450="",$H450="",NOT(ISNUMBER($I450))),"",ROUND($H450*$I450*(1+IF($J450="",Setup!$B$16,$J450)),2))</f>
        <v/>
      </c>
      <c r="L450" s="89">
        <f>IF($K450="","",ROUND($K450*Setup!$B$13,2))</f>
        <v/>
      </c>
      <c r="M450" s="89">
        <f>IF($K450="","",$K450-$L450)</f>
        <v/>
      </c>
      <c r="N450" s="89">
        <f>IF(OR($M450="",$D450=""),"",ROUND($M450*IFERROR(IF(VLOOKUP($D450,Setup!$A$76:$C$87,3,FALSE)="",Setup!$B$14,VLOOKUP($D450,Setup!$A$76:$C$87,3,FALSE)),Setup!$B$14),2))</f>
        <v/>
      </c>
      <c r="O450" s="89">
        <f>IF(OR($M450="",$E450=""),"",ROUND($M450*IFERROR(IF(VLOOKUP($E450,Setup!$A$76:$C$87,3,FALSE)="",Setup!$B$15,VLOOKUP($E450,Setup!$A$76:$C$87,3,FALSE)),Setup!$B$15),2))</f>
        <v/>
      </c>
      <c r="P450" s="98" t="n"/>
      <c r="Q450" s="98" t="n"/>
      <c r="R450" s="98" t="n"/>
      <c r="S450" s="98" t="n"/>
      <c r="T450" s="98" t="n"/>
      <c r="U450" s="89">
        <f>IF($K450="","",SUM($R450:$T450))</f>
        <v/>
      </c>
      <c r="V450" s="89">
        <f>IF($K450="","",$M450-(N($N450)+N($O450)+IF($P450="",Setup!$B$17,$P450)+N($Q450))-N($U450))</f>
        <v/>
      </c>
      <c r="W450" s="94" t="n"/>
      <c r="X450" s="95" t="n"/>
      <c r="Z450" s="92">
        <f>IF($A450="","",DATE(YEAR($A450),MONTH($A450),1))</f>
        <v/>
      </c>
    </row>
    <row r="451">
      <c r="A451" s="85" t="n"/>
      <c r="B451" s="86" t="n"/>
      <c r="C451" s="86" t="n"/>
      <c r="D451" s="87" t="n"/>
      <c r="E451" s="87" t="n"/>
      <c r="F451" s="87" t="n"/>
      <c r="G451" s="87" t="n"/>
      <c r="H451" s="88" t="n"/>
      <c r="I451" s="89">
        <f>IF($G451="","",IF($F451="",IFERROR(INDEX(Setup!$C$21:$C$60,MATCH("|"&amp;UPPER(TRIM($G451)),Setup!$Q$21:$Q$60,0)),"NO RATE"),IFERROR(INDEX(Setup!$C$21:$C$60,MATCH(UPPER(TRIM($F451))&amp;"|"&amp;UPPER(TRIM($G451)),Setup!$P$21:$P$60,0)),IFERROR(INDEX(Setup!$C$21:$C$60,MATCH(UPPER(TRIM($G451))&amp;"|"&amp;UPPER(TRIM($F451)),Setup!$P$21:$P$60,0)),"NO RATE"))))</f>
        <v/>
      </c>
      <c r="J451" s="90" t="n"/>
      <c r="K451" s="89">
        <f>IF(OR($G451="",$H451="",NOT(ISNUMBER($I451))),"",ROUND($H451*$I451*(1+IF($J451="",Setup!$B$16,$J451)),2))</f>
        <v/>
      </c>
      <c r="L451" s="89">
        <f>IF($K451="","",ROUND($K451*Setup!$B$13,2))</f>
        <v/>
      </c>
      <c r="M451" s="89">
        <f>IF($K451="","",$K451-$L451)</f>
        <v/>
      </c>
      <c r="N451" s="89">
        <f>IF(OR($M451="",$D451=""),"",ROUND($M451*IFERROR(IF(VLOOKUP($D451,Setup!$A$76:$C$87,3,FALSE)="",Setup!$B$14,VLOOKUP($D451,Setup!$A$76:$C$87,3,FALSE)),Setup!$B$14),2))</f>
        <v/>
      </c>
      <c r="O451" s="89">
        <f>IF(OR($M451="",$E451=""),"",ROUND($M451*IFERROR(IF(VLOOKUP($E451,Setup!$A$76:$C$87,3,FALSE)="",Setup!$B$15,VLOOKUP($E451,Setup!$A$76:$C$87,3,FALSE)),Setup!$B$15),2))</f>
        <v/>
      </c>
      <c r="P451" s="91" t="n"/>
      <c r="Q451" s="91" t="n"/>
      <c r="R451" s="91" t="n"/>
      <c r="S451" s="91" t="n"/>
      <c r="T451" s="91" t="n"/>
      <c r="U451" s="89">
        <f>IF($K451="","",SUM($R451:$T451))</f>
        <v/>
      </c>
      <c r="V451" s="89">
        <f>IF($K451="","",$M451-(N($N451)+N($O451)+IF($P451="",Setup!$B$17,$P451)+N($Q451))-N($U451))</f>
        <v/>
      </c>
      <c r="W451" s="86" t="n"/>
      <c r="X451" s="87" t="n"/>
      <c r="Z451" s="92">
        <f>IF($A451="","",DATE(YEAR($A451),MONTH($A451),1))</f>
        <v/>
      </c>
    </row>
    <row r="452">
      <c r="A452" s="93" t="n"/>
      <c r="B452" s="94" t="n"/>
      <c r="C452" s="94" t="n"/>
      <c r="D452" s="95" t="n"/>
      <c r="E452" s="95" t="n"/>
      <c r="F452" s="95" t="n"/>
      <c r="G452" s="95" t="n"/>
      <c r="H452" s="96" t="n"/>
      <c r="I452" s="89">
        <f>IF($G452="","",IF($F452="",IFERROR(INDEX(Setup!$C$21:$C$60,MATCH("|"&amp;UPPER(TRIM($G452)),Setup!$Q$21:$Q$60,0)),"NO RATE"),IFERROR(INDEX(Setup!$C$21:$C$60,MATCH(UPPER(TRIM($F452))&amp;"|"&amp;UPPER(TRIM($G452)),Setup!$P$21:$P$60,0)),IFERROR(INDEX(Setup!$C$21:$C$60,MATCH(UPPER(TRIM($G452))&amp;"|"&amp;UPPER(TRIM($F452)),Setup!$P$21:$P$60,0)),"NO RATE"))))</f>
        <v/>
      </c>
      <c r="J452" s="97" t="n"/>
      <c r="K452" s="89">
        <f>IF(OR($G452="",$H452="",NOT(ISNUMBER($I452))),"",ROUND($H452*$I452*(1+IF($J452="",Setup!$B$16,$J452)),2))</f>
        <v/>
      </c>
      <c r="L452" s="89">
        <f>IF($K452="","",ROUND($K452*Setup!$B$13,2))</f>
        <v/>
      </c>
      <c r="M452" s="89">
        <f>IF($K452="","",$K452-$L452)</f>
        <v/>
      </c>
      <c r="N452" s="89">
        <f>IF(OR($M452="",$D452=""),"",ROUND($M452*IFERROR(IF(VLOOKUP($D452,Setup!$A$76:$C$87,3,FALSE)="",Setup!$B$14,VLOOKUP($D452,Setup!$A$76:$C$87,3,FALSE)),Setup!$B$14),2))</f>
        <v/>
      </c>
      <c r="O452" s="89">
        <f>IF(OR($M452="",$E452=""),"",ROUND($M452*IFERROR(IF(VLOOKUP($E452,Setup!$A$76:$C$87,3,FALSE)="",Setup!$B$15,VLOOKUP($E452,Setup!$A$76:$C$87,3,FALSE)),Setup!$B$15),2))</f>
        <v/>
      </c>
      <c r="P452" s="98" t="n"/>
      <c r="Q452" s="98" t="n"/>
      <c r="R452" s="98" t="n"/>
      <c r="S452" s="98" t="n"/>
      <c r="T452" s="98" t="n"/>
      <c r="U452" s="89">
        <f>IF($K452="","",SUM($R452:$T452))</f>
        <v/>
      </c>
      <c r="V452" s="89">
        <f>IF($K452="","",$M452-(N($N452)+N($O452)+IF($P452="",Setup!$B$17,$P452)+N($Q452))-N($U452))</f>
        <v/>
      </c>
      <c r="W452" s="94" t="n"/>
      <c r="X452" s="95" t="n"/>
      <c r="Z452" s="92">
        <f>IF($A452="","",DATE(YEAR($A452),MONTH($A452),1))</f>
        <v/>
      </c>
    </row>
    <row r="453">
      <c r="A453" s="85" t="n"/>
      <c r="B453" s="86" t="n"/>
      <c r="C453" s="86" t="n"/>
      <c r="D453" s="87" t="n"/>
      <c r="E453" s="87" t="n"/>
      <c r="F453" s="87" t="n"/>
      <c r="G453" s="87" t="n"/>
      <c r="H453" s="88" t="n"/>
      <c r="I453" s="89">
        <f>IF($G453="","",IF($F453="",IFERROR(INDEX(Setup!$C$21:$C$60,MATCH("|"&amp;UPPER(TRIM($G453)),Setup!$Q$21:$Q$60,0)),"NO RATE"),IFERROR(INDEX(Setup!$C$21:$C$60,MATCH(UPPER(TRIM($F453))&amp;"|"&amp;UPPER(TRIM($G453)),Setup!$P$21:$P$60,0)),IFERROR(INDEX(Setup!$C$21:$C$60,MATCH(UPPER(TRIM($G453))&amp;"|"&amp;UPPER(TRIM($F453)),Setup!$P$21:$P$60,0)),"NO RATE"))))</f>
        <v/>
      </c>
      <c r="J453" s="90" t="n"/>
      <c r="K453" s="89">
        <f>IF(OR($G453="",$H453="",NOT(ISNUMBER($I453))),"",ROUND($H453*$I453*(1+IF($J453="",Setup!$B$16,$J453)),2))</f>
        <v/>
      </c>
      <c r="L453" s="89">
        <f>IF($K453="","",ROUND($K453*Setup!$B$13,2))</f>
        <v/>
      </c>
      <c r="M453" s="89">
        <f>IF($K453="","",$K453-$L453)</f>
        <v/>
      </c>
      <c r="N453" s="89">
        <f>IF(OR($M453="",$D453=""),"",ROUND($M453*IFERROR(IF(VLOOKUP($D453,Setup!$A$76:$C$87,3,FALSE)="",Setup!$B$14,VLOOKUP($D453,Setup!$A$76:$C$87,3,FALSE)),Setup!$B$14),2))</f>
        <v/>
      </c>
      <c r="O453" s="89">
        <f>IF(OR($M453="",$E453=""),"",ROUND($M453*IFERROR(IF(VLOOKUP($E453,Setup!$A$76:$C$87,3,FALSE)="",Setup!$B$15,VLOOKUP($E453,Setup!$A$76:$C$87,3,FALSE)),Setup!$B$15),2))</f>
        <v/>
      </c>
      <c r="P453" s="91" t="n"/>
      <c r="Q453" s="91" t="n"/>
      <c r="R453" s="91" t="n"/>
      <c r="S453" s="91" t="n"/>
      <c r="T453" s="91" t="n"/>
      <c r="U453" s="89">
        <f>IF($K453="","",SUM($R453:$T453))</f>
        <v/>
      </c>
      <c r="V453" s="89">
        <f>IF($K453="","",$M453-(N($N453)+N($O453)+IF($P453="",Setup!$B$17,$P453)+N($Q453))-N($U453))</f>
        <v/>
      </c>
      <c r="W453" s="86" t="n"/>
      <c r="X453" s="87" t="n"/>
      <c r="Z453" s="92">
        <f>IF($A453="","",DATE(YEAR($A453),MONTH($A453),1))</f>
        <v/>
      </c>
    </row>
    <row r="454">
      <c r="A454" s="93" t="n"/>
      <c r="B454" s="94" t="n"/>
      <c r="C454" s="94" t="n"/>
      <c r="D454" s="95" t="n"/>
      <c r="E454" s="95" t="n"/>
      <c r="F454" s="95" t="n"/>
      <c r="G454" s="95" t="n"/>
      <c r="H454" s="96" t="n"/>
      <c r="I454" s="89">
        <f>IF($G454="","",IF($F454="",IFERROR(INDEX(Setup!$C$21:$C$60,MATCH("|"&amp;UPPER(TRIM($G454)),Setup!$Q$21:$Q$60,0)),"NO RATE"),IFERROR(INDEX(Setup!$C$21:$C$60,MATCH(UPPER(TRIM($F454))&amp;"|"&amp;UPPER(TRIM($G454)),Setup!$P$21:$P$60,0)),IFERROR(INDEX(Setup!$C$21:$C$60,MATCH(UPPER(TRIM($G454))&amp;"|"&amp;UPPER(TRIM($F454)),Setup!$P$21:$P$60,0)),"NO RATE"))))</f>
        <v/>
      </c>
      <c r="J454" s="97" t="n"/>
      <c r="K454" s="89">
        <f>IF(OR($G454="",$H454="",NOT(ISNUMBER($I454))),"",ROUND($H454*$I454*(1+IF($J454="",Setup!$B$16,$J454)),2))</f>
        <v/>
      </c>
      <c r="L454" s="89">
        <f>IF($K454="","",ROUND($K454*Setup!$B$13,2))</f>
        <v/>
      </c>
      <c r="M454" s="89">
        <f>IF($K454="","",$K454-$L454)</f>
        <v/>
      </c>
      <c r="N454" s="89">
        <f>IF(OR($M454="",$D454=""),"",ROUND($M454*IFERROR(IF(VLOOKUP($D454,Setup!$A$76:$C$87,3,FALSE)="",Setup!$B$14,VLOOKUP($D454,Setup!$A$76:$C$87,3,FALSE)),Setup!$B$14),2))</f>
        <v/>
      </c>
      <c r="O454" s="89">
        <f>IF(OR($M454="",$E454=""),"",ROUND($M454*IFERROR(IF(VLOOKUP($E454,Setup!$A$76:$C$87,3,FALSE)="",Setup!$B$15,VLOOKUP($E454,Setup!$A$76:$C$87,3,FALSE)),Setup!$B$15),2))</f>
        <v/>
      </c>
      <c r="P454" s="98" t="n"/>
      <c r="Q454" s="98" t="n"/>
      <c r="R454" s="98" t="n"/>
      <c r="S454" s="98" t="n"/>
      <c r="T454" s="98" t="n"/>
      <c r="U454" s="89">
        <f>IF($K454="","",SUM($R454:$T454))</f>
        <v/>
      </c>
      <c r="V454" s="89">
        <f>IF($K454="","",$M454-(N($N454)+N($O454)+IF($P454="",Setup!$B$17,$P454)+N($Q454))-N($U454))</f>
        <v/>
      </c>
      <c r="W454" s="94" t="n"/>
      <c r="X454" s="95" t="n"/>
      <c r="Z454" s="92">
        <f>IF($A454="","",DATE(YEAR($A454),MONTH($A454),1))</f>
        <v/>
      </c>
    </row>
    <row r="455">
      <c r="A455" s="85" t="n"/>
      <c r="B455" s="86" t="n"/>
      <c r="C455" s="86" t="n"/>
      <c r="D455" s="87" t="n"/>
      <c r="E455" s="87" t="n"/>
      <c r="F455" s="87" t="n"/>
      <c r="G455" s="87" t="n"/>
      <c r="H455" s="88" t="n"/>
      <c r="I455" s="89">
        <f>IF($G455="","",IF($F455="",IFERROR(INDEX(Setup!$C$21:$C$60,MATCH("|"&amp;UPPER(TRIM($G455)),Setup!$Q$21:$Q$60,0)),"NO RATE"),IFERROR(INDEX(Setup!$C$21:$C$60,MATCH(UPPER(TRIM($F455))&amp;"|"&amp;UPPER(TRIM($G455)),Setup!$P$21:$P$60,0)),IFERROR(INDEX(Setup!$C$21:$C$60,MATCH(UPPER(TRIM($G455))&amp;"|"&amp;UPPER(TRIM($F455)),Setup!$P$21:$P$60,0)),"NO RATE"))))</f>
        <v/>
      </c>
      <c r="J455" s="90" t="n"/>
      <c r="K455" s="89">
        <f>IF(OR($G455="",$H455="",NOT(ISNUMBER($I455))),"",ROUND($H455*$I455*(1+IF($J455="",Setup!$B$16,$J455)),2))</f>
        <v/>
      </c>
      <c r="L455" s="89">
        <f>IF($K455="","",ROUND($K455*Setup!$B$13,2))</f>
        <v/>
      </c>
      <c r="M455" s="89">
        <f>IF($K455="","",$K455-$L455)</f>
        <v/>
      </c>
      <c r="N455" s="89">
        <f>IF(OR($M455="",$D455=""),"",ROUND($M455*IFERROR(IF(VLOOKUP($D455,Setup!$A$76:$C$87,3,FALSE)="",Setup!$B$14,VLOOKUP($D455,Setup!$A$76:$C$87,3,FALSE)),Setup!$B$14),2))</f>
        <v/>
      </c>
      <c r="O455" s="89">
        <f>IF(OR($M455="",$E455=""),"",ROUND($M455*IFERROR(IF(VLOOKUP($E455,Setup!$A$76:$C$87,3,FALSE)="",Setup!$B$15,VLOOKUP($E455,Setup!$A$76:$C$87,3,FALSE)),Setup!$B$15),2))</f>
        <v/>
      </c>
      <c r="P455" s="91" t="n"/>
      <c r="Q455" s="91" t="n"/>
      <c r="R455" s="91" t="n"/>
      <c r="S455" s="91" t="n"/>
      <c r="T455" s="91" t="n"/>
      <c r="U455" s="89">
        <f>IF($K455="","",SUM($R455:$T455))</f>
        <v/>
      </c>
      <c r="V455" s="89">
        <f>IF($K455="","",$M455-(N($N455)+N($O455)+IF($P455="",Setup!$B$17,$P455)+N($Q455))-N($U455))</f>
        <v/>
      </c>
      <c r="W455" s="86" t="n"/>
      <c r="X455" s="87" t="n"/>
      <c r="Z455" s="92">
        <f>IF($A455="","",DATE(YEAR($A455),MONTH($A455),1))</f>
        <v/>
      </c>
    </row>
    <row r="456">
      <c r="A456" s="93" t="n"/>
      <c r="B456" s="94" t="n"/>
      <c r="C456" s="94" t="n"/>
      <c r="D456" s="95" t="n"/>
      <c r="E456" s="95" t="n"/>
      <c r="F456" s="95" t="n"/>
      <c r="G456" s="95" t="n"/>
      <c r="H456" s="96" t="n"/>
      <c r="I456" s="89">
        <f>IF($G456="","",IF($F456="",IFERROR(INDEX(Setup!$C$21:$C$60,MATCH("|"&amp;UPPER(TRIM($G456)),Setup!$Q$21:$Q$60,0)),"NO RATE"),IFERROR(INDEX(Setup!$C$21:$C$60,MATCH(UPPER(TRIM($F456))&amp;"|"&amp;UPPER(TRIM($G456)),Setup!$P$21:$P$60,0)),IFERROR(INDEX(Setup!$C$21:$C$60,MATCH(UPPER(TRIM($G456))&amp;"|"&amp;UPPER(TRIM($F456)),Setup!$P$21:$P$60,0)),"NO RATE"))))</f>
        <v/>
      </c>
      <c r="J456" s="97" t="n"/>
      <c r="K456" s="89">
        <f>IF(OR($G456="",$H456="",NOT(ISNUMBER($I456))),"",ROUND($H456*$I456*(1+IF($J456="",Setup!$B$16,$J456)),2))</f>
        <v/>
      </c>
      <c r="L456" s="89">
        <f>IF($K456="","",ROUND($K456*Setup!$B$13,2))</f>
        <v/>
      </c>
      <c r="M456" s="89">
        <f>IF($K456="","",$K456-$L456)</f>
        <v/>
      </c>
      <c r="N456" s="89">
        <f>IF(OR($M456="",$D456=""),"",ROUND($M456*IFERROR(IF(VLOOKUP($D456,Setup!$A$76:$C$87,3,FALSE)="",Setup!$B$14,VLOOKUP($D456,Setup!$A$76:$C$87,3,FALSE)),Setup!$B$14),2))</f>
        <v/>
      </c>
      <c r="O456" s="89">
        <f>IF(OR($M456="",$E456=""),"",ROUND($M456*IFERROR(IF(VLOOKUP($E456,Setup!$A$76:$C$87,3,FALSE)="",Setup!$B$15,VLOOKUP($E456,Setup!$A$76:$C$87,3,FALSE)),Setup!$B$15),2))</f>
        <v/>
      </c>
      <c r="P456" s="98" t="n"/>
      <c r="Q456" s="98" t="n"/>
      <c r="R456" s="98" t="n"/>
      <c r="S456" s="98" t="n"/>
      <c r="T456" s="98" t="n"/>
      <c r="U456" s="89">
        <f>IF($K456="","",SUM($R456:$T456))</f>
        <v/>
      </c>
      <c r="V456" s="89">
        <f>IF($K456="","",$M456-(N($N456)+N($O456)+IF($P456="",Setup!$B$17,$P456)+N($Q456))-N($U456))</f>
        <v/>
      </c>
      <c r="W456" s="94" t="n"/>
      <c r="X456" s="95" t="n"/>
      <c r="Z456" s="92">
        <f>IF($A456="","",DATE(YEAR($A456),MONTH($A456),1))</f>
        <v/>
      </c>
    </row>
    <row r="457">
      <c r="A457" s="85" t="n"/>
      <c r="B457" s="86" t="n"/>
      <c r="C457" s="86" t="n"/>
      <c r="D457" s="87" t="n"/>
      <c r="E457" s="87" t="n"/>
      <c r="F457" s="87" t="n"/>
      <c r="G457" s="87" t="n"/>
      <c r="H457" s="88" t="n"/>
      <c r="I457" s="89">
        <f>IF($G457="","",IF($F457="",IFERROR(INDEX(Setup!$C$21:$C$60,MATCH("|"&amp;UPPER(TRIM($G457)),Setup!$Q$21:$Q$60,0)),"NO RATE"),IFERROR(INDEX(Setup!$C$21:$C$60,MATCH(UPPER(TRIM($F457))&amp;"|"&amp;UPPER(TRIM($G457)),Setup!$P$21:$P$60,0)),IFERROR(INDEX(Setup!$C$21:$C$60,MATCH(UPPER(TRIM($G457))&amp;"|"&amp;UPPER(TRIM($F457)),Setup!$P$21:$P$60,0)),"NO RATE"))))</f>
        <v/>
      </c>
      <c r="J457" s="90" t="n"/>
      <c r="K457" s="89">
        <f>IF(OR($G457="",$H457="",NOT(ISNUMBER($I457))),"",ROUND($H457*$I457*(1+IF($J457="",Setup!$B$16,$J457)),2))</f>
        <v/>
      </c>
      <c r="L457" s="89">
        <f>IF($K457="","",ROUND($K457*Setup!$B$13,2))</f>
        <v/>
      </c>
      <c r="M457" s="89">
        <f>IF($K457="","",$K457-$L457)</f>
        <v/>
      </c>
      <c r="N457" s="89">
        <f>IF(OR($M457="",$D457=""),"",ROUND($M457*IFERROR(IF(VLOOKUP($D457,Setup!$A$76:$C$87,3,FALSE)="",Setup!$B$14,VLOOKUP($D457,Setup!$A$76:$C$87,3,FALSE)),Setup!$B$14),2))</f>
        <v/>
      </c>
      <c r="O457" s="89">
        <f>IF(OR($M457="",$E457=""),"",ROUND($M457*IFERROR(IF(VLOOKUP($E457,Setup!$A$76:$C$87,3,FALSE)="",Setup!$B$15,VLOOKUP($E457,Setup!$A$76:$C$87,3,FALSE)),Setup!$B$15),2))</f>
        <v/>
      </c>
      <c r="P457" s="91" t="n"/>
      <c r="Q457" s="91" t="n"/>
      <c r="R457" s="91" t="n"/>
      <c r="S457" s="91" t="n"/>
      <c r="T457" s="91" t="n"/>
      <c r="U457" s="89">
        <f>IF($K457="","",SUM($R457:$T457))</f>
        <v/>
      </c>
      <c r="V457" s="89">
        <f>IF($K457="","",$M457-(N($N457)+N($O457)+IF($P457="",Setup!$B$17,$P457)+N($Q457))-N($U457))</f>
        <v/>
      </c>
      <c r="W457" s="86" t="n"/>
      <c r="X457" s="87" t="n"/>
      <c r="Z457" s="92">
        <f>IF($A457="","",DATE(YEAR($A457),MONTH($A457),1))</f>
        <v/>
      </c>
    </row>
    <row r="458">
      <c r="A458" s="93" t="n"/>
      <c r="B458" s="94" t="n"/>
      <c r="C458" s="94" t="n"/>
      <c r="D458" s="95" t="n"/>
      <c r="E458" s="95" t="n"/>
      <c r="F458" s="95" t="n"/>
      <c r="G458" s="95" t="n"/>
      <c r="H458" s="96" t="n"/>
      <c r="I458" s="89">
        <f>IF($G458="","",IF($F458="",IFERROR(INDEX(Setup!$C$21:$C$60,MATCH("|"&amp;UPPER(TRIM($G458)),Setup!$Q$21:$Q$60,0)),"NO RATE"),IFERROR(INDEX(Setup!$C$21:$C$60,MATCH(UPPER(TRIM($F458))&amp;"|"&amp;UPPER(TRIM($G458)),Setup!$P$21:$P$60,0)),IFERROR(INDEX(Setup!$C$21:$C$60,MATCH(UPPER(TRIM($G458))&amp;"|"&amp;UPPER(TRIM($F458)),Setup!$P$21:$P$60,0)),"NO RATE"))))</f>
        <v/>
      </c>
      <c r="J458" s="97" t="n"/>
      <c r="K458" s="89">
        <f>IF(OR($G458="",$H458="",NOT(ISNUMBER($I458))),"",ROUND($H458*$I458*(1+IF($J458="",Setup!$B$16,$J458)),2))</f>
        <v/>
      </c>
      <c r="L458" s="89">
        <f>IF($K458="","",ROUND($K458*Setup!$B$13,2))</f>
        <v/>
      </c>
      <c r="M458" s="89">
        <f>IF($K458="","",$K458-$L458)</f>
        <v/>
      </c>
      <c r="N458" s="89">
        <f>IF(OR($M458="",$D458=""),"",ROUND($M458*IFERROR(IF(VLOOKUP($D458,Setup!$A$76:$C$87,3,FALSE)="",Setup!$B$14,VLOOKUP($D458,Setup!$A$76:$C$87,3,FALSE)),Setup!$B$14),2))</f>
        <v/>
      </c>
      <c r="O458" s="89">
        <f>IF(OR($M458="",$E458=""),"",ROUND($M458*IFERROR(IF(VLOOKUP($E458,Setup!$A$76:$C$87,3,FALSE)="",Setup!$B$15,VLOOKUP($E458,Setup!$A$76:$C$87,3,FALSE)),Setup!$B$15),2))</f>
        <v/>
      </c>
      <c r="P458" s="98" t="n"/>
      <c r="Q458" s="98" t="n"/>
      <c r="R458" s="98" t="n"/>
      <c r="S458" s="98" t="n"/>
      <c r="T458" s="98" t="n"/>
      <c r="U458" s="89">
        <f>IF($K458="","",SUM($R458:$T458))</f>
        <v/>
      </c>
      <c r="V458" s="89">
        <f>IF($K458="","",$M458-(N($N458)+N($O458)+IF($P458="",Setup!$B$17,$P458)+N($Q458))-N($U458))</f>
        <v/>
      </c>
      <c r="W458" s="94" t="n"/>
      <c r="X458" s="95" t="n"/>
      <c r="Z458" s="92">
        <f>IF($A458="","",DATE(YEAR($A458),MONTH($A458),1))</f>
        <v/>
      </c>
    </row>
    <row r="459">
      <c r="A459" s="85" t="n"/>
      <c r="B459" s="86" t="n"/>
      <c r="C459" s="86" t="n"/>
      <c r="D459" s="87" t="n"/>
      <c r="E459" s="87" t="n"/>
      <c r="F459" s="87" t="n"/>
      <c r="G459" s="87" t="n"/>
      <c r="H459" s="88" t="n"/>
      <c r="I459" s="89">
        <f>IF($G459="","",IF($F459="",IFERROR(INDEX(Setup!$C$21:$C$60,MATCH("|"&amp;UPPER(TRIM($G459)),Setup!$Q$21:$Q$60,0)),"NO RATE"),IFERROR(INDEX(Setup!$C$21:$C$60,MATCH(UPPER(TRIM($F459))&amp;"|"&amp;UPPER(TRIM($G459)),Setup!$P$21:$P$60,0)),IFERROR(INDEX(Setup!$C$21:$C$60,MATCH(UPPER(TRIM($G459))&amp;"|"&amp;UPPER(TRIM($F459)),Setup!$P$21:$P$60,0)),"NO RATE"))))</f>
        <v/>
      </c>
      <c r="J459" s="90" t="n"/>
      <c r="K459" s="89">
        <f>IF(OR($G459="",$H459="",NOT(ISNUMBER($I459))),"",ROUND($H459*$I459*(1+IF($J459="",Setup!$B$16,$J459)),2))</f>
        <v/>
      </c>
      <c r="L459" s="89">
        <f>IF($K459="","",ROUND($K459*Setup!$B$13,2))</f>
        <v/>
      </c>
      <c r="M459" s="89">
        <f>IF($K459="","",$K459-$L459)</f>
        <v/>
      </c>
      <c r="N459" s="89">
        <f>IF(OR($M459="",$D459=""),"",ROUND($M459*IFERROR(IF(VLOOKUP($D459,Setup!$A$76:$C$87,3,FALSE)="",Setup!$B$14,VLOOKUP($D459,Setup!$A$76:$C$87,3,FALSE)),Setup!$B$14),2))</f>
        <v/>
      </c>
      <c r="O459" s="89">
        <f>IF(OR($M459="",$E459=""),"",ROUND($M459*IFERROR(IF(VLOOKUP($E459,Setup!$A$76:$C$87,3,FALSE)="",Setup!$B$15,VLOOKUP($E459,Setup!$A$76:$C$87,3,FALSE)),Setup!$B$15),2))</f>
        <v/>
      </c>
      <c r="P459" s="91" t="n"/>
      <c r="Q459" s="91" t="n"/>
      <c r="R459" s="91" t="n"/>
      <c r="S459" s="91" t="n"/>
      <c r="T459" s="91" t="n"/>
      <c r="U459" s="89">
        <f>IF($K459="","",SUM($R459:$T459))</f>
        <v/>
      </c>
      <c r="V459" s="89">
        <f>IF($K459="","",$M459-(N($N459)+N($O459)+IF($P459="",Setup!$B$17,$P459)+N($Q459))-N($U459))</f>
        <v/>
      </c>
      <c r="W459" s="86" t="n"/>
      <c r="X459" s="87" t="n"/>
      <c r="Z459" s="92">
        <f>IF($A459="","",DATE(YEAR($A459),MONTH($A459),1))</f>
        <v/>
      </c>
    </row>
    <row r="460">
      <c r="A460" s="93" t="n"/>
      <c r="B460" s="94" t="n"/>
      <c r="C460" s="94" t="n"/>
      <c r="D460" s="95" t="n"/>
      <c r="E460" s="95" t="n"/>
      <c r="F460" s="95" t="n"/>
      <c r="G460" s="95" t="n"/>
      <c r="H460" s="96" t="n"/>
      <c r="I460" s="89">
        <f>IF($G460="","",IF($F460="",IFERROR(INDEX(Setup!$C$21:$C$60,MATCH("|"&amp;UPPER(TRIM($G460)),Setup!$Q$21:$Q$60,0)),"NO RATE"),IFERROR(INDEX(Setup!$C$21:$C$60,MATCH(UPPER(TRIM($F460))&amp;"|"&amp;UPPER(TRIM($G460)),Setup!$P$21:$P$60,0)),IFERROR(INDEX(Setup!$C$21:$C$60,MATCH(UPPER(TRIM($G460))&amp;"|"&amp;UPPER(TRIM($F460)),Setup!$P$21:$P$60,0)),"NO RATE"))))</f>
        <v/>
      </c>
      <c r="J460" s="97" t="n"/>
      <c r="K460" s="89">
        <f>IF(OR($G460="",$H460="",NOT(ISNUMBER($I460))),"",ROUND($H460*$I460*(1+IF($J460="",Setup!$B$16,$J460)),2))</f>
        <v/>
      </c>
      <c r="L460" s="89">
        <f>IF($K460="","",ROUND($K460*Setup!$B$13,2))</f>
        <v/>
      </c>
      <c r="M460" s="89">
        <f>IF($K460="","",$K460-$L460)</f>
        <v/>
      </c>
      <c r="N460" s="89">
        <f>IF(OR($M460="",$D460=""),"",ROUND($M460*IFERROR(IF(VLOOKUP($D460,Setup!$A$76:$C$87,3,FALSE)="",Setup!$B$14,VLOOKUP($D460,Setup!$A$76:$C$87,3,FALSE)),Setup!$B$14),2))</f>
        <v/>
      </c>
      <c r="O460" s="89">
        <f>IF(OR($M460="",$E460=""),"",ROUND($M460*IFERROR(IF(VLOOKUP($E460,Setup!$A$76:$C$87,3,FALSE)="",Setup!$B$15,VLOOKUP($E460,Setup!$A$76:$C$87,3,FALSE)),Setup!$B$15),2))</f>
        <v/>
      </c>
      <c r="P460" s="98" t="n"/>
      <c r="Q460" s="98" t="n"/>
      <c r="R460" s="98" t="n"/>
      <c r="S460" s="98" t="n"/>
      <c r="T460" s="98" t="n"/>
      <c r="U460" s="89">
        <f>IF($K460="","",SUM($R460:$T460))</f>
        <v/>
      </c>
      <c r="V460" s="89">
        <f>IF($K460="","",$M460-(N($N460)+N($O460)+IF($P460="",Setup!$B$17,$P460)+N($Q460))-N($U460))</f>
        <v/>
      </c>
      <c r="W460" s="94" t="n"/>
      <c r="X460" s="95" t="n"/>
      <c r="Z460" s="92">
        <f>IF($A460="","",DATE(YEAR($A460),MONTH($A460),1))</f>
        <v/>
      </c>
    </row>
    <row r="461">
      <c r="A461" s="85" t="n"/>
      <c r="B461" s="86" t="n"/>
      <c r="C461" s="86" t="n"/>
      <c r="D461" s="87" t="n"/>
      <c r="E461" s="87" t="n"/>
      <c r="F461" s="87" t="n"/>
      <c r="G461" s="87" t="n"/>
      <c r="H461" s="88" t="n"/>
      <c r="I461" s="89">
        <f>IF($G461="","",IF($F461="",IFERROR(INDEX(Setup!$C$21:$C$60,MATCH("|"&amp;UPPER(TRIM($G461)),Setup!$Q$21:$Q$60,0)),"NO RATE"),IFERROR(INDEX(Setup!$C$21:$C$60,MATCH(UPPER(TRIM($F461))&amp;"|"&amp;UPPER(TRIM($G461)),Setup!$P$21:$P$60,0)),IFERROR(INDEX(Setup!$C$21:$C$60,MATCH(UPPER(TRIM($G461))&amp;"|"&amp;UPPER(TRIM($F461)),Setup!$P$21:$P$60,0)),"NO RATE"))))</f>
        <v/>
      </c>
      <c r="J461" s="90" t="n"/>
      <c r="K461" s="89">
        <f>IF(OR($G461="",$H461="",NOT(ISNUMBER($I461))),"",ROUND($H461*$I461*(1+IF($J461="",Setup!$B$16,$J461)),2))</f>
        <v/>
      </c>
      <c r="L461" s="89">
        <f>IF($K461="","",ROUND($K461*Setup!$B$13,2))</f>
        <v/>
      </c>
      <c r="M461" s="89">
        <f>IF($K461="","",$K461-$L461)</f>
        <v/>
      </c>
      <c r="N461" s="89">
        <f>IF(OR($M461="",$D461=""),"",ROUND($M461*IFERROR(IF(VLOOKUP($D461,Setup!$A$76:$C$87,3,FALSE)="",Setup!$B$14,VLOOKUP($D461,Setup!$A$76:$C$87,3,FALSE)),Setup!$B$14),2))</f>
        <v/>
      </c>
      <c r="O461" s="89">
        <f>IF(OR($M461="",$E461=""),"",ROUND($M461*IFERROR(IF(VLOOKUP($E461,Setup!$A$76:$C$87,3,FALSE)="",Setup!$B$15,VLOOKUP($E461,Setup!$A$76:$C$87,3,FALSE)),Setup!$B$15),2))</f>
        <v/>
      </c>
      <c r="P461" s="91" t="n"/>
      <c r="Q461" s="91" t="n"/>
      <c r="R461" s="91" t="n"/>
      <c r="S461" s="91" t="n"/>
      <c r="T461" s="91" t="n"/>
      <c r="U461" s="89">
        <f>IF($K461="","",SUM($R461:$T461))</f>
        <v/>
      </c>
      <c r="V461" s="89">
        <f>IF($K461="","",$M461-(N($N461)+N($O461)+IF($P461="",Setup!$B$17,$P461)+N($Q461))-N($U461))</f>
        <v/>
      </c>
      <c r="W461" s="86" t="n"/>
      <c r="X461" s="87" t="n"/>
      <c r="Z461" s="92">
        <f>IF($A461="","",DATE(YEAR($A461),MONTH($A461),1))</f>
        <v/>
      </c>
    </row>
    <row r="462">
      <c r="A462" s="93" t="n"/>
      <c r="B462" s="94" t="n"/>
      <c r="C462" s="94" t="n"/>
      <c r="D462" s="95" t="n"/>
      <c r="E462" s="95" t="n"/>
      <c r="F462" s="95" t="n"/>
      <c r="G462" s="95" t="n"/>
      <c r="H462" s="96" t="n"/>
      <c r="I462" s="89">
        <f>IF($G462="","",IF($F462="",IFERROR(INDEX(Setup!$C$21:$C$60,MATCH("|"&amp;UPPER(TRIM($G462)),Setup!$Q$21:$Q$60,0)),"NO RATE"),IFERROR(INDEX(Setup!$C$21:$C$60,MATCH(UPPER(TRIM($F462))&amp;"|"&amp;UPPER(TRIM($G462)),Setup!$P$21:$P$60,0)),IFERROR(INDEX(Setup!$C$21:$C$60,MATCH(UPPER(TRIM($G462))&amp;"|"&amp;UPPER(TRIM($F462)),Setup!$P$21:$P$60,0)),"NO RATE"))))</f>
        <v/>
      </c>
      <c r="J462" s="97" t="n"/>
      <c r="K462" s="89">
        <f>IF(OR($G462="",$H462="",NOT(ISNUMBER($I462))),"",ROUND($H462*$I462*(1+IF($J462="",Setup!$B$16,$J462)),2))</f>
        <v/>
      </c>
      <c r="L462" s="89">
        <f>IF($K462="","",ROUND($K462*Setup!$B$13,2))</f>
        <v/>
      </c>
      <c r="M462" s="89">
        <f>IF($K462="","",$K462-$L462)</f>
        <v/>
      </c>
      <c r="N462" s="89">
        <f>IF(OR($M462="",$D462=""),"",ROUND($M462*IFERROR(IF(VLOOKUP($D462,Setup!$A$76:$C$87,3,FALSE)="",Setup!$B$14,VLOOKUP($D462,Setup!$A$76:$C$87,3,FALSE)),Setup!$B$14),2))</f>
        <v/>
      </c>
      <c r="O462" s="89">
        <f>IF(OR($M462="",$E462=""),"",ROUND($M462*IFERROR(IF(VLOOKUP($E462,Setup!$A$76:$C$87,3,FALSE)="",Setup!$B$15,VLOOKUP($E462,Setup!$A$76:$C$87,3,FALSE)),Setup!$B$15),2))</f>
        <v/>
      </c>
      <c r="P462" s="98" t="n"/>
      <c r="Q462" s="98" t="n"/>
      <c r="R462" s="98" t="n"/>
      <c r="S462" s="98" t="n"/>
      <c r="T462" s="98" t="n"/>
      <c r="U462" s="89">
        <f>IF($K462="","",SUM($R462:$T462))</f>
        <v/>
      </c>
      <c r="V462" s="89">
        <f>IF($K462="","",$M462-(N($N462)+N($O462)+IF($P462="",Setup!$B$17,$P462)+N($Q462))-N($U462))</f>
        <v/>
      </c>
      <c r="W462" s="94" t="n"/>
      <c r="X462" s="95" t="n"/>
      <c r="Z462" s="92">
        <f>IF($A462="","",DATE(YEAR($A462),MONTH($A462),1))</f>
        <v/>
      </c>
    </row>
    <row r="463">
      <c r="A463" s="85" t="n"/>
      <c r="B463" s="86" t="n"/>
      <c r="C463" s="86" t="n"/>
      <c r="D463" s="87" t="n"/>
      <c r="E463" s="87" t="n"/>
      <c r="F463" s="87" t="n"/>
      <c r="G463" s="87" t="n"/>
      <c r="H463" s="88" t="n"/>
      <c r="I463" s="89">
        <f>IF($G463="","",IF($F463="",IFERROR(INDEX(Setup!$C$21:$C$60,MATCH("|"&amp;UPPER(TRIM($G463)),Setup!$Q$21:$Q$60,0)),"NO RATE"),IFERROR(INDEX(Setup!$C$21:$C$60,MATCH(UPPER(TRIM($F463))&amp;"|"&amp;UPPER(TRIM($G463)),Setup!$P$21:$P$60,0)),IFERROR(INDEX(Setup!$C$21:$C$60,MATCH(UPPER(TRIM($G463))&amp;"|"&amp;UPPER(TRIM($F463)),Setup!$P$21:$P$60,0)),"NO RATE"))))</f>
        <v/>
      </c>
      <c r="J463" s="90" t="n"/>
      <c r="K463" s="89">
        <f>IF(OR($G463="",$H463="",NOT(ISNUMBER($I463))),"",ROUND($H463*$I463*(1+IF($J463="",Setup!$B$16,$J463)),2))</f>
        <v/>
      </c>
      <c r="L463" s="89">
        <f>IF($K463="","",ROUND($K463*Setup!$B$13,2))</f>
        <v/>
      </c>
      <c r="M463" s="89">
        <f>IF($K463="","",$K463-$L463)</f>
        <v/>
      </c>
      <c r="N463" s="89">
        <f>IF(OR($M463="",$D463=""),"",ROUND($M463*IFERROR(IF(VLOOKUP($D463,Setup!$A$76:$C$87,3,FALSE)="",Setup!$B$14,VLOOKUP($D463,Setup!$A$76:$C$87,3,FALSE)),Setup!$B$14),2))</f>
        <v/>
      </c>
      <c r="O463" s="89">
        <f>IF(OR($M463="",$E463=""),"",ROUND($M463*IFERROR(IF(VLOOKUP($E463,Setup!$A$76:$C$87,3,FALSE)="",Setup!$B$15,VLOOKUP($E463,Setup!$A$76:$C$87,3,FALSE)),Setup!$B$15),2))</f>
        <v/>
      </c>
      <c r="P463" s="91" t="n"/>
      <c r="Q463" s="91" t="n"/>
      <c r="R463" s="91" t="n"/>
      <c r="S463" s="91" t="n"/>
      <c r="T463" s="91" t="n"/>
      <c r="U463" s="89">
        <f>IF($K463="","",SUM($R463:$T463))</f>
        <v/>
      </c>
      <c r="V463" s="89">
        <f>IF($K463="","",$M463-(N($N463)+N($O463)+IF($P463="",Setup!$B$17,$P463)+N($Q463))-N($U463))</f>
        <v/>
      </c>
      <c r="W463" s="86" t="n"/>
      <c r="X463" s="87" t="n"/>
      <c r="Z463" s="92">
        <f>IF($A463="","",DATE(YEAR($A463),MONTH($A463),1))</f>
        <v/>
      </c>
    </row>
    <row r="464">
      <c r="A464" s="93" t="n"/>
      <c r="B464" s="94" t="n"/>
      <c r="C464" s="94" t="n"/>
      <c r="D464" s="95" t="n"/>
      <c r="E464" s="95" t="n"/>
      <c r="F464" s="95" t="n"/>
      <c r="G464" s="95" t="n"/>
      <c r="H464" s="96" t="n"/>
      <c r="I464" s="89">
        <f>IF($G464="","",IF($F464="",IFERROR(INDEX(Setup!$C$21:$C$60,MATCH("|"&amp;UPPER(TRIM($G464)),Setup!$Q$21:$Q$60,0)),"NO RATE"),IFERROR(INDEX(Setup!$C$21:$C$60,MATCH(UPPER(TRIM($F464))&amp;"|"&amp;UPPER(TRIM($G464)),Setup!$P$21:$P$60,0)),IFERROR(INDEX(Setup!$C$21:$C$60,MATCH(UPPER(TRIM($G464))&amp;"|"&amp;UPPER(TRIM($F464)),Setup!$P$21:$P$60,0)),"NO RATE"))))</f>
        <v/>
      </c>
      <c r="J464" s="97" t="n"/>
      <c r="K464" s="89">
        <f>IF(OR($G464="",$H464="",NOT(ISNUMBER($I464))),"",ROUND($H464*$I464*(1+IF($J464="",Setup!$B$16,$J464)),2))</f>
        <v/>
      </c>
      <c r="L464" s="89">
        <f>IF($K464="","",ROUND($K464*Setup!$B$13,2))</f>
        <v/>
      </c>
      <c r="M464" s="89">
        <f>IF($K464="","",$K464-$L464)</f>
        <v/>
      </c>
      <c r="N464" s="89">
        <f>IF(OR($M464="",$D464=""),"",ROUND($M464*IFERROR(IF(VLOOKUP($D464,Setup!$A$76:$C$87,3,FALSE)="",Setup!$B$14,VLOOKUP($D464,Setup!$A$76:$C$87,3,FALSE)),Setup!$B$14),2))</f>
        <v/>
      </c>
      <c r="O464" s="89">
        <f>IF(OR($M464="",$E464=""),"",ROUND($M464*IFERROR(IF(VLOOKUP($E464,Setup!$A$76:$C$87,3,FALSE)="",Setup!$B$15,VLOOKUP($E464,Setup!$A$76:$C$87,3,FALSE)),Setup!$B$15),2))</f>
        <v/>
      </c>
      <c r="P464" s="98" t="n"/>
      <c r="Q464" s="98" t="n"/>
      <c r="R464" s="98" t="n"/>
      <c r="S464" s="98" t="n"/>
      <c r="T464" s="98" t="n"/>
      <c r="U464" s="89">
        <f>IF($K464="","",SUM($R464:$T464))</f>
        <v/>
      </c>
      <c r="V464" s="89">
        <f>IF($K464="","",$M464-(N($N464)+N($O464)+IF($P464="",Setup!$B$17,$P464)+N($Q464))-N($U464))</f>
        <v/>
      </c>
      <c r="W464" s="94" t="n"/>
      <c r="X464" s="95" t="n"/>
      <c r="Z464" s="92">
        <f>IF($A464="","",DATE(YEAR($A464),MONTH($A464),1))</f>
        <v/>
      </c>
    </row>
    <row r="465">
      <c r="A465" s="85" t="n"/>
      <c r="B465" s="86" t="n"/>
      <c r="C465" s="86" t="n"/>
      <c r="D465" s="87" t="n"/>
      <c r="E465" s="87" t="n"/>
      <c r="F465" s="87" t="n"/>
      <c r="G465" s="87" t="n"/>
      <c r="H465" s="88" t="n"/>
      <c r="I465" s="89">
        <f>IF($G465="","",IF($F465="",IFERROR(INDEX(Setup!$C$21:$C$60,MATCH("|"&amp;UPPER(TRIM($G465)),Setup!$Q$21:$Q$60,0)),"NO RATE"),IFERROR(INDEX(Setup!$C$21:$C$60,MATCH(UPPER(TRIM($F465))&amp;"|"&amp;UPPER(TRIM($G465)),Setup!$P$21:$P$60,0)),IFERROR(INDEX(Setup!$C$21:$C$60,MATCH(UPPER(TRIM($G465))&amp;"|"&amp;UPPER(TRIM($F465)),Setup!$P$21:$P$60,0)),"NO RATE"))))</f>
        <v/>
      </c>
      <c r="J465" s="90" t="n"/>
      <c r="K465" s="89">
        <f>IF(OR($G465="",$H465="",NOT(ISNUMBER($I465))),"",ROUND($H465*$I465*(1+IF($J465="",Setup!$B$16,$J465)),2))</f>
        <v/>
      </c>
      <c r="L465" s="89">
        <f>IF($K465="","",ROUND($K465*Setup!$B$13,2))</f>
        <v/>
      </c>
      <c r="M465" s="89">
        <f>IF($K465="","",$K465-$L465)</f>
        <v/>
      </c>
      <c r="N465" s="89">
        <f>IF(OR($M465="",$D465=""),"",ROUND($M465*IFERROR(IF(VLOOKUP($D465,Setup!$A$76:$C$87,3,FALSE)="",Setup!$B$14,VLOOKUP($D465,Setup!$A$76:$C$87,3,FALSE)),Setup!$B$14),2))</f>
        <v/>
      </c>
      <c r="O465" s="89">
        <f>IF(OR($M465="",$E465=""),"",ROUND($M465*IFERROR(IF(VLOOKUP($E465,Setup!$A$76:$C$87,3,FALSE)="",Setup!$B$15,VLOOKUP($E465,Setup!$A$76:$C$87,3,FALSE)),Setup!$B$15),2))</f>
        <v/>
      </c>
      <c r="P465" s="91" t="n"/>
      <c r="Q465" s="91" t="n"/>
      <c r="R465" s="91" t="n"/>
      <c r="S465" s="91" t="n"/>
      <c r="T465" s="91" t="n"/>
      <c r="U465" s="89">
        <f>IF($K465="","",SUM($R465:$T465))</f>
        <v/>
      </c>
      <c r="V465" s="89">
        <f>IF($K465="","",$M465-(N($N465)+N($O465)+IF($P465="",Setup!$B$17,$P465)+N($Q465))-N($U465))</f>
        <v/>
      </c>
      <c r="W465" s="86" t="n"/>
      <c r="X465" s="87" t="n"/>
      <c r="Z465" s="92">
        <f>IF($A465="","",DATE(YEAR($A465),MONTH($A465),1))</f>
        <v/>
      </c>
    </row>
    <row r="466">
      <c r="A466" s="93" t="n"/>
      <c r="B466" s="94" t="n"/>
      <c r="C466" s="94" t="n"/>
      <c r="D466" s="95" t="n"/>
      <c r="E466" s="95" t="n"/>
      <c r="F466" s="95" t="n"/>
      <c r="G466" s="95" t="n"/>
      <c r="H466" s="96" t="n"/>
      <c r="I466" s="89">
        <f>IF($G466="","",IF($F466="",IFERROR(INDEX(Setup!$C$21:$C$60,MATCH("|"&amp;UPPER(TRIM($G466)),Setup!$Q$21:$Q$60,0)),"NO RATE"),IFERROR(INDEX(Setup!$C$21:$C$60,MATCH(UPPER(TRIM($F466))&amp;"|"&amp;UPPER(TRIM($G466)),Setup!$P$21:$P$60,0)),IFERROR(INDEX(Setup!$C$21:$C$60,MATCH(UPPER(TRIM($G466))&amp;"|"&amp;UPPER(TRIM($F466)),Setup!$P$21:$P$60,0)),"NO RATE"))))</f>
        <v/>
      </c>
      <c r="J466" s="97" t="n"/>
      <c r="K466" s="89">
        <f>IF(OR($G466="",$H466="",NOT(ISNUMBER($I466))),"",ROUND($H466*$I466*(1+IF($J466="",Setup!$B$16,$J466)),2))</f>
        <v/>
      </c>
      <c r="L466" s="89">
        <f>IF($K466="","",ROUND($K466*Setup!$B$13,2))</f>
        <v/>
      </c>
      <c r="M466" s="89">
        <f>IF($K466="","",$K466-$L466)</f>
        <v/>
      </c>
      <c r="N466" s="89">
        <f>IF(OR($M466="",$D466=""),"",ROUND($M466*IFERROR(IF(VLOOKUP($D466,Setup!$A$76:$C$87,3,FALSE)="",Setup!$B$14,VLOOKUP($D466,Setup!$A$76:$C$87,3,FALSE)),Setup!$B$14),2))</f>
        <v/>
      </c>
      <c r="O466" s="89">
        <f>IF(OR($M466="",$E466=""),"",ROUND($M466*IFERROR(IF(VLOOKUP($E466,Setup!$A$76:$C$87,3,FALSE)="",Setup!$B$15,VLOOKUP($E466,Setup!$A$76:$C$87,3,FALSE)),Setup!$B$15),2))</f>
        <v/>
      </c>
      <c r="P466" s="98" t="n"/>
      <c r="Q466" s="98" t="n"/>
      <c r="R466" s="98" t="n"/>
      <c r="S466" s="98" t="n"/>
      <c r="T466" s="98" t="n"/>
      <c r="U466" s="89">
        <f>IF($K466="","",SUM($R466:$T466))</f>
        <v/>
      </c>
      <c r="V466" s="89">
        <f>IF($K466="","",$M466-(N($N466)+N($O466)+IF($P466="",Setup!$B$17,$P466)+N($Q466))-N($U466))</f>
        <v/>
      </c>
      <c r="W466" s="94" t="n"/>
      <c r="X466" s="95" t="n"/>
      <c r="Z466" s="92">
        <f>IF($A466="","",DATE(YEAR($A466),MONTH($A466),1))</f>
        <v/>
      </c>
    </row>
    <row r="467">
      <c r="A467" s="85" t="n"/>
      <c r="B467" s="86" t="n"/>
      <c r="C467" s="86" t="n"/>
      <c r="D467" s="87" t="n"/>
      <c r="E467" s="87" t="n"/>
      <c r="F467" s="87" t="n"/>
      <c r="G467" s="87" t="n"/>
      <c r="H467" s="88" t="n"/>
      <c r="I467" s="89">
        <f>IF($G467="","",IF($F467="",IFERROR(INDEX(Setup!$C$21:$C$60,MATCH("|"&amp;UPPER(TRIM($G467)),Setup!$Q$21:$Q$60,0)),"NO RATE"),IFERROR(INDEX(Setup!$C$21:$C$60,MATCH(UPPER(TRIM($F467))&amp;"|"&amp;UPPER(TRIM($G467)),Setup!$P$21:$P$60,0)),IFERROR(INDEX(Setup!$C$21:$C$60,MATCH(UPPER(TRIM($G467))&amp;"|"&amp;UPPER(TRIM($F467)),Setup!$P$21:$P$60,0)),"NO RATE"))))</f>
        <v/>
      </c>
      <c r="J467" s="90" t="n"/>
      <c r="K467" s="89">
        <f>IF(OR($G467="",$H467="",NOT(ISNUMBER($I467))),"",ROUND($H467*$I467*(1+IF($J467="",Setup!$B$16,$J467)),2))</f>
        <v/>
      </c>
      <c r="L467" s="89">
        <f>IF($K467="","",ROUND($K467*Setup!$B$13,2))</f>
        <v/>
      </c>
      <c r="M467" s="89">
        <f>IF($K467="","",$K467-$L467)</f>
        <v/>
      </c>
      <c r="N467" s="89">
        <f>IF(OR($M467="",$D467=""),"",ROUND($M467*IFERROR(IF(VLOOKUP($D467,Setup!$A$76:$C$87,3,FALSE)="",Setup!$B$14,VLOOKUP($D467,Setup!$A$76:$C$87,3,FALSE)),Setup!$B$14),2))</f>
        <v/>
      </c>
      <c r="O467" s="89">
        <f>IF(OR($M467="",$E467=""),"",ROUND($M467*IFERROR(IF(VLOOKUP($E467,Setup!$A$76:$C$87,3,FALSE)="",Setup!$B$15,VLOOKUP($E467,Setup!$A$76:$C$87,3,FALSE)),Setup!$B$15),2))</f>
        <v/>
      </c>
      <c r="P467" s="91" t="n"/>
      <c r="Q467" s="91" t="n"/>
      <c r="R467" s="91" t="n"/>
      <c r="S467" s="91" t="n"/>
      <c r="T467" s="91" t="n"/>
      <c r="U467" s="89">
        <f>IF($K467="","",SUM($R467:$T467))</f>
        <v/>
      </c>
      <c r="V467" s="89">
        <f>IF($K467="","",$M467-(N($N467)+N($O467)+IF($P467="",Setup!$B$17,$P467)+N($Q467))-N($U467))</f>
        <v/>
      </c>
      <c r="W467" s="86" t="n"/>
      <c r="X467" s="87" t="n"/>
      <c r="Z467" s="92">
        <f>IF($A467="","",DATE(YEAR($A467),MONTH($A467),1))</f>
        <v/>
      </c>
    </row>
    <row r="468">
      <c r="A468" s="93" t="n"/>
      <c r="B468" s="94" t="n"/>
      <c r="C468" s="94" t="n"/>
      <c r="D468" s="95" t="n"/>
      <c r="E468" s="95" t="n"/>
      <c r="F468" s="95" t="n"/>
      <c r="G468" s="95" t="n"/>
      <c r="H468" s="96" t="n"/>
      <c r="I468" s="89">
        <f>IF($G468="","",IF($F468="",IFERROR(INDEX(Setup!$C$21:$C$60,MATCH("|"&amp;UPPER(TRIM($G468)),Setup!$Q$21:$Q$60,0)),"NO RATE"),IFERROR(INDEX(Setup!$C$21:$C$60,MATCH(UPPER(TRIM($F468))&amp;"|"&amp;UPPER(TRIM($G468)),Setup!$P$21:$P$60,0)),IFERROR(INDEX(Setup!$C$21:$C$60,MATCH(UPPER(TRIM($G468))&amp;"|"&amp;UPPER(TRIM($F468)),Setup!$P$21:$P$60,0)),"NO RATE"))))</f>
        <v/>
      </c>
      <c r="J468" s="97" t="n"/>
      <c r="K468" s="89">
        <f>IF(OR($G468="",$H468="",NOT(ISNUMBER($I468))),"",ROUND($H468*$I468*(1+IF($J468="",Setup!$B$16,$J468)),2))</f>
        <v/>
      </c>
      <c r="L468" s="89">
        <f>IF($K468="","",ROUND($K468*Setup!$B$13,2))</f>
        <v/>
      </c>
      <c r="M468" s="89">
        <f>IF($K468="","",$K468-$L468)</f>
        <v/>
      </c>
      <c r="N468" s="89">
        <f>IF(OR($M468="",$D468=""),"",ROUND($M468*IFERROR(IF(VLOOKUP($D468,Setup!$A$76:$C$87,3,FALSE)="",Setup!$B$14,VLOOKUP($D468,Setup!$A$76:$C$87,3,FALSE)),Setup!$B$14),2))</f>
        <v/>
      </c>
      <c r="O468" s="89">
        <f>IF(OR($M468="",$E468=""),"",ROUND($M468*IFERROR(IF(VLOOKUP($E468,Setup!$A$76:$C$87,3,FALSE)="",Setup!$B$15,VLOOKUP($E468,Setup!$A$76:$C$87,3,FALSE)),Setup!$B$15),2))</f>
        <v/>
      </c>
      <c r="P468" s="98" t="n"/>
      <c r="Q468" s="98" t="n"/>
      <c r="R468" s="98" t="n"/>
      <c r="S468" s="98" t="n"/>
      <c r="T468" s="98" t="n"/>
      <c r="U468" s="89">
        <f>IF($K468="","",SUM($R468:$T468))</f>
        <v/>
      </c>
      <c r="V468" s="89">
        <f>IF($K468="","",$M468-(N($N468)+N($O468)+IF($P468="",Setup!$B$17,$P468)+N($Q468))-N($U468))</f>
        <v/>
      </c>
      <c r="W468" s="94" t="n"/>
      <c r="X468" s="95" t="n"/>
      <c r="Z468" s="92">
        <f>IF($A468="","",DATE(YEAR($A468),MONTH($A468),1))</f>
        <v/>
      </c>
    </row>
    <row r="469">
      <c r="A469" s="85" t="n"/>
      <c r="B469" s="86" t="n"/>
      <c r="C469" s="86" t="n"/>
      <c r="D469" s="87" t="n"/>
      <c r="E469" s="87" t="n"/>
      <c r="F469" s="87" t="n"/>
      <c r="G469" s="87" t="n"/>
      <c r="H469" s="88" t="n"/>
      <c r="I469" s="89">
        <f>IF($G469="","",IF($F469="",IFERROR(INDEX(Setup!$C$21:$C$60,MATCH("|"&amp;UPPER(TRIM($G469)),Setup!$Q$21:$Q$60,0)),"NO RATE"),IFERROR(INDEX(Setup!$C$21:$C$60,MATCH(UPPER(TRIM($F469))&amp;"|"&amp;UPPER(TRIM($G469)),Setup!$P$21:$P$60,0)),IFERROR(INDEX(Setup!$C$21:$C$60,MATCH(UPPER(TRIM($G469))&amp;"|"&amp;UPPER(TRIM($F469)),Setup!$P$21:$P$60,0)),"NO RATE"))))</f>
        <v/>
      </c>
      <c r="J469" s="90" t="n"/>
      <c r="K469" s="89">
        <f>IF(OR($G469="",$H469="",NOT(ISNUMBER($I469))),"",ROUND($H469*$I469*(1+IF($J469="",Setup!$B$16,$J469)),2))</f>
        <v/>
      </c>
      <c r="L469" s="89">
        <f>IF($K469="","",ROUND($K469*Setup!$B$13,2))</f>
        <v/>
      </c>
      <c r="M469" s="89">
        <f>IF($K469="","",$K469-$L469)</f>
        <v/>
      </c>
      <c r="N469" s="89">
        <f>IF(OR($M469="",$D469=""),"",ROUND($M469*IFERROR(IF(VLOOKUP($D469,Setup!$A$76:$C$87,3,FALSE)="",Setup!$B$14,VLOOKUP($D469,Setup!$A$76:$C$87,3,FALSE)),Setup!$B$14),2))</f>
        <v/>
      </c>
      <c r="O469" s="89">
        <f>IF(OR($M469="",$E469=""),"",ROUND($M469*IFERROR(IF(VLOOKUP($E469,Setup!$A$76:$C$87,3,FALSE)="",Setup!$B$15,VLOOKUP($E469,Setup!$A$76:$C$87,3,FALSE)),Setup!$B$15),2))</f>
        <v/>
      </c>
      <c r="P469" s="91" t="n"/>
      <c r="Q469" s="91" t="n"/>
      <c r="R469" s="91" t="n"/>
      <c r="S469" s="91" t="n"/>
      <c r="T469" s="91" t="n"/>
      <c r="U469" s="89">
        <f>IF($K469="","",SUM($R469:$T469))</f>
        <v/>
      </c>
      <c r="V469" s="89">
        <f>IF($K469="","",$M469-(N($N469)+N($O469)+IF($P469="",Setup!$B$17,$P469)+N($Q469))-N($U469))</f>
        <v/>
      </c>
      <c r="W469" s="86" t="n"/>
      <c r="X469" s="87" t="n"/>
      <c r="Z469" s="92">
        <f>IF($A469="","",DATE(YEAR($A469),MONTH($A469),1))</f>
        <v/>
      </c>
    </row>
    <row r="470">
      <c r="A470" s="93" t="n"/>
      <c r="B470" s="94" t="n"/>
      <c r="C470" s="94" t="n"/>
      <c r="D470" s="95" t="n"/>
      <c r="E470" s="95" t="n"/>
      <c r="F470" s="95" t="n"/>
      <c r="G470" s="95" t="n"/>
      <c r="H470" s="96" t="n"/>
      <c r="I470" s="89">
        <f>IF($G470="","",IF($F470="",IFERROR(INDEX(Setup!$C$21:$C$60,MATCH("|"&amp;UPPER(TRIM($G470)),Setup!$Q$21:$Q$60,0)),"NO RATE"),IFERROR(INDEX(Setup!$C$21:$C$60,MATCH(UPPER(TRIM($F470))&amp;"|"&amp;UPPER(TRIM($G470)),Setup!$P$21:$P$60,0)),IFERROR(INDEX(Setup!$C$21:$C$60,MATCH(UPPER(TRIM($G470))&amp;"|"&amp;UPPER(TRIM($F470)),Setup!$P$21:$P$60,0)),"NO RATE"))))</f>
        <v/>
      </c>
      <c r="J470" s="97" t="n"/>
      <c r="K470" s="89">
        <f>IF(OR($G470="",$H470="",NOT(ISNUMBER($I470))),"",ROUND($H470*$I470*(1+IF($J470="",Setup!$B$16,$J470)),2))</f>
        <v/>
      </c>
      <c r="L470" s="89">
        <f>IF($K470="","",ROUND($K470*Setup!$B$13,2))</f>
        <v/>
      </c>
      <c r="M470" s="89">
        <f>IF($K470="","",$K470-$L470)</f>
        <v/>
      </c>
      <c r="N470" s="89">
        <f>IF(OR($M470="",$D470=""),"",ROUND($M470*IFERROR(IF(VLOOKUP($D470,Setup!$A$76:$C$87,3,FALSE)="",Setup!$B$14,VLOOKUP($D470,Setup!$A$76:$C$87,3,FALSE)),Setup!$B$14),2))</f>
        <v/>
      </c>
      <c r="O470" s="89">
        <f>IF(OR($M470="",$E470=""),"",ROUND($M470*IFERROR(IF(VLOOKUP($E470,Setup!$A$76:$C$87,3,FALSE)="",Setup!$B$15,VLOOKUP($E470,Setup!$A$76:$C$87,3,FALSE)),Setup!$B$15),2))</f>
        <v/>
      </c>
      <c r="P470" s="98" t="n"/>
      <c r="Q470" s="98" t="n"/>
      <c r="R470" s="98" t="n"/>
      <c r="S470" s="98" t="n"/>
      <c r="T470" s="98" t="n"/>
      <c r="U470" s="89">
        <f>IF($K470="","",SUM($R470:$T470))</f>
        <v/>
      </c>
      <c r="V470" s="89">
        <f>IF($K470="","",$M470-(N($N470)+N($O470)+IF($P470="",Setup!$B$17,$P470)+N($Q470))-N($U470))</f>
        <v/>
      </c>
      <c r="W470" s="94" t="n"/>
      <c r="X470" s="95" t="n"/>
      <c r="Z470" s="92">
        <f>IF($A470="","",DATE(YEAR($A470),MONTH($A470),1))</f>
        <v/>
      </c>
    </row>
    <row r="471">
      <c r="A471" s="85" t="n"/>
      <c r="B471" s="86" t="n"/>
      <c r="C471" s="86" t="n"/>
      <c r="D471" s="87" t="n"/>
      <c r="E471" s="87" t="n"/>
      <c r="F471" s="87" t="n"/>
      <c r="G471" s="87" t="n"/>
      <c r="H471" s="88" t="n"/>
      <c r="I471" s="89">
        <f>IF($G471="","",IF($F471="",IFERROR(INDEX(Setup!$C$21:$C$60,MATCH("|"&amp;UPPER(TRIM($G471)),Setup!$Q$21:$Q$60,0)),"NO RATE"),IFERROR(INDEX(Setup!$C$21:$C$60,MATCH(UPPER(TRIM($F471))&amp;"|"&amp;UPPER(TRIM($G471)),Setup!$P$21:$P$60,0)),IFERROR(INDEX(Setup!$C$21:$C$60,MATCH(UPPER(TRIM($G471))&amp;"|"&amp;UPPER(TRIM($F471)),Setup!$P$21:$P$60,0)),"NO RATE"))))</f>
        <v/>
      </c>
      <c r="J471" s="90" t="n"/>
      <c r="K471" s="89">
        <f>IF(OR($G471="",$H471="",NOT(ISNUMBER($I471))),"",ROUND($H471*$I471*(1+IF($J471="",Setup!$B$16,$J471)),2))</f>
        <v/>
      </c>
      <c r="L471" s="89">
        <f>IF($K471="","",ROUND($K471*Setup!$B$13,2))</f>
        <v/>
      </c>
      <c r="M471" s="89">
        <f>IF($K471="","",$K471-$L471)</f>
        <v/>
      </c>
      <c r="N471" s="89">
        <f>IF(OR($M471="",$D471=""),"",ROUND($M471*IFERROR(IF(VLOOKUP($D471,Setup!$A$76:$C$87,3,FALSE)="",Setup!$B$14,VLOOKUP($D471,Setup!$A$76:$C$87,3,FALSE)),Setup!$B$14),2))</f>
        <v/>
      </c>
      <c r="O471" s="89">
        <f>IF(OR($M471="",$E471=""),"",ROUND($M471*IFERROR(IF(VLOOKUP($E471,Setup!$A$76:$C$87,3,FALSE)="",Setup!$B$15,VLOOKUP($E471,Setup!$A$76:$C$87,3,FALSE)),Setup!$B$15),2))</f>
        <v/>
      </c>
      <c r="P471" s="91" t="n"/>
      <c r="Q471" s="91" t="n"/>
      <c r="R471" s="91" t="n"/>
      <c r="S471" s="91" t="n"/>
      <c r="T471" s="91" t="n"/>
      <c r="U471" s="89">
        <f>IF($K471="","",SUM($R471:$T471))</f>
        <v/>
      </c>
      <c r="V471" s="89">
        <f>IF($K471="","",$M471-(N($N471)+N($O471)+IF($P471="",Setup!$B$17,$P471)+N($Q471))-N($U471))</f>
        <v/>
      </c>
      <c r="W471" s="86" t="n"/>
      <c r="X471" s="87" t="n"/>
      <c r="Z471" s="92">
        <f>IF($A471="","",DATE(YEAR($A471),MONTH($A471),1))</f>
        <v/>
      </c>
    </row>
    <row r="472">
      <c r="A472" s="93" t="n"/>
      <c r="B472" s="94" t="n"/>
      <c r="C472" s="94" t="n"/>
      <c r="D472" s="95" t="n"/>
      <c r="E472" s="95" t="n"/>
      <c r="F472" s="95" t="n"/>
      <c r="G472" s="95" t="n"/>
      <c r="H472" s="96" t="n"/>
      <c r="I472" s="89">
        <f>IF($G472="","",IF($F472="",IFERROR(INDEX(Setup!$C$21:$C$60,MATCH("|"&amp;UPPER(TRIM($G472)),Setup!$Q$21:$Q$60,0)),"NO RATE"),IFERROR(INDEX(Setup!$C$21:$C$60,MATCH(UPPER(TRIM($F472))&amp;"|"&amp;UPPER(TRIM($G472)),Setup!$P$21:$P$60,0)),IFERROR(INDEX(Setup!$C$21:$C$60,MATCH(UPPER(TRIM($G472))&amp;"|"&amp;UPPER(TRIM($F472)),Setup!$P$21:$P$60,0)),"NO RATE"))))</f>
        <v/>
      </c>
      <c r="J472" s="97" t="n"/>
      <c r="K472" s="89">
        <f>IF(OR($G472="",$H472="",NOT(ISNUMBER($I472))),"",ROUND($H472*$I472*(1+IF($J472="",Setup!$B$16,$J472)),2))</f>
        <v/>
      </c>
      <c r="L472" s="89">
        <f>IF($K472="","",ROUND($K472*Setup!$B$13,2))</f>
        <v/>
      </c>
      <c r="M472" s="89">
        <f>IF($K472="","",$K472-$L472)</f>
        <v/>
      </c>
      <c r="N472" s="89">
        <f>IF(OR($M472="",$D472=""),"",ROUND($M472*IFERROR(IF(VLOOKUP($D472,Setup!$A$76:$C$87,3,FALSE)="",Setup!$B$14,VLOOKUP($D472,Setup!$A$76:$C$87,3,FALSE)),Setup!$B$14),2))</f>
        <v/>
      </c>
      <c r="O472" s="89">
        <f>IF(OR($M472="",$E472=""),"",ROUND($M472*IFERROR(IF(VLOOKUP($E472,Setup!$A$76:$C$87,3,FALSE)="",Setup!$B$15,VLOOKUP($E472,Setup!$A$76:$C$87,3,FALSE)),Setup!$B$15),2))</f>
        <v/>
      </c>
      <c r="P472" s="98" t="n"/>
      <c r="Q472" s="98" t="n"/>
      <c r="R472" s="98" t="n"/>
      <c r="S472" s="98" t="n"/>
      <c r="T472" s="98" t="n"/>
      <c r="U472" s="89">
        <f>IF($K472="","",SUM($R472:$T472))</f>
        <v/>
      </c>
      <c r="V472" s="89">
        <f>IF($K472="","",$M472-(N($N472)+N($O472)+IF($P472="",Setup!$B$17,$P472)+N($Q472))-N($U472))</f>
        <v/>
      </c>
      <c r="W472" s="94" t="n"/>
      <c r="X472" s="95" t="n"/>
      <c r="Z472" s="92">
        <f>IF($A472="","",DATE(YEAR($A472),MONTH($A472),1))</f>
        <v/>
      </c>
    </row>
    <row r="473">
      <c r="A473" s="85" t="n"/>
      <c r="B473" s="86" t="n"/>
      <c r="C473" s="86" t="n"/>
      <c r="D473" s="87" t="n"/>
      <c r="E473" s="87" t="n"/>
      <c r="F473" s="87" t="n"/>
      <c r="G473" s="87" t="n"/>
      <c r="H473" s="88" t="n"/>
      <c r="I473" s="89">
        <f>IF($G473="","",IF($F473="",IFERROR(INDEX(Setup!$C$21:$C$60,MATCH("|"&amp;UPPER(TRIM($G473)),Setup!$Q$21:$Q$60,0)),"NO RATE"),IFERROR(INDEX(Setup!$C$21:$C$60,MATCH(UPPER(TRIM($F473))&amp;"|"&amp;UPPER(TRIM($G473)),Setup!$P$21:$P$60,0)),IFERROR(INDEX(Setup!$C$21:$C$60,MATCH(UPPER(TRIM($G473))&amp;"|"&amp;UPPER(TRIM($F473)),Setup!$P$21:$P$60,0)),"NO RATE"))))</f>
        <v/>
      </c>
      <c r="J473" s="90" t="n"/>
      <c r="K473" s="89">
        <f>IF(OR($G473="",$H473="",NOT(ISNUMBER($I473))),"",ROUND($H473*$I473*(1+IF($J473="",Setup!$B$16,$J473)),2))</f>
        <v/>
      </c>
      <c r="L473" s="89">
        <f>IF($K473="","",ROUND($K473*Setup!$B$13,2))</f>
        <v/>
      </c>
      <c r="M473" s="89">
        <f>IF($K473="","",$K473-$L473)</f>
        <v/>
      </c>
      <c r="N473" s="89">
        <f>IF(OR($M473="",$D473=""),"",ROUND($M473*IFERROR(IF(VLOOKUP($D473,Setup!$A$76:$C$87,3,FALSE)="",Setup!$B$14,VLOOKUP($D473,Setup!$A$76:$C$87,3,FALSE)),Setup!$B$14),2))</f>
        <v/>
      </c>
      <c r="O473" s="89">
        <f>IF(OR($M473="",$E473=""),"",ROUND($M473*IFERROR(IF(VLOOKUP($E473,Setup!$A$76:$C$87,3,FALSE)="",Setup!$B$15,VLOOKUP($E473,Setup!$A$76:$C$87,3,FALSE)),Setup!$B$15),2))</f>
        <v/>
      </c>
      <c r="P473" s="91" t="n"/>
      <c r="Q473" s="91" t="n"/>
      <c r="R473" s="91" t="n"/>
      <c r="S473" s="91" t="n"/>
      <c r="T473" s="91" t="n"/>
      <c r="U473" s="89">
        <f>IF($K473="","",SUM($R473:$T473))</f>
        <v/>
      </c>
      <c r="V473" s="89">
        <f>IF($K473="","",$M473-(N($N473)+N($O473)+IF($P473="",Setup!$B$17,$P473)+N($Q473))-N($U473))</f>
        <v/>
      </c>
      <c r="W473" s="86" t="n"/>
      <c r="X473" s="87" t="n"/>
      <c r="Z473" s="92">
        <f>IF($A473="","",DATE(YEAR($A473),MONTH($A473),1))</f>
        <v/>
      </c>
    </row>
    <row r="474">
      <c r="A474" s="93" t="n"/>
      <c r="B474" s="94" t="n"/>
      <c r="C474" s="94" t="n"/>
      <c r="D474" s="95" t="n"/>
      <c r="E474" s="95" t="n"/>
      <c r="F474" s="95" t="n"/>
      <c r="G474" s="95" t="n"/>
      <c r="H474" s="96" t="n"/>
      <c r="I474" s="89">
        <f>IF($G474="","",IF($F474="",IFERROR(INDEX(Setup!$C$21:$C$60,MATCH("|"&amp;UPPER(TRIM($G474)),Setup!$Q$21:$Q$60,0)),"NO RATE"),IFERROR(INDEX(Setup!$C$21:$C$60,MATCH(UPPER(TRIM($F474))&amp;"|"&amp;UPPER(TRIM($G474)),Setup!$P$21:$P$60,0)),IFERROR(INDEX(Setup!$C$21:$C$60,MATCH(UPPER(TRIM($G474))&amp;"|"&amp;UPPER(TRIM($F474)),Setup!$P$21:$P$60,0)),"NO RATE"))))</f>
        <v/>
      </c>
      <c r="J474" s="97" t="n"/>
      <c r="K474" s="89">
        <f>IF(OR($G474="",$H474="",NOT(ISNUMBER($I474))),"",ROUND($H474*$I474*(1+IF($J474="",Setup!$B$16,$J474)),2))</f>
        <v/>
      </c>
      <c r="L474" s="89">
        <f>IF($K474="","",ROUND($K474*Setup!$B$13,2))</f>
        <v/>
      </c>
      <c r="M474" s="89">
        <f>IF($K474="","",$K474-$L474)</f>
        <v/>
      </c>
      <c r="N474" s="89">
        <f>IF(OR($M474="",$D474=""),"",ROUND($M474*IFERROR(IF(VLOOKUP($D474,Setup!$A$76:$C$87,3,FALSE)="",Setup!$B$14,VLOOKUP($D474,Setup!$A$76:$C$87,3,FALSE)),Setup!$B$14),2))</f>
        <v/>
      </c>
      <c r="O474" s="89">
        <f>IF(OR($M474="",$E474=""),"",ROUND($M474*IFERROR(IF(VLOOKUP($E474,Setup!$A$76:$C$87,3,FALSE)="",Setup!$B$15,VLOOKUP($E474,Setup!$A$76:$C$87,3,FALSE)),Setup!$B$15),2))</f>
        <v/>
      </c>
      <c r="P474" s="98" t="n"/>
      <c r="Q474" s="98" t="n"/>
      <c r="R474" s="98" t="n"/>
      <c r="S474" s="98" t="n"/>
      <c r="T474" s="98" t="n"/>
      <c r="U474" s="89">
        <f>IF($K474="","",SUM($R474:$T474))</f>
        <v/>
      </c>
      <c r="V474" s="89">
        <f>IF($K474="","",$M474-(N($N474)+N($O474)+IF($P474="",Setup!$B$17,$P474)+N($Q474))-N($U474))</f>
        <v/>
      </c>
      <c r="W474" s="94" t="n"/>
      <c r="X474" s="95" t="n"/>
      <c r="Z474" s="92">
        <f>IF($A474="","",DATE(YEAR($A474),MONTH($A474),1))</f>
        <v/>
      </c>
    </row>
    <row r="475">
      <c r="A475" s="85" t="n"/>
      <c r="B475" s="86" t="n"/>
      <c r="C475" s="86" t="n"/>
      <c r="D475" s="87" t="n"/>
      <c r="E475" s="87" t="n"/>
      <c r="F475" s="87" t="n"/>
      <c r="G475" s="87" t="n"/>
      <c r="H475" s="88" t="n"/>
      <c r="I475" s="89">
        <f>IF($G475="","",IF($F475="",IFERROR(INDEX(Setup!$C$21:$C$60,MATCH("|"&amp;UPPER(TRIM($G475)),Setup!$Q$21:$Q$60,0)),"NO RATE"),IFERROR(INDEX(Setup!$C$21:$C$60,MATCH(UPPER(TRIM($F475))&amp;"|"&amp;UPPER(TRIM($G475)),Setup!$P$21:$P$60,0)),IFERROR(INDEX(Setup!$C$21:$C$60,MATCH(UPPER(TRIM($G475))&amp;"|"&amp;UPPER(TRIM($F475)),Setup!$P$21:$P$60,0)),"NO RATE"))))</f>
        <v/>
      </c>
      <c r="J475" s="90" t="n"/>
      <c r="K475" s="89">
        <f>IF(OR($G475="",$H475="",NOT(ISNUMBER($I475))),"",ROUND($H475*$I475*(1+IF($J475="",Setup!$B$16,$J475)),2))</f>
        <v/>
      </c>
      <c r="L475" s="89">
        <f>IF($K475="","",ROUND($K475*Setup!$B$13,2))</f>
        <v/>
      </c>
      <c r="M475" s="89">
        <f>IF($K475="","",$K475-$L475)</f>
        <v/>
      </c>
      <c r="N475" s="89">
        <f>IF(OR($M475="",$D475=""),"",ROUND($M475*IFERROR(IF(VLOOKUP($D475,Setup!$A$76:$C$87,3,FALSE)="",Setup!$B$14,VLOOKUP($D475,Setup!$A$76:$C$87,3,FALSE)),Setup!$B$14),2))</f>
        <v/>
      </c>
      <c r="O475" s="89">
        <f>IF(OR($M475="",$E475=""),"",ROUND($M475*IFERROR(IF(VLOOKUP($E475,Setup!$A$76:$C$87,3,FALSE)="",Setup!$B$15,VLOOKUP($E475,Setup!$A$76:$C$87,3,FALSE)),Setup!$B$15),2))</f>
        <v/>
      </c>
      <c r="P475" s="91" t="n"/>
      <c r="Q475" s="91" t="n"/>
      <c r="R475" s="91" t="n"/>
      <c r="S475" s="91" t="n"/>
      <c r="T475" s="91" t="n"/>
      <c r="U475" s="89">
        <f>IF($K475="","",SUM($R475:$T475))</f>
        <v/>
      </c>
      <c r="V475" s="89">
        <f>IF($K475="","",$M475-(N($N475)+N($O475)+IF($P475="",Setup!$B$17,$P475)+N($Q475))-N($U475))</f>
        <v/>
      </c>
      <c r="W475" s="86" t="n"/>
      <c r="X475" s="87" t="n"/>
      <c r="Z475" s="92">
        <f>IF($A475="","",DATE(YEAR($A475),MONTH($A475),1))</f>
        <v/>
      </c>
    </row>
    <row r="476">
      <c r="A476" s="93" t="n"/>
      <c r="B476" s="94" t="n"/>
      <c r="C476" s="94" t="n"/>
      <c r="D476" s="95" t="n"/>
      <c r="E476" s="95" t="n"/>
      <c r="F476" s="95" t="n"/>
      <c r="G476" s="95" t="n"/>
      <c r="H476" s="96" t="n"/>
      <c r="I476" s="89">
        <f>IF($G476="","",IF($F476="",IFERROR(INDEX(Setup!$C$21:$C$60,MATCH("|"&amp;UPPER(TRIM($G476)),Setup!$Q$21:$Q$60,0)),"NO RATE"),IFERROR(INDEX(Setup!$C$21:$C$60,MATCH(UPPER(TRIM($F476))&amp;"|"&amp;UPPER(TRIM($G476)),Setup!$P$21:$P$60,0)),IFERROR(INDEX(Setup!$C$21:$C$60,MATCH(UPPER(TRIM($G476))&amp;"|"&amp;UPPER(TRIM($F476)),Setup!$P$21:$P$60,0)),"NO RATE"))))</f>
        <v/>
      </c>
      <c r="J476" s="97" t="n"/>
      <c r="K476" s="89">
        <f>IF(OR($G476="",$H476="",NOT(ISNUMBER($I476))),"",ROUND($H476*$I476*(1+IF($J476="",Setup!$B$16,$J476)),2))</f>
        <v/>
      </c>
      <c r="L476" s="89">
        <f>IF($K476="","",ROUND($K476*Setup!$B$13,2))</f>
        <v/>
      </c>
      <c r="M476" s="89">
        <f>IF($K476="","",$K476-$L476)</f>
        <v/>
      </c>
      <c r="N476" s="89">
        <f>IF(OR($M476="",$D476=""),"",ROUND($M476*IFERROR(IF(VLOOKUP($D476,Setup!$A$76:$C$87,3,FALSE)="",Setup!$B$14,VLOOKUP($D476,Setup!$A$76:$C$87,3,FALSE)),Setup!$B$14),2))</f>
        <v/>
      </c>
      <c r="O476" s="89">
        <f>IF(OR($M476="",$E476=""),"",ROUND($M476*IFERROR(IF(VLOOKUP($E476,Setup!$A$76:$C$87,3,FALSE)="",Setup!$B$15,VLOOKUP($E476,Setup!$A$76:$C$87,3,FALSE)),Setup!$B$15),2))</f>
        <v/>
      </c>
      <c r="P476" s="98" t="n"/>
      <c r="Q476" s="98" t="n"/>
      <c r="R476" s="98" t="n"/>
      <c r="S476" s="98" t="n"/>
      <c r="T476" s="98" t="n"/>
      <c r="U476" s="89">
        <f>IF($K476="","",SUM($R476:$T476))</f>
        <v/>
      </c>
      <c r="V476" s="89">
        <f>IF($K476="","",$M476-(N($N476)+N($O476)+IF($P476="",Setup!$B$17,$P476)+N($Q476))-N($U476))</f>
        <v/>
      </c>
      <c r="W476" s="94" t="n"/>
      <c r="X476" s="95" t="n"/>
      <c r="Z476" s="92">
        <f>IF($A476="","",DATE(YEAR($A476),MONTH($A476),1))</f>
        <v/>
      </c>
    </row>
    <row r="477">
      <c r="A477" s="85" t="n"/>
      <c r="B477" s="86" t="n"/>
      <c r="C477" s="86" t="n"/>
      <c r="D477" s="87" t="n"/>
      <c r="E477" s="87" t="n"/>
      <c r="F477" s="87" t="n"/>
      <c r="G477" s="87" t="n"/>
      <c r="H477" s="88" t="n"/>
      <c r="I477" s="89">
        <f>IF($G477="","",IF($F477="",IFERROR(INDEX(Setup!$C$21:$C$60,MATCH("|"&amp;UPPER(TRIM($G477)),Setup!$Q$21:$Q$60,0)),"NO RATE"),IFERROR(INDEX(Setup!$C$21:$C$60,MATCH(UPPER(TRIM($F477))&amp;"|"&amp;UPPER(TRIM($G477)),Setup!$P$21:$P$60,0)),IFERROR(INDEX(Setup!$C$21:$C$60,MATCH(UPPER(TRIM($G477))&amp;"|"&amp;UPPER(TRIM($F477)),Setup!$P$21:$P$60,0)),"NO RATE"))))</f>
        <v/>
      </c>
      <c r="J477" s="90" t="n"/>
      <c r="K477" s="89">
        <f>IF(OR($G477="",$H477="",NOT(ISNUMBER($I477))),"",ROUND($H477*$I477*(1+IF($J477="",Setup!$B$16,$J477)),2))</f>
        <v/>
      </c>
      <c r="L477" s="89">
        <f>IF($K477="","",ROUND($K477*Setup!$B$13,2))</f>
        <v/>
      </c>
      <c r="M477" s="89">
        <f>IF($K477="","",$K477-$L477)</f>
        <v/>
      </c>
      <c r="N477" s="89">
        <f>IF(OR($M477="",$D477=""),"",ROUND($M477*IFERROR(IF(VLOOKUP($D477,Setup!$A$76:$C$87,3,FALSE)="",Setup!$B$14,VLOOKUP($D477,Setup!$A$76:$C$87,3,FALSE)),Setup!$B$14),2))</f>
        <v/>
      </c>
      <c r="O477" s="89">
        <f>IF(OR($M477="",$E477=""),"",ROUND($M477*IFERROR(IF(VLOOKUP($E477,Setup!$A$76:$C$87,3,FALSE)="",Setup!$B$15,VLOOKUP($E477,Setup!$A$76:$C$87,3,FALSE)),Setup!$B$15),2))</f>
        <v/>
      </c>
      <c r="P477" s="91" t="n"/>
      <c r="Q477" s="91" t="n"/>
      <c r="R477" s="91" t="n"/>
      <c r="S477" s="91" t="n"/>
      <c r="T477" s="91" t="n"/>
      <c r="U477" s="89">
        <f>IF($K477="","",SUM($R477:$T477))</f>
        <v/>
      </c>
      <c r="V477" s="89">
        <f>IF($K477="","",$M477-(N($N477)+N($O477)+IF($P477="",Setup!$B$17,$P477)+N($Q477))-N($U477))</f>
        <v/>
      </c>
      <c r="W477" s="86" t="n"/>
      <c r="X477" s="87" t="n"/>
      <c r="Z477" s="92">
        <f>IF($A477="","",DATE(YEAR($A477),MONTH($A477),1))</f>
        <v/>
      </c>
    </row>
    <row r="478">
      <c r="A478" s="93" t="n"/>
      <c r="B478" s="94" t="n"/>
      <c r="C478" s="94" t="n"/>
      <c r="D478" s="95" t="n"/>
      <c r="E478" s="95" t="n"/>
      <c r="F478" s="95" t="n"/>
      <c r="G478" s="95" t="n"/>
      <c r="H478" s="96" t="n"/>
      <c r="I478" s="89">
        <f>IF($G478="","",IF($F478="",IFERROR(INDEX(Setup!$C$21:$C$60,MATCH("|"&amp;UPPER(TRIM($G478)),Setup!$Q$21:$Q$60,0)),"NO RATE"),IFERROR(INDEX(Setup!$C$21:$C$60,MATCH(UPPER(TRIM($F478))&amp;"|"&amp;UPPER(TRIM($G478)),Setup!$P$21:$P$60,0)),IFERROR(INDEX(Setup!$C$21:$C$60,MATCH(UPPER(TRIM($G478))&amp;"|"&amp;UPPER(TRIM($F478)),Setup!$P$21:$P$60,0)),"NO RATE"))))</f>
        <v/>
      </c>
      <c r="J478" s="97" t="n"/>
      <c r="K478" s="89">
        <f>IF(OR($G478="",$H478="",NOT(ISNUMBER($I478))),"",ROUND($H478*$I478*(1+IF($J478="",Setup!$B$16,$J478)),2))</f>
        <v/>
      </c>
      <c r="L478" s="89">
        <f>IF($K478="","",ROUND($K478*Setup!$B$13,2))</f>
        <v/>
      </c>
      <c r="M478" s="89">
        <f>IF($K478="","",$K478-$L478)</f>
        <v/>
      </c>
      <c r="N478" s="89">
        <f>IF(OR($M478="",$D478=""),"",ROUND($M478*IFERROR(IF(VLOOKUP($D478,Setup!$A$76:$C$87,3,FALSE)="",Setup!$B$14,VLOOKUP($D478,Setup!$A$76:$C$87,3,FALSE)),Setup!$B$14),2))</f>
        <v/>
      </c>
      <c r="O478" s="89">
        <f>IF(OR($M478="",$E478=""),"",ROUND($M478*IFERROR(IF(VLOOKUP($E478,Setup!$A$76:$C$87,3,FALSE)="",Setup!$B$15,VLOOKUP($E478,Setup!$A$76:$C$87,3,FALSE)),Setup!$B$15),2))</f>
        <v/>
      </c>
      <c r="P478" s="98" t="n"/>
      <c r="Q478" s="98" t="n"/>
      <c r="R478" s="98" t="n"/>
      <c r="S478" s="98" t="n"/>
      <c r="T478" s="98" t="n"/>
      <c r="U478" s="89">
        <f>IF($K478="","",SUM($R478:$T478))</f>
        <v/>
      </c>
      <c r="V478" s="89">
        <f>IF($K478="","",$M478-(N($N478)+N($O478)+IF($P478="",Setup!$B$17,$P478)+N($Q478))-N($U478))</f>
        <v/>
      </c>
      <c r="W478" s="94" t="n"/>
      <c r="X478" s="95" t="n"/>
      <c r="Z478" s="92">
        <f>IF($A478="","",DATE(YEAR($A478),MONTH($A478),1))</f>
        <v/>
      </c>
    </row>
    <row r="479">
      <c r="A479" s="85" t="n"/>
      <c r="B479" s="86" t="n"/>
      <c r="C479" s="86" t="n"/>
      <c r="D479" s="87" t="n"/>
      <c r="E479" s="87" t="n"/>
      <c r="F479" s="87" t="n"/>
      <c r="G479" s="87" t="n"/>
      <c r="H479" s="88" t="n"/>
      <c r="I479" s="89">
        <f>IF($G479="","",IF($F479="",IFERROR(INDEX(Setup!$C$21:$C$60,MATCH("|"&amp;UPPER(TRIM($G479)),Setup!$Q$21:$Q$60,0)),"NO RATE"),IFERROR(INDEX(Setup!$C$21:$C$60,MATCH(UPPER(TRIM($F479))&amp;"|"&amp;UPPER(TRIM($G479)),Setup!$P$21:$P$60,0)),IFERROR(INDEX(Setup!$C$21:$C$60,MATCH(UPPER(TRIM($G479))&amp;"|"&amp;UPPER(TRIM($F479)),Setup!$P$21:$P$60,0)),"NO RATE"))))</f>
        <v/>
      </c>
      <c r="J479" s="90" t="n"/>
      <c r="K479" s="89">
        <f>IF(OR($G479="",$H479="",NOT(ISNUMBER($I479))),"",ROUND($H479*$I479*(1+IF($J479="",Setup!$B$16,$J479)),2))</f>
        <v/>
      </c>
      <c r="L479" s="89">
        <f>IF($K479="","",ROUND($K479*Setup!$B$13,2))</f>
        <v/>
      </c>
      <c r="M479" s="89">
        <f>IF($K479="","",$K479-$L479)</f>
        <v/>
      </c>
      <c r="N479" s="89">
        <f>IF(OR($M479="",$D479=""),"",ROUND($M479*IFERROR(IF(VLOOKUP($D479,Setup!$A$76:$C$87,3,FALSE)="",Setup!$B$14,VLOOKUP($D479,Setup!$A$76:$C$87,3,FALSE)),Setup!$B$14),2))</f>
        <v/>
      </c>
      <c r="O479" s="89">
        <f>IF(OR($M479="",$E479=""),"",ROUND($M479*IFERROR(IF(VLOOKUP($E479,Setup!$A$76:$C$87,3,FALSE)="",Setup!$B$15,VLOOKUP($E479,Setup!$A$76:$C$87,3,FALSE)),Setup!$B$15),2))</f>
        <v/>
      </c>
      <c r="P479" s="91" t="n"/>
      <c r="Q479" s="91" t="n"/>
      <c r="R479" s="91" t="n"/>
      <c r="S479" s="91" t="n"/>
      <c r="T479" s="91" t="n"/>
      <c r="U479" s="89">
        <f>IF($K479="","",SUM($R479:$T479))</f>
        <v/>
      </c>
      <c r="V479" s="89">
        <f>IF($K479="","",$M479-(N($N479)+N($O479)+IF($P479="",Setup!$B$17,$P479)+N($Q479))-N($U479))</f>
        <v/>
      </c>
      <c r="W479" s="86" t="n"/>
      <c r="X479" s="87" t="n"/>
      <c r="Z479" s="92">
        <f>IF($A479="","",DATE(YEAR($A479),MONTH($A479),1))</f>
        <v/>
      </c>
    </row>
    <row r="480">
      <c r="A480" s="93" t="n"/>
      <c r="B480" s="94" t="n"/>
      <c r="C480" s="94" t="n"/>
      <c r="D480" s="95" t="n"/>
      <c r="E480" s="95" t="n"/>
      <c r="F480" s="95" t="n"/>
      <c r="G480" s="95" t="n"/>
      <c r="H480" s="96" t="n"/>
      <c r="I480" s="89">
        <f>IF($G480="","",IF($F480="",IFERROR(INDEX(Setup!$C$21:$C$60,MATCH("|"&amp;UPPER(TRIM($G480)),Setup!$Q$21:$Q$60,0)),"NO RATE"),IFERROR(INDEX(Setup!$C$21:$C$60,MATCH(UPPER(TRIM($F480))&amp;"|"&amp;UPPER(TRIM($G480)),Setup!$P$21:$P$60,0)),IFERROR(INDEX(Setup!$C$21:$C$60,MATCH(UPPER(TRIM($G480))&amp;"|"&amp;UPPER(TRIM($F480)),Setup!$P$21:$P$60,0)),"NO RATE"))))</f>
        <v/>
      </c>
      <c r="J480" s="97" t="n"/>
      <c r="K480" s="89">
        <f>IF(OR($G480="",$H480="",NOT(ISNUMBER($I480))),"",ROUND($H480*$I480*(1+IF($J480="",Setup!$B$16,$J480)),2))</f>
        <v/>
      </c>
      <c r="L480" s="89">
        <f>IF($K480="","",ROUND($K480*Setup!$B$13,2))</f>
        <v/>
      </c>
      <c r="M480" s="89">
        <f>IF($K480="","",$K480-$L480)</f>
        <v/>
      </c>
      <c r="N480" s="89">
        <f>IF(OR($M480="",$D480=""),"",ROUND($M480*IFERROR(IF(VLOOKUP($D480,Setup!$A$76:$C$87,3,FALSE)="",Setup!$B$14,VLOOKUP($D480,Setup!$A$76:$C$87,3,FALSE)),Setup!$B$14),2))</f>
        <v/>
      </c>
      <c r="O480" s="89">
        <f>IF(OR($M480="",$E480=""),"",ROUND($M480*IFERROR(IF(VLOOKUP($E480,Setup!$A$76:$C$87,3,FALSE)="",Setup!$B$15,VLOOKUP($E480,Setup!$A$76:$C$87,3,FALSE)),Setup!$B$15),2))</f>
        <v/>
      </c>
      <c r="P480" s="98" t="n"/>
      <c r="Q480" s="98" t="n"/>
      <c r="R480" s="98" t="n"/>
      <c r="S480" s="98" t="n"/>
      <c r="T480" s="98" t="n"/>
      <c r="U480" s="89">
        <f>IF($K480="","",SUM($R480:$T480))</f>
        <v/>
      </c>
      <c r="V480" s="89">
        <f>IF($K480="","",$M480-(N($N480)+N($O480)+IF($P480="",Setup!$B$17,$P480)+N($Q480))-N($U480))</f>
        <v/>
      </c>
      <c r="W480" s="94" t="n"/>
      <c r="X480" s="95" t="n"/>
      <c r="Z480" s="92">
        <f>IF($A480="","",DATE(YEAR($A480),MONTH($A480),1))</f>
        <v/>
      </c>
    </row>
    <row r="481">
      <c r="A481" s="85" t="n"/>
      <c r="B481" s="86" t="n"/>
      <c r="C481" s="86" t="n"/>
      <c r="D481" s="87" t="n"/>
      <c r="E481" s="87" t="n"/>
      <c r="F481" s="87" t="n"/>
      <c r="G481" s="87" t="n"/>
      <c r="H481" s="88" t="n"/>
      <c r="I481" s="89">
        <f>IF($G481="","",IF($F481="",IFERROR(INDEX(Setup!$C$21:$C$60,MATCH("|"&amp;UPPER(TRIM($G481)),Setup!$Q$21:$Q$60,0)),"NO RATE"),IFERROR(INDEX(Setup!$C$21:$C$60,MATCH(UPPER(TRIM($F481))&amp;"|"&amp;UPPER(TRIM($G481)),Setup!$P$21:$P$60,0)),IFERROR(INDEX(Setup!$C$21:$C$60,MATCH(UPPER(TRIM($G481))&amp;"|"&amp;UPPER(TRIM($F481)),Setup!$P$21:$P$60,0)),"NO RATE"))))</f>
        <v/>
      </c>
      <c r="J481" s="90" t="n"/>
      <c r="K481" s="89">
        <f>IF(OR($G481="",$H481="",NOT(ISNUMBER($I481))),"",ROUND($H481*$I481*(1+IF($J481="",Setup!$B$16,$J481)),2))</f>
        <v/>
      </c>
      <c r="L481" s="89">
        <f>IF($K481="","",ROUND($K481*Setup!$B$13,2))</f>
        <v/>
      </c>
      <c r="M481" s="89">
        <f>IF($K481="","",$K481-$L481)</f>
        <v/>
      </c>
      <c r="N481" s="89">
        <f>IF(OR($M481="",$D481=""),"",ROUND($M481*IFERROR(IF(VLOOKUP($D481,Setup!$A$76:$C$87,3,FALSE)="",Setup!$B$14,VLOOKUP($D481,Setup!$A$76:$C$87,3,FALSE)),Setup!$B$14),2))</f>
        <v/>
      </c>
      <c r="O481" s="89">
        <f>IF(OR($M481="",$E481=""),"",ROUND($M481*IFERROR(IF(VLOOKUP($E481,Setup!$A$76:$C$87,3,FALSE)="",Setup!$B$15,VLOOKUP($E481,Setup!$A$76:$C$87,3,FALSE)),Setup!$B$15),2))</f>
        <v/>
      </c>
      <c r="P481" s="91" t="n"/>
      <c r="Q481" s="91" t="n"/>
      <c r="R481" s="91" t="n"/>
      <c r="S481" s="91" t="n"/>
      <c r="T481" s="91" t="n"/>
      <c r="U481" s="89">
        <f>IF($K481="","",SUM($R481:$T481))</f>
        <v/>
      </c>
      <c r="V481" s="89">
        <f>IF($K481="","",$M481-(N($N481)+N($O481)+IF($P481="",Setup!$B$17,$P481)+N($Q481))-N($U481))</f>
        <v/>
      </c>
      <c r="W481" s="86" t="n"/>
      <c r="X481" s="87" t="n"/>
      <c r="Z481" s="92">
        <f>IF($A481="","",DATE(YEAR($A481),MONTH($A481),1))</f>
        <v/>
      </c>
    </row>
    <row r="482">
      <c r="A482" s="93" t="n"/>
      <c r="B482" s="94" t="n"/>
      <c r="C482" s="94" t="n"/>
      <c r="D482" s="95" t="n"/>
      <c r="E482" s="95" t="n"/>
      <c r="F482" s="95" t="n"/>
      <c r="G482" s="95" t="n"/>
      <c r="H482" s="96" t="n"/>
      <c r="I482" s="89">
        <f>IF($G482="","",IF($F482="",IFERROR(INDEX(Setup!$C$21:$C$60,MATCH("|"&amp;UPPER(TRIM($G482)),Setup!$Q$21:$Q$60,0)),"NO RATE"),IFERROR(INDEX(Setup!$C$21:$C$60,MATCH(UPPER(TRIM($F482))&amp;"|"&amp;UPPER(TRIM($G482)),Setup!$P$21:$P$60,0)),IFERROR(INDEX(Setup!$C$21:$C$60,MATCH(UPPER(TRIM($G482))&amp;"|"&amp;UPPER(TRIM($F482)),Setup!$P$21:$P$60,0)),"NO RATE"))))</f>
        <v/>
      </c>
      <c r="J482" s="97" t="n"/>
      <c r="K482" s="89">
        <f>IF(OR($G482="",$H482="",NOT(ISNUMBER($I482))),"",ROUND($H482*$I482*(1+IF($J482="",Setup!$B$16,$J482)),2))</f>
        <v/>
      </c>
      <c r="L482" s="89">
        <f>IF($K482="","",ROUND($K482*Setup!$B$13,2))</f>
        <v/>
      </c>
      <c r="M482" s="89">
        <f>IF($K482="","",$K482-$L482)</f>
        <v/>
      </c>
      <c r="N482" s="89">
        <f>IF(OR($M482="",$D482=""),"",ROUND($M482*IFERROR(IF(VLOOKUP($D482,Setup!$A$76:$C$87,3,FALSE)="",Setup!$B$14,VLOOKUP($D482,Setup!$A$76:$C$87,3,FALSE)),Setup!$B$14),2))</f>
        <v/>
      </c>
      <c r="O482" s="89">
        <f>IF(OR($M482="",$E482=""),"",ROUND($M482*IFERROR(IF(VLOOKUP($E482,Setup!$A$76:$C$87,3,FALSE)="",Setup!$B$15,VLOOKUP($E482,Setup!$A$76:$C$87,3,FALSE)),Setup!$B$15),2))</f>
        <v/>
      </c>
      <c r="P482" s="98" t="n"/>
      <c r="Q482" s="98" t="n"/>
      <c r="R482" s="98" t="n"/>
      <c r="S482" s="98" t="n"/>
      <c r="T482" s="98" t="n"/>
      <c r="U482" s="89">
        <f>IF($K482="","",SUM($R482:$T482))</f>
        <v/>
      </c>
      <c r="V482" s="89">
        <f>IF($K482="","",$M482-(N($N482)+N($O482)+IF($P482="",Setup!$B$17,$P482)+N($Q482))-N($U482))</f>
        <v/>
      </c>
      <c r="W482" s="94" t="n"/>
      <c r="X482" s="95" t="n"/>
      <c r="Z482" s="92">
        <f>IF($A482="","",DATE(YEAR($A482),MONTH($A482),1))</f>
        <v/>
      </c>
    </row>
    <row r="483">
      <c r="A483" s="85" t="n"/>
      <c r="B483" s="86" t="n"/>
      <c r="C483" s="86" t="n"/>
      <c r="D483" s="87" t="n"/>
      <c r="E483" s="87" t="n"/>
      <c r="F483" s="87" t="n"/>
      <c r="G483" s="87" t="n"/>
      <c r="H483" s="88" t="n"/>
      <c r="I483" s="89">
        <f>IF($G483="","",IF($F483="",IFERROR(INDEX(Setup!$C$21:$C$60,MATCH("|"&amp;UPPER(TRIM($G483)),Setup!$Q$21:$Q$60,0)),"NO RATE"),IFERROR(INDEX(Setup!$C$21:$C$60,MATCH(UPPER(TRIM($F483))&amp;"|"&amp;UPPER(TRIM($G483)),Setup!$P$21:$P$60,0)),IFERROR(INDEX(Setup!$C$21:$C$60,MATCH(UPPER(TRIM($G483))&amp;"|"&amp;UPPER(TRIM($F483)),Setup!$P$21:$P$60,0)),"NO RATE"))))</f>
        <v/>
      </c>
      <c r="J483" s="90" t="n"/>
      <c r="K483" s="89">
        <f>IF(OR($G483="",$H483="",NOT(ISNUMBER($I483))),"",ROUND($H483*$I483*(1+IF($J483="",Setup!$B$16,$J483)),2))</f>
        <v/>
      </c>
      <c r="L483" s="89">
        <f>IF($K483="","",ROUND($K483*Setup!$B$13,2))</f>
        <v/>
      </c>
      <c r="M483" s="89">
        <f>IF($K483="","",$K483-$L483)</f>
        <v/>
      </c>
      <c r="N483" s="89">
        <f>IF(OR($M483="",$D483=""),"",ROUND($M483*IFERROR(IF(VLOOKUP($D483,Setup!$A$76:$C$87,3,FALSE)="",Setup!$B$14,VLOOKUP($D483,Setup!$A$76:$C$87,3,FALSE)),Setup!$B$14),2))</f>
        <v/>
      </c>
      <c r="O483" s="89">
        <f>IF(OR($M483="",$E483=""),"",ROUND($M483*IFERROR(IF(VLOOKUP($E483,Setup!$A$76:$C$87,3,FALSE)="",Setup!$B$15,VLOOKUP($E483,Setup!$A$76:$C$87,3,FALSE)),Setup!$B$15),2))</f>
        <v/>
      </c>
      <c r="P483" s="91" t="n"/>
      <c r="Q483" s="91" t="n"/>
      <c r="R483" s="91" t="n"/>
      <c r="S483" s="91" t="n"/>
      <c r="T483" s="91" t="n"/>
      <c r="U483" s="89">
        <f>IF($K483="","",SUM($R483:$T483))</f>
        <v/>
      </c>
      <c r="V483" s="89">
        <f>IF($K483="","",$M483-(N($N483)+N($O483)+IF($P483="",Setup!$B$17,$P483)+N($Q483))-N($U483))</f>
        <v/>
      </c>
      <c r="W483" s="86" t="n"/>
      <c r="X483" s="87" t="n"/>
      <c r="Z483" s="92">
        <f>IF($A483="","",DATE(YEAR($A483),MONTH($A483),1))</f>
        <v/>
      </c>
    </row>
    <row r="484">
      <c r="A484" s="93" t="n"/>
      <c r="B484" s="94" t="n"/>
      <c r="C484" s="94" t="n"/>
      <c r="D484" s="95" t="n"/>
      <c r="E484" s="95" t="n"/>
      <c r="F484" s="95" t="n"/>
      <c r="G484" s="95" t="n"/>
      <c r="H484" s="96" t="n"/>
      <c r="I484" s="89">
        <f>IF($G484="","",IF($F484="",IFERROR(INDEX(Setup!$C$21:$C$60,MATCH("|"&amp;UPPER(TRIM($G484)),Setup!$Q$21:$Q$60,0)),"NO RATE"),IFERROR(INDEX(Setup!$C$21:$C$60,MATCH(UPPER(TRIM($F484))&amp;"|"&amp;UPPER(TRIM($G484)),Setup!$P$21:$P$60,0)),IFERROR(INDEX(Setup!$C$21:$C$60,MATCH(UPPER(TRIM($G484))&amp;"|"&amp;UPPER(TRIM($F484)),Setup!$P$21:$P$60,0)),"NO RATE"))))</f>
        <v/>
      </c>
      <c r="J484" s="97" t="n"/>
      <c r="K484" s="89">
        <f>IF(OR($G484="",$H484="",NOT(ISNUMBER($I484))),"",ROUND($H484*$I484*(1+IF($J484="",Setup!$B$16,$J484)),2))</f>
        <v/>
      </c>
      <c r="L484" s="89">
        <f>IF($K484="","",ROUND($K484*Setup!$B$13,2))</f>
        <v/>
      </c>
      <c r="M484" s="89">
        <f>IF($K484="","",$K484-$L484)</f>
        <v/>
      </c>
      <c r="N484" s="89">
        <f>IF(OR($M484="",$D484=""),"",ROUND($M484*IFERROR(IF(VLOOKUP($D484,Setup!$A$76:$C$87,3,FALSE)="",Setup!$B$14,VLOOKUP($D484,Setup!$A$76:$C$87,3,FALSE)),Setup!$B$14),2))</f>
        <v/>
      </c>
      <c r="O484" s="89">
        <f>IF(OR($M484="",$E484=""),"",ROUND($M484*IFERROR(IF(VLOOKUP($E484,Setup!$A$76:$C$87,3,FALSE)="",Setup!$B$15,VLOOKUP($E484,Setup!$A$76:$C$87,3,FALSE)),Setup!$B$15),2))</f>
        <v/>
      </c>
      <c r="P484" s="98" t="n"/>
      <c r="Q484" s="98" t="n"/>
      <c r="R484" s="98" t="n"/>
      <c r="S484" s="98" t="n"/>
      <c r="T484" s="98" t="n"/>
      <c r="U484" s="89">
        <f>IF($K484="","",SUM($R484:$T484))</f>
        <v/>
      </c>
      <c r="V484" s="89">
        <f>IF($K484="","",$M484-(N($N484)+N($O484)+IF($P484="",Setup!$B$17,$P484)+N($Q484))-N($U484))</f>
        <v/>
      </c>
      <c r="W484" s="94" t="n"/>
      <c r="X484" s="95" t="n"/>
      <c r="Z484" s="92">
        <f>IF($A484="","",DATE(YEAR($A484),MONTH($A484),1))</f>
        <v/>
      </c>
    </row>
    <row r="485">
      <c r="A485" s="85" t="n"/>
      <c r="B485" s="86" t="n"/>
      <c r="C485" s="86" t="n"/>
      <c r="D485" s="87" t="n"/>
      <c r="E485" s="87" t="n"/>
      <c r="F485" s="87" t="n"/>
      <c r="G485" s="87" t="n"/>
      <c r="H485" s="88" t="n"/>
      <c r="I485" s="89">
        <f>IF($G485="","",IF($F485="",IFERROR(INDEX(Setup!$C$21:$C$60,MATCH("|"&amp;UPPER(TRIM($G485)),Setup!$Q$21:$Q$60,0)),"NO RATE"),IFERROR(INDEX(Setup!$C$21:$C$60,MATCH(UPPER(TRIM($F485))&amp;"|"&amp;UPPER(TRIM($G485)),Setup!$P$21:$P$60,0)),IFERROR(INDEX(Setup!$C$21:$C$60,MATCH(UPPER(TRIM($G485))&amp;"|"&amp;UPPER(TRIM($F485)),Setup!$P$21:$P$60,0)),"NO RATE"))))</f>
        <v/>
      </c>
      <c r="J485" s="90" t="n"/>
      <c r="K485" s="89">
        <f>IF(OR($G485="",$H485="",NOT(ISNUMBER($I485))),"",ROUND($H485*$I485*(1+IF($J485="",Setup!$B$16,$J485)),2))</f>
        <v/>
      </c>
      <c r="L485" s="89">
        <f>IF($K485="","",ROUND($K485*Setup!$B$13,2))</f>
        <v/>
      </c>
      <c r="M485" s="89">
        <f>IF($K485="","",$K485-$L485)</f>
        <v/>
      </c>
      <c r="N485" s="89">
        <f>IF(OR($M485="",$D485=""),"",ROUND($M485*IFERROR(IF(VLOOKUP($D485,Setup!$A$76:$C$87,3,FALSE)="",Setup!$B$14,VLOOKUP($D485,Setup!$A$76:$C$87,3,FALSE)),Setup!$B$14),2))</f>
        <v/>
      </c>
      <c r="O485" s="89">
        <f>IF(OR($M485="",$E485=""),"",ROUND($M485*IFERROR(IF(VLOOKUP($E485,Setup!$A$76:$C$87,3,FALSE)="",Setup!$B$15,VLOOKUP($E485,Setup!$A$76:$C$87,3,FALSE)),Setup!$B$15),2))</f>
        <v/>
      </c>
      <c r="P485" s="91" t="n"/>
      <c r="Q485" s="91" t="n"/>
      <c r="R485" s="91" t="n"/>
      <c r="S485" s="91" t="n"/>
      <c r="T485" s="91" t="n"/>
      <c r="U485" s="89">
        <f>IF($K485="","",SUM($R485:$T485))</f>
        <v/>
      </c>
      <c r="V485" s="89">
        <f>IF($K485="","",$M485-(N($N485)+N($O485)+IF($P485="",Setup!$B$17,$P485)+N($Q485))-N($U485))</f>
        <v/>
      </c>
      <c r="W485" s="86" t="n"/>
      <c r="X485" s="87" t="n"/>
      <c r="Z485" s="92">
        <f>IF($A485="","",DATE(YEAR($A485),MONTH($A485),1))</f>
        <v/>
      </c>
    </row>
    <row r="486">
      <c r="A486" s="93" t="n"/>
      <c r="B486" s="94" t="n"/>
      <c r="C486" s="94" t="n"/>
      <c r="D486" s="95" t="n"/>
      <c r="E486" s="95" t="n"/>
      <c r="F486" s="95" t="n"/>
      <c r="G486" s="95" t="n"/>
      <c r="H486" s="96" t="n"/>
      <c r="I486" s="89">
        <f>IF($G486="","",IF($F486="",IFERROR(INDEX(Setup!$C$21:$C$60,MATCH("|"&amp;UPPER(TRIM($G486)),Setup!$Q$21:$Q$60,0)),"NO RATE"),IFERROR(INDEX(Setup!$C$21:$C$60,MATCH(UPPER(TRIM($F486))&amp;"|"&amp;UPPER(TRIM($G486)),Setup!$P$21:$P$60,0)),IFERROR(INDEX(Setup!$C$21:$C$60,MATCH(UPPER(TRIM($G486))&amp;"|"&amp;UPPER(TRIM($F486)),Setup!$P$21:$P$60,0)),"NO RATE"))))</f>
        <v/>
      </c>
      <c r="J486" s="97" t="n"/>
      <c r="K486" s="89">
        <f>IF(OR($G486="",$H486="",NOT(ISNUMBER($I486))),"",ROUND($H486*$I486*(1+IF($J486="",Setup!$B$16,$J486)),2))</f>
        <v/>
      </c>
      <c r="L486" s="89">
        <f>IF($K486="","",ROUND($K486*Setup!$B$13,2))</f>
        <v/>
      </c>
      <c r="M486" s="89">
        <f>IF($K486="","",$K486-$L486)</f>
        <v/>
      </c>
      <c r="N486" s="89">
        <f>IF(OR($M486="",$D486=""),"",ROUND($M486*IFERROR(IF(VLOOKUP($D486,Setup!$A$76:$C$87,3,FALSE)="",Setup!$B$14,VLOOKUP($D486,Setup!$A$76:$C$87,3,FALSE)),Setup!$B$14),2))</f>
        <v/>
      </c>
      <c r="O486" s="89">
        <f>IF(OR($M486="",$E486=""),"",ROUND($M486*IFERROR(IF(VLOOKUP($E486,Setup!$A$76:$C$87,3,FALSE)="",Setup!$B$15,VLOOKUP($E486,Setup!$A$76:$C$87,3,FALSE)),Setup!$B$15),2))</f>
        <v/>
      </c>
      <c r="P486" s="98" t="n"/>
      <c r="Q486" s="98" t="n"/>
      <c r="R486" s="98" t="n"/>
      <c r="S486" s="98" t="n"/>
      <c r="T486" s="98" t="n"/>
      <c r="U486" s="89">
        <f>IF($K486="","",SUM($R486:$T486))</f>
        <v/>
      </c>
      <c r="V486" s="89">
        <f>IF($K486="","",$M486-(N($N486)+N($O486)+IF($P486="",Setup!$B$17,$P486)+N($Q486))-N($U486))</f>
        <v/>
      </c>
      <c r="W486" s="94" t="n"/>
      <c r="X486" s="95" t="n"/>
      <c r="Z486" s="92">
        <f>IF($A486="","",DATE(YEAR($A486),MONTH($A486),1))</f>
        <v/>
      </c>
    </row>
    <row r="487">
      <c r="A487" s="85" t="n"/>
      <c r="B487" s="86" t="n"/>
      <c r="C487" s="86" t="n"/>
      <c r="D487" s="87" t="n"/>
      <c r="E487" s="87" t="n"/>
      <c r="F487" s="87" t="n"/>
      <c r="G487" s="87" t="n"/>
      <c r="H487" s="88" t="n"/>
      <c r="I487" s="89">
        <f>IF($G487="","",IF($F487="",IFERROR(INDEX(Setup!$C$21:$C$60,MATCH("|"&amp;UPPER(TRIM($G487)),Setup!$Q$21:$Q$60,0)),"NO RATE"),IFERROR(INDEX(Setup!$C$21:$C$60,MATCH(UPPER(TRIM($F487))&amp;"|"&amp;UPPER(TRIM($G487)),Setup!$P$21:$P$60,0)),IFERROR(INDEX(Setup!$C$21:$C$60,MATCH(UPPER(TRIM($G487))&amp;"|"&amp;UPPER(TRIM($F487)),Setup!$P$21:$P$60,0)),"NO RATE"))))</f>
        <v/>
      </c>
      <c r="J487" s="90" t="n"/>
      <c r="K487" s="89">
        <f>IF(OR($G487="",$H487="",NOT(ISNUMBER($I487))),"",ROUND($H487*$I487*(1+IF($J487="",Setup!$B$16,$J487)),2))</f>
        <v/>
      </c>
      <c r="L487" s="89">
        <f>IF($K487="","",ROUND($K487*Setup!$B$13,2))</f>
        <v/>
      </c>
      <c r="M487" s="89">
        <f>IF($K487="","",$K487-$L487)</f>
        <v/>
      </c>
      <c r="N487" s="89">
        <f>IF(OR($M487="",$D487=""),"",ROUND($M487*IFERROR(IF(VLOOKUP($D487,Setup!$A$76:$C$87,3,FALSE)="",Setup!$B$14,VLOOKUP($D487,Setup!$A$76:$C$87,3,FALSE)),Setup!$B$14),2))</f>
        <v/>
      </c>
      <c r="O487" s="89">
        <f>IF(OR($M487="",$E487=""),"",ROUND($M487*IFERROR(IF(VLOOKUP($E487,Setup!$A$76:$C$87,3,FALSE)="",Setup!$B$15,VLOOKUP($E487,Setup!$A$76:$C$87,3,FALSE)),Setup!$B$15),2))</f>
        <v/>
      </c>
      <c r="P487" s="91" t="n"/>
      <c r="Q487" s="91" t="n"/>
      <c r="R487" s="91" t="n"/>
      <c r="S487" s="91" t="n"/>
      <c r="T487" s="91" t="n"/>
      <c r="U487" s="89">
        <f>IF($K487="","",SUM($R487:$T487))</f>
        <v/>
      </c>
      <c r="V487" s="89">
        <f>IF($K487="","",$M487-(N($N487)+N($O487)+IF($P487="",Setup!$B$17,$P487)+N($Q487))-N($U487))</f>
        <v/>
      </c>
      <c r="W487" s="86" t="n"/>
      <c r="X487" s="87" t="n"/>
      <c r="Z487" s="92">
        <f>IF($A487="","",DATE(YEAR($A487),MONTH($A487),1))</f>
        <v/>
      </c>
    </row>
    <row r="488">
      <c r="A488" s="93" t="n"/>
      <c r="B488" s="94" t="n"/>
      <c r="C488" s="94" t="n"/>
      <c r="D488" s="95" t="n"/>
      <c r="E488" s="95" t="n"/>
      <c r="F488" s="95" t="n"/>
      <c r="G488" s="95" t="n"/>
      <c r="H488" s="96" t="n"/>
      <c r="I488" s="89">
        <f>IF($G488="","",IF($F488="",IFERROR(INDEX(Setup!$C$21:$C$60,MATCH("|"&amp;UPPER(TRIM($G488)),Setup!$Q$21:$Q$60,0)),"NO RATE"),IFERROR(INDEX(Setup!$C$21:$C$60,MATCH(UPPER(TRIM($F488))&amp;"|"&amp;UPPER(TRIM($G488)),Setup!$P$21:$P$60,0)),IFERROR(INDEX(Setup!$C$21:$C$60,MATCH(UPPER(TRIM($G488))&amp;"|"&amp;UPPER(TRIM($F488)),Setup!$P$21:$P$60,0)),"NO RATE"))))</f>
        <v/>
      </c>
      <c r="J488" s="97" t="n"/>
      <c r="K488" s="89">
        <f>IF(OR($G488="",$H488="",NOT(ISNUMBER($I488))),"",ROUND($H488*$I488*(1+IF($J488="",Setup!$B$16,$J488)),2))</f>
        <v/>
      </c>
      <c r="L488" s="89">
        <f>IF($K488="","",ROUND($K488*Setup!$B$13,2))</f>
        <v/>
      </c>
      <c r="M488" s="89">
        <f>IF($K488="","",$K488-$L488)</f>
        <v/>
      </c>
      <c r="N488" s="89">
        <f>IF(OR($M488="",$D488=""),"",ROUND($M488*IFERROR(IF(VLOOKUP($D488,Setup!$A$76:$C$87,3,FALSE)="",Setup!$B$14,VLOOKUP($D488,Setup!$A$76:$C$87,3,FALSE)),Setup!$B$14),2))</f>
        <v/>
      </c>
      <c r="O488" s="89">
        <f>IF(OR($M488="",$E488=""),"",ROUND($M488*IFERROR(IF(VLOOKUP($E488,Setup!$A$76:$C$87,3,FALSE)="",Setup!$B$15,VLOOKUP($E488,Setup!$A$76:$C$87,3,FALSE)),Setup!$B$15),2))</f>
        <v/>
      </c>
      <c r="P488" s="98" t="n"/>
      <c r="Q488" s="98" t="n"/>
      <c r="R488" s="98" t="n"/>
      <c r="S488" s="98" t="n"/>
      <c r="T488" s="98" t="n"/>
      <c r="U488" s="89">
        <f>IF($K488="","",SUM($R488:$T488))</f>
        <v/>
      </c>
      <c r="V488" s="89">
        <f>IF($K488="","",$M488-(N($N488)+N($O488)+IF($P488="",Setup!$B$17,$P488)+N($Q488))-N($U488))</f>
        <v/>
      </c>
      <c r="W488" s="94" t="n"/>
      <c r="X488" s="95" t="n"/>
      <c r="Z488" s="92">
        <f>IF($A488="","",DATE(YEAR($A488),MONTH($A488),1))</f>
        <v/>
      </c>
    </row>
    <row r="489">
      <c r="A489" s="85" t="n"/>
      <c r="B489" s="86" t="n"/>
      <c r="C489" s="86" t="n"/>
      <c r="D489" s="87" t="n"/>
      <c r="E489" s="87" t="n"/>
      <c r="F489" s="87" t="n"/>
      <c r="G489" s="87" t="n"/>
      <c r="H489" s="88" t="n"/>
      <c r="I489" s="89">
        <f>IF($G489="","",IF($F489="",IFERROR(INDEX(Setup!$C$21:$C$60,MATCH("|"&amp;UPPER(TRIM($G489)),Setup!$Q$21:$Q$60,0)),"NO RATE"),IFERROR(INDEX(Setup!$C$21:$C$60,MATCH(UPPER(TRIM($F489))&amp;"|"&amp;UPPER(TRIM($G489)),Setup!$P$21:$P$60,0)),IFERROR(INDEX(Setup!$C$21:$C$60,MATCH(UPPER(TRIM($G489))&amp;"|"&amp;UPPER(TRIM($F489)),Setup!$P$21:$P$60,0)),"NO RATE"))))</f>
        <v/>
      </c>
      <c r="J489" s="90" t="n"/>
      <c r="K489" s="89">
        <f>IF(OR($G489="",$H489="",NOT(ISNUMBER($I489))),"",ROUND($H489*$I489*(1+IF($J489="",Setup!$B$16,$J489)),2))</f>
        <v/>
      </c>
      <c r="L489" s="89">
        <f>IF($K489="","",ROUND($K489*Setup!$B$13,2))</f>
        <v/>
      </c>
      <c r="M489" s="89">
        <f>IF($K489="","",$K489-$L489)</f>
        <v/>
      </c>
      <c r="N489" s="89">
        <f>IF(OR($M489="",$D489=""),"",ROUND($M489*IFERROR(IF(VLOOKUP($D489,Setup!$A$76:$C$87,3,FALSE)="",Setup!$B$14,VLOOKUP($D489,Setup!$A$76:$C$87,3,FALSE)),Setup!$B$14),2))</f>
        <v/>
      </c>
      <c r="O489" s="89">
        <f>IF(OR($M489="",$E489=""),"",ROUND($M489*IFERROR(IF(VLOOKUP($E489,Setup!$A$76:$C$87,3,FALSE)="",Setup!$B$15,VLOOKUP($E489,Setup!$A$76:$C$87,3,FALSE)),Setup!$B$15),2))</f>
        <v/>
      </c>
      <c r="P489" s="91" t="n"/>
      <c r="Q489" s="91" t="n"/>
      <c r="R489" s="91" t="n"/>
      <c r="S489" s="91" t="n"/>
      <c r="T489" s="91" t="n"/>
      <c r="U489" s="89">
        <f>IF($K489="","",SUM($R489:$T489))</f>
        <v/>
      </c>
      <c r="V489" s="89">
        <f>IF($K489="","",$M489-(N($N489)+N($O489)+IF($P489="",Setup!$B$17,$P489)+N($Q489))-N($U489))</f>
        <v/>
      </c>
      <c r="W489" s="86" t="n"/>
      <c r="X489" s="87" t="n"/>
      <c r="Z489" s="92">
        <f>IF($A489="","",DATE(YEAR($A489),MONTH($A489),1))</f>
        <v/>
      </c>
    </row>
    <row r="490">
      <c r="A490" s="93" t="n"/>
      <c r="B490" s="94" t="n"/>
      <c r="C490" s="94" t="n"/>
      <c r="D490" s="95" t="n"/>
      <c r="E490" s="95" t="n"/>
      <c r="F490" s="95" t="n"/>
      <c r="G490" s="95" t="n"/>
      <c r="H490" s="96" t="n"/>
      <c r="I490" s="89">
        <f>IF($G490="","",IF($F490="",IFERROR(INDEX(Setup!$C$21:$C$60,MATCH("|"&amp;UPPER(TRIM($G490)),Setup!$Q$21:$Q$60,0)),"NO RATE"),IFERROR(INDEX(Setup!$C$21:$C$60,MATCH(UPPER(TRIM($F490))&amp;"|"&amp;UPPER(TRIM($G490)),Setup!$P$21:$P$60,0)),IFERROR(INDEX(Setup!$C$21:$C$60,MATCH(UPPER(TRIM($G490))&amp;"|"&amp;UPPER(TRIM($F490)),Setup!$P$21:$P$60,0)),"NO RATE"))))</f>
        <v/>
      </c>
      <c r="J490" s="97" t="n"/>
      <c r="K490" s="89">
        <f>IF(OR($G490="",$H490="",NOT(ISNUMBER($I490))),"",ROUND($H490*$I490*(1+IF($J490="",Setup!$B$16,$J490)),2))</f>
        <v/>
      </c>
      <c r="L490" s="89">
        <f>IF($K490="","",ROUND($K490*Setup!$B$13,2))</f>
        <v/>
      </c>
      <c r="M490" s="89">
        <f>IF($K490="","",$K490-$L490)</f>
        <v/>
      </c>
      <c r="N490" s="89">
        <f>IF(OR($M490="",$D490=""),"",ROUND($M490*IFERROR(IF(VLOOKUP($D490,Setup!$A$76:$C$87,3,FALSE)="",Setup!$B$14,VLOOKUP($D490,Setup!$A$76:$C$87,3,FALSE)),Setup!$B$14),2))</f>
        <v/>
      </c>
      <c r="O490" s="89">
        <f>IF(OR($M490="",$E490=""),"",ROUND($M490*IFERROR(IF(VLOOKUP($E490,Setup!$A$76:$C$87,3,FALSE)="",Setup!$B$15,VLOOKUP($E490,Setup!$A$76:$C$87,3,FALSE)),Setup!$B$15),2))</f>
        <v/>
      </c>
      <c r="P490" s="98" t="n"/>
      <c r="Q490" s="98" t="n"/>
      <c r="R490" s="98" t="n"/>
      <c r="S490" s="98" t="n"/>
      <c r="T490" s="98" t="n"/>
      <c r="U490" s="89">
        <f>IF($K490="","",SUM($R490:$T490))</f>
        <v/>
      </c>
      <c r="V490" s="89">
        <f>IF($K490="","",$M490-(N($N490)+N($O490)+IF($P490="",Setup!$B$17,$P490)+N($Q490))-N($U490))</f>
        <v/>
      </c>
      <c r="W490" s="94" t="n"/>
      <c r="X490" s="95" t="n"/>
      <c r="Z490" s="92">
        <f>IF($A490="","",DATE(YEAR($A490),MONTH($A490),1))</f>
        <v/>
      </c>
    </row>
    <row r="491">
      <c r="A491" s="85" t="n"/>
      <c r="B491" s="86" t="n"/>
      <c r="C491" s="86" t="n"/>
      <c r="D491" s="87" t="n"/>
      <c r="E491" s="87" t="n"/>
      <c r="F491" s="87" t="n"/>
      <c r="G491" s="87" t="n"/>
      <c r="H491" s="88" t="n"/>
      <c r="I491" s="89">
        <f>IF($G491="","",IF($F491="",IFERROR(INDEX(Setup!$C$21:$C$60,MATCH("|"&amp;UPPER(TRIM($G491)),Setup!$Q$21:$Q$60,0)),"NO RATE"),IFERROR(INDEX(Setup!$C$21:$C$60,MATCH(UPPER(TRIM($F491))&amp;"|"&amp;UPPER(TRIM($G491)),Setup!$P$21:$P$60,0)),IFERROR(INDEX(Setup!$C$21:$C$60,MATCH(UPPER(TRIM($G491))&amp;"|"&amp;UPPER(TRIM($F491)),Setup!$P$21:$P$60,0)),"NO RATE"))))</f>
        <v/>
      </c>
      <c r="J491" s="90" t="n"/>
      <c r="K491" s="89">
        <f>IF(OR($G491="",$H491="",NOT(ISNUMBER($I491))),"",ROUND($H491*$I491*(1+IF($J491="",Setup!$B$16,$J491)),2))</f>
        <v/>
      </c>
      <c r="L491" s="89">
        <f>IF($K491="","",ROUND($K491*Setup!$B$13,2))</f>
        <v/>
      </c>
      <c r="M491" s="89">
        <f>IF($K491="","",$K491-$L491)</f>
        <v/>
      </c>
      <c r="N491" s="89">
        <f>IF(OR($M491="",$D491=""),"",ROUND($M491*IFERROR(IF(VLOOKUP($D491,Setup!$A$76:$C$87,3,FALSE)="",Setup!$B$14,VLOOKUP($D491,Setup!$A$76:$C$87,3,FALSE)),Setup!$B$14),2))</f>
        <v/>
      </c>
      <c r="O491" s="89">
        <f>IF(OR($M491="",$E491=""),"",ROUND($M491*IFERROR(IF(VLOOKUP($E491,Setup!$A$76:$C$87,3,FALSE)="",Setup!$B$15,VLOOKUP($E491,Setup!$A$76:$C$87,3,FALSE)),Setup!$B$15),2))</f>
        <v/>
      </c>
      <c r="P491" s="91" t="n"/>
      <c r="Q491" s="91" t="n"/>
      <c r="R491" s="91" t="n"/>
      <c r="S491" s="91" t="n"/>
      <c r="T491" s="91" t="n"/>
      <c r="U491" s="89">
        <f>IF($K491="","",SUM($R491:$T491))</f>
        <v/>
      </c>
      <c r="V491" s="89">
        <f>IF($K491="","",$M491-(N($N491)+N($O491)+IF($P491="",Setup!$B$17,$P491)+N($Q491))-N($U491))</f>
        <v/>
      </c>
      <c r="W491" s="86" t="n"/>
      <c r="X491" s="87" t="n"/>
      <c r="Z491" s="92">
        <f>IF($A491="","",DATE(YEAR($A491),MONTH($A491),1))</f>
        <v/>
      </c>
    </row>
    <row r="492">
      <c r="A492" s="93" t="n"/>
      <c r="B492" s="94" t="n"/>
      <c r="C492" s="94" t="n"/>
      <c r="D492" s="95" t="n"/>
      <c r="E492" s="95" t="n"/>
      <c r="F492" s="95" t="n"/>
      <c r="G492" s="95" t="n"/>
      <c r="H492" s="96" t="n"/>
      <c r="I492" s="89">
        <f>IF($G492="","",IF($F492="",IFERROR(INDEX(Setup!$C$21:$C$60,MATCH("|"&amp;UPPER(TRIM($G492)),Setup!$Q$21:$Q$60,0)),"NO RATE"),IFERROR(INDEX(Setup!$C$21:$C$60,MATCH(UPPER(TRIM($F492))&amp;"|"&amp;UPPER(TRIM($G492)),Setup!$P$21:$P$60,0)),IFERROR(INDEX(Setup!$C$21:$C$60,MATCH(UPPER(TRIM($G492))&amp;"|"&amp;UPPER(TRIM($F492)),Setup!$P$21:$P$60,0)),"NO RATE"))))</f>
        <v/>
      </c>
      <c r="J492" s="97" t="n"/>
      <c r="K492" s="89">
        <f>IF(OR($G492="",$H492="",NOT(ISNUMBER($I492))),"",ROUND($H492*$I492*(1+IF($J492="",Setup!$B$16,$J492)),2))</f>
        <v/>
      </c>
      <c r="L492" s="89">
        <f>IF($K492="","",ROUND($K492*Setup!$B$13,2))</f>
        <v/>
      </c>
      <c r="M492" s="89">
        <f>IF($K492="","",$K492-$L492)</f>
        <v/>
      </c>
      <c r="N492" s="89">
        <f>IF(OR($M492="",$D492=""),"",ROUND($M492*IFERROR(IF(VLOOKUP($D492,Setup!$A$76:$C$87,3,FALSE)="",Setup!$B$14,VLOOKUP($D492,Setup!$A$76:$C$87,3,FALSE)),Setup!$B$14),2))</f>
        <v/>
      </c>
      <c r="O492" s="89">
        <f>IF(OR($M492="",$E492=""),"",ROUND($M492*IFERROR(IF(VLOOKUP($E492,Setup!$A$76:$C$87,3,FALSE)="",Setup!$B$15,VLOOKUP($E492,Setup!$A$76:$C$87,3,FALSE)),Setup!$B$15),2))</f>
        <v/>
      </c>
      <c r="P492" s="98" t="n"/>
      <c r="Q492" s="98" t="n"/>
      <c r="R492" s="98" t="n"/>
      <c r="S492" s="98" t="n"/>
      <c r="T492" s="98" t="n"/>
      <c r="U492" s="89">
        <f>IF($K492="","",SUM($R492:$T492))</f>
        <v/>
      </c>
      <c r="V492" s="89">
        <f>IF($K492="","",$M492-(N($N492)+N($O492)+IF($P492="",Setup!$B$17,$P492)+N($Q492))-N($U492))</f>
        <v/>
      </c>
      <c r="W492" s="94" t="n"/>
      <c r="X492" s="95" t="n"/>
      <c r="Z492" s="92">
        <f>IF($A492="","",DATE(YEAR($A492),MONTH($A492),1))</f>
        <v/>
      </c>
    </row>
    <row r="493">
      <c r="A493" s="85" t="n"/>
      <c r="B493" s="86" t="n"/>
      <c r="C493" s="86" t="n"/>
      <c r="D493" s="87" t="n"/>
      <c r="E493" s="87" t="n"/>
      <c r="F493" s="87" t="n"/>
      <c r="G493" s="87" t="n"/>
      <c r="H493" s="88" t="n"/>
      <c r="I493" s="89">
        <f>IF($G493="","",IF($F493="",IFERROR(INDEX(Setup!$C$21:$C$60,MATCH("|"&amp;UPPER(TRIM($G493)),Setup!$Q$21:$Q$60,0)),"NO RATE"),IFERROR(INDEX(Setup!$C$21:$C$60,MATCH(UPPER(TRIM($F493))&amp;"|"&amp;UPPER(TRIM($G493)),Setup!$P$21:$P$60,0)),IFERROR(INDEX(Setup!$C$21:$C$60,MATCH(UPPER(TRIM($G493))&amp;"|"&amp;UPPER(TRIM($F493)),Setup!$P$21:$P$60,0)),"NO RATE"))))</f>
        <v/>
      </c>
      <c r="J493" s="90" t="n"/>
      <c r="K493" s="89">
        <f>IF(OR($G493="",$H493="",NOT(ISNUMBER($I493))),"",ROUND($H493*$I493*(1+IF($J493="",Setup!$B$16,$J493)),2))</f>
        <v/>
      </c>
      <c r="L493" s="89">
        <f>IF($K493="","",ROUND($K493*Setup!$B$13,2))</f>
        <v/>
      </c>
      <c r="M493" s="89">
        <f>IF($K493="","",$K493-$L493)</f>
        <v/>
      </c>
      <c r="N493" s="89">
        <f>IF(OR($M493="",$D493=""),"",ROUND($M493*IFERROR(IF(VLOOKUP($D493,Setup!$A$76:$C$87,3,FALSE)="",Setup!$B$14,VLOOKUP($D493,Setup!$A$76:$C$87,3,FALSE)),Setup!$B$14),2))</f>
        <v/>
      </c>
      <c r="O493" s="89">
        <f>IF(OR($M493="",$E493=""),"",ROUND($M493*IFERROR(IF(VLOOKUP($E493,Setup!$A$76:$C$87,3,FALSE)="",Setup!$B$15,VLOOKUP($E493,Setup!$A$76:$C$87,3,FALSE)),Setup!$B$15),2))</f>
        <v/>
      </c>
      <c r="P493" s="91" t="n"/>
      <c r="Q493" s="91" t="n"/>
      <c r="R493" s="91" t="n"/>
      <c r="S493" s="91" t="n"/>
      <c r="T493" s="91" t="n"/>
      <c r="U493" s="89">
        <f>IF($K493="","",SUM($R493:$T493))</f>
        <v/>
      </c>
      <c r="V493" s="89">
        <f>IF($K493="","",$M493-(N($N493)+N($O493)+IF($P493="",Setup!$B$17,$P493)+N($Q493))-N($U493))</f>
        <v/>
      </c>
      <c r="W493" s="86" t="n"/>
      <c r="X493" s="87" t="n"/>
      <c r="Z493" s="92">
        <f>IF($A493="","",DATE(YEAR($A493),MONTH($A493),1))</f>
        <v/>
      </c>
    </row>
    <row r="494">
      <c r="A494" s="93" t="n"/>
      <c r="B494" s="94" t="n"/>
      <c r="C494" s="94" t="n"/>
      <c r="D494" s="95" t="n"/>
      <c r="E494" s="95" t="n"/>
      <c r="F494" s="95" t="n"/>
      <c r="G494" s="95" t="n"/>
      <c r="H494" s="96" t="n"/>
      <c r="I494" s="89">
        <f>IF($G494="","",IF($F494="",IFERROR(INDEX(Setup!$C$21:$C$60,MATCH("|"&amp;UPPER(TRIM($G494)),Setup!$Q$21:$Q$60,0)),"NO RATE"),IFERROR(INDEX(Setup!$C$21:$C$60,MATCH(UPPER(TRIM($F494))&amp;"|"&amp;UPPER(TRIM($G494)),Setup!$P$21:$P$60,0)),IFERROR(INDEX(Setup!$C$21:$C$60,MATCH(UPPER(TRIM($G494))&amp;"|"&amp;UPPER(TRIM($F494)),Setup!$P$21:$P$60,0)),"NO RATE"))))</f>
        <v/>
      </c>
      <c r="J494" s="97" t="n"/>
      <c r="K494" s="89">
        <f>IF(OR($G494="",$H494="",NOT(ISNUMBER($I494))),"",ROUND($H494*$I494*(1+IF($J494="",Setup!$B$16,$J494)),2))</f>
        <v/>
      </c>
      <c r="L494" s="89">
        <f>IF($K494="","",ROUND($K494*Setup!$B$13,2))</f>
        <v/>
      </c>
      <c r="M494" s="89">
        <f>IF($K494="","",$K494-$L494)</f>
        <v/>
      </c>
      <c r="N494" s="89">
        <f>IF(OR($M494="",$D494=""),"",ROUND($M494*IFERROR(IF(VLOOKUP($D494,Setup!$A$76:$C$87,3,FALSE)="",Setup!$B$14,VLOOKUP($D494,Setup!$A$76:$C$87,3,FALSE)),Setup!$B$14),2))</f>
        <v/>
      </c>
      <c r="O494" s="89">
        <f>IF(OR($M494="",$E494=""),"",ROUND($M494*IFERROR(IF(VLOOKUP($E494,Setup!$A$76:$C$87,3,FALSE)="",Setup!$B$15,VLOOKUP($E494,Setup!$A$76:$C$87,3,FALSE)),Setup!$B$15),2))</f>
        <v/>
      </c>
      <c r="P494" s="98" t="n"/>
      <c r="Q494" s="98" t="n"/>
      <c r="R494" s="98" t="n"/>
      <c r="S494" s="98" t="n"/>
      <c r="T494" s="98" t="n"/>
      <c r="U494" s="89">
        <f>IF($K494="","",SUM($R494:$T494))</f>
        <v/>
      </c>
      <c r="V494" s="89">
        <f>IF($K494="","",$M494-(N($N494)+N($O494)+IF($P494="",Setup!$B$17,$P494)+N($Q494))-N($U494))</f>
        <v/>
      </c>
      <c r="W494" s="94" t="n"/>
      <c r="X494" s="95" t="n"/>
      <c r="Z494" s="92">
        <f>IF($A494="","",DATE(YEAR($A494),MONTH($A494),1))</f>
        <v/>
      </c>
    </row>
    <row r="495">
      <c r="A495" s="85" t="n"/>
      <c r="B495" s="86" t="n"/>
      <c r="C495" s="86" t="n"/>
      <c r="D495" s="87" t="n"/>
      <c r="E495" s="87" t="n"/>
      <c r="F495" s="87" t="n"/>
      <c r="G495" s="87" t="n"/>
      <c r="H495" s="88" t="n"/>
      <c r="I495" s="89">
        <f>IF($G495="","",IF($F495="",IFERROR(INDEX(Setup!$C$21:$C$60,MATCH("|"&amp;UPPER(TRIM($G495)),Setup!$Q$21:$Q$60,0)),"NO RATE"),IFERROR(INDEX(Setup!$C$21:$C$60,MATCH(UPPER(TRIM($F495))&amp;"|"&amp;UPPER(TRIM($G495)),Setup!$P$21:$P$60,0)),IFERROR(INDEX(Setup!$C$21:$C$60,MATCH(UPPER(TRIM($G495))&amp;"|"&amp;UPPER(TRIM($F495)),Setup!$P$21:$P$60,0)),"NO RATE"))))</f>
        <v/>
      </c>
      <c r="J495" s="90" t="n"/>
      <c r="K495" s="89">
        <f>IF(OR($G495="",$H495="",NOT(ISNUMBER($I495))),"",ROUND($H495*$I495*(1+IF($J495="",Setup!$B$16,$J495)),2))</f>
        <v/>
      </c>
      <c r="L495" s="89">
        <f>IF($K495="","",ROUND($K495*Setup!$B$13,2))</f>
        <v/>
      </c>
      <c r="M495" s="89">
        <f>IF($K495="","",$K495-$L495)</f>
        <v/>
      </c>
      <c r="N495" s="89">
        <f>IF(OR($M495="",$D495=""),"",ROUND($M495*IFERROR(IF(VLOOKUP($D495,Setup!$A$76:$C$87,3,FALSE)="",Setup!$B$14,VLOOKUP($D495,Setup!$A$76:$C$87,3,FALSE)),Setup!$B$14),2))</f>
        <v/>
      </c>
      <c r="O495" s="89">
        <f>IF(OR($M495="",$E495=""),"",ROUND($M495*IFERROR(IF(VLOOKUP($E495,Setup!$A$76:$C$87,3,FALSE)="",Setup!$B$15,VLOOKUP($E495,Setup!$A$76:$C$87,3,FALSE)),Setup!$B$15),2))</f>
        <v/>
      </c>
      <c r="P495" s="91" t="n"/>
      <c r="Q495" s="91" t="n"/>
      <c r="R495" s="91" t="n"/>
      <c r="S495" s="91" t="n"/>
      <c r="T495" s="91" t="n"/>
      <c r="U495" s="89">
        <f>IF($K495="","",SUM($R495:$T495))</f>
        <v/>
      </c>
      <c r="V495" s="89">
        <f>IF($K495="","",$M495-(N($N495)+N($O495)+IF($P495="",Setup!$B$17,$P495)+N($Q495))-N($U495))</f>
        <v/>
      </c>
      <c r="W495" s="86" t="n"/>
      <c r="X495" s="87" t="n"/>
      <c r="Z495" s="92">
        <f>IF($A495="","",DATE(YEAR($A495),MONTH($A495),1))</f>
        <v/>
      </c>
    </row>
    <row r="496">
      <c r="A496" s="93" t="n"/>
      <c r="B496" s="94" t="n"/>
      <c r="C496" s="94" t="n"/>
      <c r="D496" s="95" t="n"/>
      <c r="E496" s="95" t="n"/>
      <c r="F496" s="95" t="n"/>
      <c r="G496" s="95" t="n"/>
      <c r="H496" s="96" t="n"/>
      <c r="I496" s="89">
        <f>IF($G496="","",IF($F496="",IFERROR(INDEX(Setup!$C$21:$C$60,MATCH("|"&amp;UPPER(TRIM($G496)),Setup!$Q$21:$Q$60,0)),"NO RATE"),IFERROR(INDEX(Setup!$C$21:$C$60,MATCH(UPPER(TRIM($F496))&amp;"|"&amp;UPPER(TRIM($G496)),Setup!$P$21:$P$60,0)),IFERROR(INDEX(Setup!$C$21:$C$60,MATCH(UPPER(TRIM($G496))&amp;"|"&amp;UPPER(TRIM($F496)),Setup!$P$21:$P$60,0)),"NO RATE"))))</f>
        <v/>
      </c>
      <c r="J496" s="97" t="n"/>
      <c r="K496" s="89">
        <f>IF(OR($G496="",$H496="",NOT(ISNUMBER($I496))),"",ROUND($H496*$I496*(1+IF($J496="",Setup!$B$16,$J496)),2))</f>
        <v/>
      </c>
      <c r="L496" s="89">
        <f>IF($K496="","",ROUND($K496*Setup!$B$13,2))</f>
        <v/>
      </c>
      <c r="M496" s="89">
        <f>IF($K496="","",$K496-$L496)</f>
        <v/>
      </c>
      <c r="N496" s="89">
        <f>IF(OR($M496="",$D496=""),"",ROUND($M496*IFERROR(IF(VLOOKUP($D496,Setup!$A$76:$C$87,3,FALSE)="",Setup!$B$14,VLOOKUP($D496,Setup!$A$76:$C$87,3,FALSE)),Setup!$B$14),2))</f>
        <v/>
      </c>
      <c r="O496" s="89">
        <f>IF(OR($M496="",$E496=""),"",ROUND($M496*IFERROR(IF(VLOOKUP($E496,Setup!$A$76:$C$87,3,FALSE)="",Setup!$B$15,VLOOKUP($E496,Setup!$A$76:$C$87,3,FALSE)),Setup!$B$15),2))</f>
        <v/>
      </c>
      <c r="P496" s="98" t="n"/>
      <c r="Q496" s="98" t="n"/>
      <c r="R496" s="98" t="n"/>
      <c r="S496" s="98" t="n"/>
      <c r="T496" s="98" t="n"/>
      <c r="U496" s="89">
        <f>IF($K496="","",SUM($R496:$T496))</f>
        <v/>
      </c>
      <c r="V496" s="89">
        <f>IF($K496="","",$M496-(N($N496)+N($O496)+IF($P496="",Setup!$B$17,$P496)+N($Q496))-N($U496))</f>
        <v/>
      </c>
      <c r="W496" s="94" t="n"/>
      <c r="X496" s="95" t="n"/>
      <c r="Z496" s="92">
        <f>IF($A496="","",DATE(YEAR($A496),MONTH($A496),1))</f>
        <v/>
      </c>
    </row>
    <row r="497">
      <c r="A497" s="85" t="n"/>
      <c r="B497" s="86" t="n"/>
      <c r="C497" s="86" t="n"/>
      <c r="D497" s="87" t="n"/>
      <c r="E497" s="87" t="n"/>
      <c r="F497" s="87" t="n"/>
      <c r="G497" s="87" t="n"/>
      <c r="H497" s="88" t="n"/>
      <c r="I497" s="89">
        <f>IF($G497="","",IF($F497="",IFERROR(INDEX(Setup!$C$21:$C$60,MATCH("|"&amp;UPPER(TRIM($G497)),Setup!$Q$21:$Q$60,0)),"NO RATE"),IFERROR(INDEX(Setup!$C$21:$C$60,MATCH(UPPER(TRIM($F497))&amp;"|"&amp;UPPER(TRIM($G497)),Setup!$P$21:$P$60,0)),IFERROR(INDEX(Setup!$C$21:$C$60,MATCH(UPPER(TRIM($G497))&amp;"|"&amp;UPPER(TRIM($F497)),Setup!$P$21:$P$60,0)),"NO RATE"))))</f>
        <v/>
      </c>
      <c r="J497" s="90" t="n"/>
      <c r="K497" s="89">
        <f>IF(OR($G497="",$H497="",NOT(ISNUMBER($I497))),"",ROUND($H497*$I497*(1+IF($J497="",Setup!$B$16,$J497)),2))</f>
        <v/>
      </c>
      <c r="L497" s="89">
        <f>IF($K497="","",ROUND($K497*Setup!$B$13,2))</f>
        <v/>
      </c>
      <c r="M497" s="89">
        <f>IF($K497="","",$K497-$L497)</f>
        <v/>
      </c>
      <c r="N497" s="89">
        <f>IF(OR($M497="",$D497=""),"",ROUND($M497*IFERROR(IF(VLOOKUP($D497,Setup!$A$76:$C$87,3,FALSE)="",Setup!$B$14,VLOOKUP($D497,Setup!$A$76:$C$87,3,FALSE)),Setup!$B$14),2))</f>
        <v/>
      </c>
      <c r="O497" s="89">
        <f>IF(OR($M497="",$E497=""),"",ROUND($M497*IFERROR(IF(VLOOKUP($E497,Setup!$A$76:$C$87,3,FALSE)="",Setup!$B$15,VLOOKUP($E497,Setup!$A$76:$C$87,3,FALSE)),Setup!$B$15),2))</f>
        <v/>
      </c>
      <c r="P497" s="91" t="n"/>
      <c r="Q497" s="91" t="n"/>
      <c r="R497" s="91" t="n"/>
      <c r="S497" s="91" t="n"/>
      <c r="T497" s="91" t="n"/>
      <c r="U497" s="89">
        <f>IF($K497="","",SUM($R497:$T497))</f>
        <v/>
      </c>
      <c r="V497" s="89">
        <f>IF($K497="","",$M497-(N($N497)+N($O497)+IF($P497="",Setup!$B$17,$P497)+N($Q497))-N($U497))</f>
        <v/>
      </c>
      <c r="W497" s="86" t="n"/>
      <c r="X497" s="87" t="n"/>
      <c r="Z497" s="92">
        <f>IF($A497="","",DATE(YEAR($A497),MONTH($A497),1))</f>
        <v/>
      </c>
    </row>
    <row r="498">
      <c r="A498" s="93" t="n"/>
      <c r="B498" s="94" t="n"/>
      <c r="C498" s="94" t="n"/>
      <c r="D498" s="95" t="n"/>
      <c r="E498" s="95" t="n"/>
      <c r="F498" s="95" t="n"/>
      <c r="G498" s="95" t="n"/>
      <c r="H498" s="96" t="n"/>
      <c r="I498" s="89">
        <f>IF($G498="","",IF($F498="",IFERROR(INDEX(Setup!$C$21:$C$60,MATCH("|"&amp;UPPER(TRIM($G498)),Setup!$Q$21:$Q$60,0)),"NO RATE"),IFERROR(INDEX(Setup!$C$21:$C$60,MATCH(UPPER(TRIM($F498))&amp;"|"&amp;UPPER(TRIM($G498)),Setup!$P$21:$P$60,0)),IFERROR(INDEX(Setup!$C$21:$C$60,MATCH(UPPER(TRIM($G498))&amp;"|"&amp;UPPER(TRIM($F498)),Setup!$P$21:$P$60,0)),"NO RATE"))))</f>
        <v/>
      </c>
      <c r="J498" s="97" t="n"/>
      <c r="K498" s="89">
        <f>IF(OR($G498="",$H498="",NOT(ISNUMBER($I498))),"",ROUND($H498*$I498*(1+IF($J498="",Setup!$B$16,$J498)),2))</f>
        <v/>
      </c>
      <c r="L498" s="89">
        <f>IF($K498="","",ROUND($K498*Setup!$B$13,2))</f>
        <v/>
      </c>
      <c r="M498" s="89">
        <f>IF($K498="","",$K498-$L498)</f>
        <v/>
      </c>
      <c r="N498" s="89">
        <f>IF(OR($M498="",$D498=""),"",ROUND($M498*IFERROR(IF(VLOOKUP($D498,Setup!$A$76:$C$87,3,FALSE)="",Setup!$B$14,VLOOKUP($D498,Setup!$A$76:$C$87,3,FALSE)),Setup!$B$14),2))</f>
        <v/>
      </c>
      <c r="O498" s="89">
        <f>IF(OR($M498="",$E498=""),"",ROUND($M498*IFERROR(IF(VLOOKUP($E498,Setup!$A$76:$C$87,3,FALSE)="",Setup!$B$15,VLOOKUP($E498,Setup!$A$76:$C$87,3,FALSE)),Setup!$B$15),2))</f>
        <v/>
      </c>
      <c r="P498" s="98" t="n"/>
      <c r="Q498" s="98" t="n"/>
      <c r="R498" s="98" t="n"/>
      <c r="S498" s="98" t="n"/>
      <c r="T498" s="98" t="n"/>
      <c r="U498" s="89">
        <f>IF($K498="","",SUM($R498:$T498))</f>
        <v/>
      </c>
      <c r="V498" s="89">
        <f>IF($K498="","",$M498-(N($N498)+N($O498)+IF($P498="",Setup!$B$17,$P498)+N($Q498))-N($U498))</f>
        <v/>
      </c>
      <c r="W498" s="94" t="n"/>
      <c r="X498" s="95" t="n"/>
      <c r="Z498" s="92">
        <f>IF($A498="","",DATE(YEAR($A498),MONTH($A498),1))</f>
        <v/>
      </c>
    </row>
    <row r="499">
      <c r="A499" s="85" t="n"/>
      <c r="B499" s="86" t="n"/>
      <c r="C499" s="86" t="n"/>
      <c r="D499" s="87" t="n"/>
      <c r="E499" s="87" t="n"/>
      <c r="F499" s="87" t="n"/>
      <c r="G499" s="87" t="n"/>
      <c r="H499" s="88" t="n"/>
      <c r="I499" s="89">
        <f>IF($G499="","",IF($F499="",IFERROR(INDEX(Setup!$C$21:$C$60,MATCH("|"&amp;UPPER(TRIM($G499)),Setup!$Q$21:$Q$60,0)),"NO RATE"),IFERROR(INDEX(Setup!$C$21:$C$60,MATCH(UPPER(TRIM($F499))&amp;"|"&amp;UPPER(TRIM($G499)),Setup!$P$21:$P$60,0)),IFERROR(INDEX(Setup!$C$21:$C$60,MATCH(UPPER(TRIM($G499))&amp;"|"&amp;UPPER(TRIM($F499)),Setup!$P$21:$P$60,0)),"NO RATE"))))</f>
        <v/>
      </c>
      <c r="J499" s="90" t="n"/>
      <c r="K499" s="89">
        <f>IF(OR($G499="",$H499="",NOT(ISNUMBER($I499))),"",ROUND($H499*$I499*(1+IF($J499="",Setup!$B$16,$J499)),2))</f>
        <v/>
      </c>
      <c r="L499" s="89">
        <f>IF($K499="","",ROUND($K499*Setup!$B$13,2))</f>
        <v/>
      </c>
      <c r="M499" s="89">
        <f>IF($K499="","",$K499-$L499)</f>
        <v/>
      </c>
      <c r="N499" s="89">
        <f>IF(OR($M499="",$D499=""),"",ROUND($M499*IFERROR(IF(VLOOKUP($D499,Setup!$A$76:$C$87,3,FALSE)="",Setup!$B$14,VLOOKUP($D499,Setup!$A$76:$C$87,3,FALSE)),Setup!$B$14),2))</f>
        <v/>
      </c>
      <c r="O499" s="89">
        <f>IF(OR($M499="",$E499=""),"",ROUND($M499*IFERROR(IF(VLOOKUP($E499,Setup!$A$76:$C$87,3,FALSE)="",Setup!$B$15,VLOOKUP($E499,Setup!$A$76:$C$87,3,FALSE)),Setup!$B$15),2))</f>
        <v/>
      </c>
      <c r="P499" s="91" t="n"/>
      <c r="Q499" s="91" t="n"/>
      <c r="R499" s="91" t="n"/>
      <c r="S499" s="91" t="n"/>
      <c r="T499" s="91" t="n"/>
      <c r="U499" s="89">
        <f>IF($K499="","",SUM($R499:$T499))</f>
        <v/>
      </c>
      <c r="V499" s="89">
        <f>IF($K499="","",$M499-(N($N499)+N($O499)+IF($P499="",Setup!$B$17,$P499)+N($Q499))-N($U499))</f>
        <v/>
      </c>
      <c r="W499" s="86" t="n"/>
      <c r="X499" s="87" t="n"/>
      <c r="Z499" s="92">
        <f>IF($A499="","",DATE(YEAR($A499),MONTH($A499),1))</f>
        <v/>
      </c>
    </row>
    <row r="500">
      <c r="A500" s="93" t="n"/>
      <c r="B500" s="94" t="n"/>
      <c r="C500" s="94" t="n"/>
      <c r="D500" s="95" t="n"/>
      <c r="E500" s="95" t="n"/>
      <c r="F500" s="95" t="n"/>
      <c r="G500" s="95" t="n"/>
      <c r="H500" s="96" t="n"/>
      <c r="I500" s="89">
        <f>IF($G500="","",IF($F500="",IFERROR(INDEX(Setup!$C$21:$C$60,MATCH("|"&amp;UPPER(TRIM($G500)),Setup!$Q$21:$Q$60,0)),"NO RATE"),IFERROR(INDEX(Setup!$C$21:$C$60,MATCH(UPPER(TRIM($F500))&amp;"|"&amp;UPPER(TRIM($G500)),Setup!$P$21:$P$60,0)),IFERROR(INDEX(Setup!$C$21:$C$60,MATCH(UPPER(TRIM($G500))&amp;"|"&amp;UPPER(TRIM($F500)),Setup!$P$21:$P$60,0)),"NO RATE"))))</f>
        <v/>
      </c>
      <c r="J500" s="97" t="n"/>
      <c r="K500" s="89">
        <f>IF(OR($G500="",$H500="",NOT(ISNUMBER($I500))),"",ROUND($H500*$I500*(1+IF($J500="",Setup!$B$16,$J500)),2))</f>
        <v/>
      </c>
      <c r="L500" s="89">
        <f>IF($K500="","",ROUND($K500*Setup!$B$13,2))</f>
        <v/>
      </c>
      <c r="M500" s="89">
        <f>IF($K500="","",$K500-$L500)</f>
        <v/>
      </c>
      <c r="N500" s="89">
        <f>IF(OR($M500="",$D500=""),"",ROUND($M500*IFERROR(IF(VLOOKUP($D500,Setup!$A$76:$C$87,3,FALSE)="",Setup!$B$14,VLOOKUP($D500,Setup!$A$76:$C$87,3,FALSE)),Setup!$B$14),2))</f>
        <v/>
      </c>
      <c r="O500" s="89">
        <f>IF(OR($M500="",$E500=""),"",ROUND($M500*IFERROR(IF(VLOOKUP($E500,Setup!$A$76:$C$87,3,FALSE)="",Setup!$B$15,VLOOKUP($E500,Setup!$A$76:$C$87,3,FALSE)),Setup!$B$15),2))</f>
        <v/>
      </c>
      <c r="P500" s="98" t="n"/>
      <c r="Q500" s="98" t="n"/>
      <c r="R500" s="98" t="n"/>
      <c r="S500" s="98" t="n"/>
      <c r="T500" s="98" t="n"/>
      <c r="U500" s="89">
        <f>IF($K500="","",SUM($R500:$T500))</f>
        <v/>
      </c>
      <c r="V500" s="89">
        <f>IF($K500="","",$M500-(N($N500)+N($O500)+IF($P500="",Setup!$B$17,$P500)+N($Q500))-N($U500))</f>
        <v/>
      </c>
      <c r="W500" s="94" t="n"/>
      <c r="X500" s="95" t="n"/>
      <c r="Z500" s="92">
        <f>IF($A500="","",DATE(YEAR($A500),MONTH($A500),1))</f>
        <v/>
      </c>
    </row>
    <row r="501">
      <c r="A501" s="85" t="n"/>
      <c r="B501" s="86" t="n"/>
      <c r="C501" s="86" t="n"/>
      <c r="D501" s="87" t="n"/>
      <c r="E501" s="87" t="n"/>
      <c r="F501" s="87" t="n"/>
      <c r="G501" s="87" t="n"/>
      <c r="H501" s="88" t="n"/>
      <c r="I501" s="89">
        <f>IF($G501="","",IF($F501="",IFERROR(INDEX(Setup!$C$21:$C$60,MATCH("|"&amp;UPPER(TRIM($G501)),Setup!$Q$21:$Q$60,0)),"NO RATE"),IFERROR(INDEX(Setup!$C$21:$C$60,MATCH(UPPER(TRIM($F501))&amp;"|"&amp;UPPER(TRIM($G501)),Setup!$P$21:$P$60,0)),IFERROR(INDEX(Setup!$C$21:$C$60,MATCH(UPPER(TRIM($G501))&amp;"|"&amp;UPPER(TRIM($F501)),Setup!$P$21:$P$60,0)),"NO RATE"))))</f>
        <v/>
      </c>
      <c r="J501" s="90" t="n"/>
      <c r="K501" s="89">
        <f>IF(OR($G501="",$H501="",NOT(ISNUMBER($I501))),"",ROUND($H501*$I501*(1+IF($J501="",Setup!$B$16,$J501)),2))</f>
        <v/>
      </c>
      <c r="L501" s="89">
        <f>IF($K501="","",ROUND($K501*Setup!$B$13,2))</f>
        <v/>
      </c>
      <c r="M501" s="89">
        <f>IF($K501="","",$K501-$L501)</f>
        <v/>
      </c>
      <c r="N501" s="89">
        <f>IF(OR($M501="",$D501=""),"",ROUND($M501*IFERROR(IF(VLOOKUP($D501,Setup!$A$76:$C$87,3,FALSE)="",Setup!$B$14,VLOOKUP($D501,Setup!$A$76:$C$87,3,FALSE)),Setup!$B$14),2))</f>
        <v/>
      </c>
      <c r="O501" s="89">
        <f>IF(OR($M501="",$E501=""),"",ROUND($M501*IFERROR(IF(VLOOKUP($E501,Setup!$A$76:$C$87,3,FALSE)="",Setup!$B$15,VLOOKUP($E501,Setup!$A$76:$C$87,3,FALSE)),Setup!$B$15),2))</f>
        <v/>
      </c>
      <c r="P501" s="91" t="n"/>
      <c r="Q501" s="91" t="n"/>
      <c r="R501" s="91" t="n"/>
      <c r="S501" s="91" t="n"/>
      <c r="T501" s="91" t="n"/>
      <c r="U501" s="89">
        <f>IF($K501="","",SUM($R501:$T501))</f>
        <v/>
      </c>
      <c r="V501" s="89">
        <f>IF($K501="","",$M501-(N($N501)+N($O501)+IF($P501="",Setup!$B$17,$P501)+N($Q501))-N($U501))</f>
        <v/>
      </c>
      <c r="W501" s="86" t="n"/>
      <c r="X501" s="87" t="n"/>
      <c r="Z501" s="92">
        <f>IF($A501="","",DATE(YEAR($A501),MONTH($A501),1))</f>
        <v/>
      </c>
    </row>
    <row r="502">
      <c r="A502" s="93" t="n"/>
      <c r="B502" s="94" t="n"/>
      <c r="C502" s="94" t="n"/>
      <c r="D502" s="95" t="n"/>
      <c r="E502" s="95" t="n"/>
      <c r="F502" s="95" t="n"/>
      <c r="G502" s="95" t="n"/>
      <c r="H502" s="96" t="n"/>
      <c r="I502" s="89">
        <f>IF($G502="","",IF($F502="",IFERROR(INDEX(Setup!$C$21:$C$60,MATCH("|"&amp;UPPER(TRIM($G502)),Setup!$Q$21:$Q$60,0)),"NO RATE"),IFERROR(INDEX(Setup!$C$21:$C$60,MATCH(UPPER(TRIM($F502))&amp;"|"&amp;UPPER(TRIM($G502)),Setup!$P$21:$P$60,0)),IFERROR(INDEX(Setup!$C$21:$C$60,MATCH(UPPER(TRIM($G502))&amp;"|"&amp;UPPER(TRIM($F502)),Setup!$P$21:$P$60,0)),"NO RATE"))))</f>
        <v/>
      </c>
      <c r="J502" s="97" t="n"/>
      <c r="K502" s="89">
        <f>IF(OR($G502="",$H502="",NOT(ISNUMBER($I502))),"",ROUND($H502*$I502*(1+IF($J502="",Setup!$B$16,$J502)),2))</f>
        <v/>
      </c>
      <c r="L502" s="89">
        <f>IF($K502="","",ROUND($K502*Setup!$B$13,2))</f>
        <v/>
      </c>
      <c r="M502" s="89">
        <f>IF($K502="","",$K502-$L502)</f>
        <v/>
      </c>
      <c r="N502" s="89">
        <f>IF(OR($M502="",$D502=""),"",ROUND($M502*IFERROR(IF(VLOOKUP($D502,Setup!$A$76:$C$87,3,FALSE)="",Setup!$B$14,VLOOKUP($D502,Setup!$A$76:$C$87,3,FALSE)),Setup!$B$14),2))</f>
        <v/>
      </c>
      <c r="O502" s="89">
        <f>IF(OR($M502="",$E502=""),"",ROUND($M502*IFERROR(IF(VLOOKUP($E502,Setup!$A$76:$C$87,3,FALSE)="",Setup!$B$15,VLOOKUP($E502,Setup!$A$76:$C$87,3,FALSE)),Setup!$B$15),2))</f>
        <v/>
      </c>
      <c r="P502" s="98" t="n"/>
      <c r="Q502" s="98" t="n"/>
      <c r="R502" s="98" t="n"/>
      <c r="S502" s="98" t="n"/>
      <c r="T502" s="98" t="n"/>
      <c r="U502" s="89">
        <f>IF($K502="","",SUM($R502:$T502))</f>
        <v/>
      </c>
      <c r="V502" s="89">
        <f>IF($K502="","",$M502-(N($N502)+N($O502)+IF($P502="",Setup!$B$17,$P502)+N($Q502))-N($U502))</f>
        <v/>
      </c>
      <c r="W502" s="94" t="n"/>
      <c r="X502" s="95" t="n"/>
      <c r="Z502" s="92">
        <f>IF($A502="","",DATE(YEAR($A502),MONTH($A502),1))</f>
        <v/>
      </c>
    </row>
    <row r="503">
      <c r="A503" s="85" t="n"/>
      <c r="B503" s="86" t="n"/>
      <c r="C503" s="86" t="n"/>
      <c r="D503" s="87" t="n"/>
      <c r="E503" s="87" t="n"/>
      <c r="F503" s="87" t="n"/>
      <c r="G503" s="87" t="n"/>
      <c r="H503" s="88" t="n"/>
      <c r="I503" s="89">
        <f>IF($G503="","",IF($F503="",IFERROR(INDEX(Setup!$C$21:$C$60,MATCH("|"&amp;UPPER(TRIM($G503)),Setup!$Q$21:$Q$60,0)),"NO RATE"),IFERROR(INDEX(Setup!$C$21:$C$60,MATCH(UPPER(TRIM($F503))&amp;"|"&amp;UPPER(TRIM($G503)),Setup!$P$21:$P$60,0)),IFERROR(INDEX(Setup!$C$21:$C$60,MATCH(UPPER(TRIM($G503))&amp;"|"&amp;UPPER(TRIM($F503)),Setup!$P$21:$P$60,0)),"NO RATE"))))</f>
        <v/>
      </c>
      <c r="J503" s="90" t="n"/>
      <c r="K503" s="89">
        <f>IF(OR($G503="",$H503="",NOT(ISNUMBER($I503))),"",ROUND($H503*$I503*(1+IF($J503="",Setup!$B$16,$J503)),2))</f>
        <v/>
      </c>
      <c r="L503" s="89">
        <f>IF($K503="","",ROUND($K503*Setup!$B$13,2))</f>
        <v/>
      </c>
      <c r="M503" s="89">
        <f>IF($K503="","",$K503-$L503)</f>
        <v/>
      </c>
      <c r="N503" s="89">
        <f>IF(OR($M503="",$D503=""),"",ROUND($M503*IFERROR(IF(VLOOKUP($D503,Setup!$A$76:$C$87,3,FALSE)="",Setup!$B$14,VLOOKUP($D503,Setup!$A$76:$C$87,3,FALSE)),Setup!$B$14),2))</f>
        <v/>
      </c>
      <c r="O503" s="89">
        <f>IF(OR($M503="",$E503=""),"",ROUND($M503*IFERROR(IF(VLOOKUP($E503,Setup!$A$76:$C$87,3,FALSE)="",Setup!$B$15,VLOOKUP($E503,Setup!$A$76:$C$87,3,FALSE)),Setup!$B$15),2))</f>
        <v/>
      </c>
      <c r="P503" s="91" t="n"/>
      <c r="Q503" s="91" t="n"/>
      <c r="R503" s="91" t="n"/>
      <c r="S503" s="91" t="n"/>
      <c r="T503" s="91" t="n"/>
      <c r="U503" s="89">
        <f>IF($K503="","",SUM($R503:$T503))</f>
        <v/>
      </c>
      <c r="V503" s="89">
        <f>IF($K503="","",$M503-(N($N503)+N($O503)+IF($P503="",Setup!$B$17,$P503)+N($Q503))-N($U503))</f>
        <v/>
      </c>
      <c r="W503" s="86" t="n"/>
      <c r="X503" s="87" t="n"/>
      <c r="Z503" s="92">
        <f>IF($A503="","",DATE(YEAR($A503),MONTH($A503),1))</f>
        <v/>
      </c>
    </row>
    <row r="504">
      <c r="A504" s="93" t="n"/>
      <c r="B504" s="94" t="n"/>
      <c r="C504" s="94" t="n"/>
      <c r="D504" s="95" t="n"/>
      <c r="E504" s="95" t="n"/>
      <c r="F504" s="95" t="n"/>
      <c r="G504" s="95" t="n"/>
      <c r="H504" s="96" t="n"/>
      <c r="I504" s="89">
        <f>IF($G504="","",IF($F504="",IFERROR(INDEX(Setup!$C$21:$C$60,MATCH("|"&amp;UPPER(TRIM($G504)),Setup!$Q$21:$Q$60,0)),"NO RATE"),IFERROR(INDEX(Setup!$C$21:$C$60,MATCH(UPPER(TRIM($F504))&amp;"|"&amp;UPPER(TRIM($G504)),Setup!$P$21:$P$60,0)),IFERROR(INDEX(Setup!$C$21:$C$60,MATCH(UPPER(TRIM($G504))&amp;"|"&amp;UPPER(TRIM($F504)),Setup!$P$21:$P$60,0)),"NO RATE"))))</f>
        <v/>
      </c>
      <c r="J504" s="97" t="n"/>
      <c r="K504" s="89">
        <f>IF(OR($G504="",$H504="",NOT(ISNUMBER($I504))),"",ROUND($H504*$I504*(1+IF($J504="",Setup!$B$16,$J504)),2))</f>
        <v/>
      </c>
      <c r="L504" s="89">
        <f>IF($K504="","",ROUND($K504*Setup!$B$13,2))</f>
        <v/>
      </c>
      <c r="M504" s="89">
        <f>IF($K504="","",$K504-$L504)</f>
        <v/>
      </c>
      <c r="N504" s="89">
        <f>IF(OR($M504="",$D504=""),"",ROUND($M504*IFERROR(IF(VLOOKUP($D504,Setup!$A$76:$C$87,3,FALSE)="",Setup!$B$14,VLOOKUP($D504,Setup!$A$76:$C$87,3,FALSE)),Setup!$B$14),2))</f>
        <v/>
      </c>
      <c r="O504" s="89">
        <f>IF(OR($M504="",$E504=""),"",ROUND($M504*IFERROR(IF(VLOOKUP($E504,Setup!$A$76:$C$87,3,FALSE)="",Setup!$B$15,VLOOKUP($E504,Setup!$A$76:$C$87,3,FALSE)),Setup!$B$15),2))</f>
        <v/>
      </c>
      <c r="P504" s="98" t="n"/>
      <c r="Q504" s="98" t="n"/>
      <c r="R504" s="98" t="n"/>
      <c r="S504" s="98" t="n"/>
      <c r="T504" s="98" t="n"/>
      <c r="U504" s="89">
        <f>IF($K504="","",SUM($R504:$T504))</f>
        <v/>
      </c>
      <c r="V504" s="89">
        <f>IF($K504="","",$M504-(N($N504)+N($O504)+IF($P504="",Setup!$B$17,$P504)+N($Q504))-N($U504))</f>
        <v/>
      </c>
      <c r="W504" s="94" t="n"/>
      <c r="X504" s="95" t="n"/>
      <c r="Z504" s="92">
        <f>IF($A504="","",DATE(YEAR($A504),MONTH($A504),1))</f>
        <v/>
      </c>
    </row>
    <row r="505">
      <c r="A505" s="85" t="n"/>
      <c r="B505" s="86" t="n"/>
      <c r="C505" s="86" t="n"/>
      <c r="D505" s="87" t="n"/>
      <c r="E505" s="87" t="n"/>
      <c r="F505" s="87" t="n"/>
      <c r="G505" s="87" t="n"/>
      <c r="H505" s="88" t="n"/>
      <c r="I505" s="89">
        <f>IF($G505="","",IF($F505="",IFERROR(INDEX(Setup!$C$21:$C$60,MATCH("|"&amp;UPPER(TRIM($G505)),Setup!$Q$21:$Q$60,0)),"NO RATE"),IFERROR(INDEX(Setup!$C$21:$C$60,MATCH(UPPER(TRIM($F505))&amp;"|"&amp;UPPER(TRIM($G505)),Setup!$P$21:$P$60,0)),IFERROR(INDEX(Setup!$C$21:$C$60,MATCH(UPPER(TRIM($G505))&amp;"|"&amp;UPPER(TRIM($F505)),Setup!$P$21:$P$60,0)),"NO RATE"))))</f>
        <v/>
      </c>
      <c r="J505" s="90" t="n"/>
      <c r="K505" s="89">
        <f>IF(OR($G505="",$H505="",NOT(ISNUMBER($I505))),"",ROUND($H505*$I505*(1+IF($J505="",Setup!$B$16,$J505)),2))</f>
        <v/>
      </c>
      <c r="L505" s="89">
        <f>IF($K505="","",ROUND($K505*Setup!$B$13,2))</f>
        <v/>
      </c>
      <c r="M505" s="89">
        <f>IF($K505="","",$K505-$L505)</f>
        <v/>
      </c>
      <c r="N505" s="89">
        <f>IF(OR($M505="",$D505=""),"",ROUND($M505*IFERROR(IF(VLOOKUP($D505,Setup!$A$76:$C$87,3,FALSE)="",Setup!$B$14,VLOOKUP($D505,Setup!$A$76:$C$87,3,FALSE)),Setup!$B$14),2))</f>
        <v/>
      </c>
      <c r="O505" s="89">
        <f>IF(OR($M505="",$E505=""),"",ROUND($M505*IFERROR(IF(VLOOKUP($E505,Setup!$A$76:$C$87,3,FALSE)="",Setup!$B$15,VLOOKUP($E505,Setup!$A$76:$C$87,3,FALSE)),Setup!$B$15),2))</f>
        <v/>
      </c>
      <c r="P505" s="91" t="n"/>
      <c r="Q505" s="91" t="n"/>
      <c r="R505" s="91" t="n"/>
      <c r="S505" s="91" t="n"/>
      <c r="T505" s="91" t="n"/>
      <c r="U505" s="89">
        <f>IF($K505="","",SUM($R505:$T505))</f>
        <v/>
      </c>
      <c r="V505" s="89">
        <f>IF($K505="","",$M505-(N($N505)+N($O505)+IF($P505="",Setup!$B$17,$P505)+N($Q505))-N($U505))</f>
        <v/>
      </c>
      <c r="W505" s="86" t="n"/>
      <c r="X505" s="87" t="n"/>
      <c r="Z505" s="92">
        <f>IF($A505="","",DATE(YEAR($A505),MONTH($A505),1))</f>
        <v/>
      </c>
    </row>
    <row r="506">
      <c r="A506" s="93" t="n"/>
      <c r="B506" s="94" t="n"/>
      <c r="C506" s="94" t="n"/>
      <c r="D506" s="95" t="n"/>
      <c r="E506" s="95" t="n"/>
      <c r="F506" s="95" t="n"/>
      <c r="G506" s="95" t="n"/>
      <c r="H506" s="96" t="n"/>
      <c r="I506" s="89">
        <f>IF($G506="","",IF($F506="",IFERROR(INDEX(Setup!$C$21:$C$60,MATCH("|"&amp;UPPER(TRIM($G506)),Setup!$Q$21:$Q$60,0)),"NO RATE"),IFERROR(INDEX(Setup!$C$21:$C$60,MATCH(UPPER(TRIM($F506))&amp;"|"&amp;UPPER(TRIM($G506)),Setup!$P$21:$P$60,0)),IFERROR(INDEX(Setup!$C$21:$C$60,MATCH(UPPER(TRIM($G506))&amp;"|"&amp;UPPER(TRIM($F506)),Setup!$P$21:$P$60,0)),"NO RATE"))))</f>
        <v/>
      </c>
      <c r="J506" s="97" t="n"/>
      <c r="K506" s="89">
        <f>IF(OR($G506="",$H506="",NOT(ISNUMBER($I506))),"",ROUND($H506*$I506*(1+IF($J506="",Setup!$B$16,$J506)),2))</f>
        <v/>
      </c>
      <c r="L506" s="89">
        <f>IF($K506="","",ROUND($K506*Setup!$B$13,2))</f>
        <v/>
      </c>
      <c r="M506" s="89">
        <f>IF($K506="","",$K506-$L506)</f>
        <v/>
      </c>
      <c r="N506" s="89">
        <f>IF(OR($M506="",$D506=""),"",ROUND($M506*IFERROR(IF(VLOOKUP($D506,Setup!$A$76:$C$87,3,FALSE)="",Setup!$B$14,VLOOKUP($D506,Setup!$A$76:$C$87,3,FALSE)),Setup!$B$14),2))</f>
        <v/>
      </c>
      <c r="O506" s="89">
        <f>IF(OR($M506="",$E506=""),"",ROUND($M506*IFERROR(IF(VLOOKUP($E506,Setup!$A$76:$C$87,3,FALSE)="",Setup!$B$15,VLOOKUP($E506,Setup!$A$76:$C$87,3,FALSE)),Setup!$B$15),2))</f>
        <v/>
      </c>
      <c r="P506" s="98" t="n"/>
      <c r="Q506" s="98" t="n"/>
      <c r="R506" s="98" t="n"/>
      <c r="S506" s="98" t="n"/>
      <c r="T506" s="98" t="n"/>
      <c r="U506" s="89">
        <f>IF($K506="","",SUM($R506:$T506))</f>
        <v/>
      </c>
      <c r="V506" s="89">
        <f>IF($K506="","",$M506-(N($N506)+N($O506)+IF($P506="",Setup!$B$17,$P506)+N($Q506))-N($U506))</f>
        <v/>
      </c>
      <c r="W506" s="94" t="n"/>
      <c r="X506" s="95" t="n"/>
      <c r="Z506" s="92">
        <f>IF($A506="","",DATE(YEAR($A506),MONTH($A506),1))</f>
        <v/>
      </c>
    </row>
    <row r="507">
      <c r="A507" s="85" t="n"/>
      <c r="B507" s="86" t="n"/>
      <c r="C507" s="86" t="n"/>
      <c r="D507" s="87" t="n"/>
      <c r="E507" s="87" t="n"/>
      <c r="F507" s="87" t="n"/>
      <c r="G507" s="87" t="n"/>
      <c r="H507" s="88" t="n"/>
      <c r="I507" s="89">
        <f>IF($G507="","",IF($F507="",IFERROR(INDEX(Setup!$C$21:$C$60,MATCH("|"&amp;UPPER(TRIM($G507)),Setup!$Q$21:$Q$60,0)),"NO RATE"),IFERROR(INDEX(Setup!$C$21:$C$60,MATCH(UPPER(TRIM($F507))&amp;"|"&amp;UPPER(TRIM($G507)),Setup!$P$21:$P$60,0)),IFERROR(INDEX(Setup!$C$21:$C$60,MATCH(UPPER(TRIM($G507))&amp;"|"&amp;UPPER(TRIM($F507)),Setup!$P$21:$P$60,0)),"NO RATE"))))</f>
        <v/>
      </c>
      <c r="J507" s="90" t="n"/>
      <c r="K507" s="89">
        <f>IF(OR($G507="",$H507="",NOT(ISNUMBER($I507))),"",ROUND($H507*$I507*(1+IF($J507="",Setup!$B$16,$J507)),2))</f>
        <v/>
      </c>
      <c r="L507" s="89">
        <f>IF($K507="","",ROUND($K507*Setup!$B$13,2))</f>
        <v/>
      </c>
      <c r="M507" s="89">
        <f>IF($K507="","",$K507-$L507)</f>
        <v/>
      </c>
      <c r="N507" s="89">
        <f>IF(OR($M507="",$D507=""),"",ROUND($M507*IFERROR(IF(VLOOKUP($D507,Setup!$A$76:$C$87,3,FALSE)="",Setup!$B$14,VLOOKUP($D507,Setup!$A$76:$C$87,3,FALSE)),Setup!$B$14),2))</f>
        <v/>
      </c>
      <c r="O507" s="89">
        <f>IF(OR($M507="",$E507=""),"",ROUND($M507*IFERROR(IF(VLOOKUP($E507,Setup!$A$76:$C$87,3,FALSE)="",Setup!$B$15,VLOOKUP($E507,Setup!$A$76:$C$87,3,FALSE)),Setup!$B$15),2))</f>
        <v/>
      </c>
      <c r="P507" s="91" t="n"/>
      <c r="Q507" s="91" t="n"/>
      <c r="R507" s="91" t="n"/>
      <c r="S507" s="91" t="n"/>
      <c r="T507" s="91" t="n"/>
      <c r="U507" s="89">
        <f>IF($K507="","",SUM($R507:$T507))</f>
        <v/>
      </c>
      <c r="V507" s="89">
        <f>IF($K507="","",$M507-(N($N507)+N($O507)+IF($P507="",Setup!$B$17,$P507)+N($Q507))-N($U507))</f>
        <v/>
      </c>
      <c r="W507" s="86" t="n"/>
      <c r="X507" s="87" t="n"/>
      <c r="Z507" s="92">
        <f>IF($A507="","",DATE(YEAR($A507),MONTH($A507),1))</f>
        <v/>
      </c>
    </row>
    <row r="508">
      <c r="A508" s="93" t="n"/>
      <c r="B508" s="94" t="n"/>
      <c r="C508" s="94" t="n"/>
      <c r="D508" s="95" t="n"/>
      <c r="E508" s="95" t="n"/>
      <c r="F508" s="95" t="n"/>
      <c r="G508" s="95" t="n"/>
      <c r="H508" s="96" t="n"/>
      <c r="I508" s="89">
        <f>IF($G508="","",IF($F508="",IFERROR(INDEX(Setup!$C$21:$C$60,MATCH("|"&amp;UPPER(TRIM($G508)),Setup!$Q$21:$Q$60,0)),"NO RATE"),IFERROR(INDEX(Setup!$C$21:$C$60,MATCH(UPPER(TRIM($F508))&amp;"|"&amp;UPPER(TRIM($G508)),Setup!$P$21:$P$60,0)),IFERROR(INDEX(Setup!$C$21:$C$60,MATCH(UPPER(TRIM($G508))&amp;"|"&amp;UPPER(TRIM($F508)),Setup!$P$21:$P$60,0)),"NO RATE"))))</f>
        <v/>
      </c>
      <c r="J508" s="97" t="n"/>
      <c r="K508" s="89">
        <f>IF(OR($G508="",$H508="",NOT(ISNUMBER($I508))),"",ROUND($H508*$I508*(1+IF($J508="",Setup!$B$16,$J508)),2))</f>
        <v/>
      </c>
      <c r="L508" s="89">
        <f>IF($K508="","",ROUND($K508*Setup!$B$13,2))</f>
        <v/>
      </c>
      <c r="M508" s="89">
        <f>IF($K508="","",$K508-$L508)</f>
        <v/>
      </c>
      <c r="N508" s="89">
        <f>IF(OR($M508="",$D508=""),"",ROUND($M508*IFERROR(IF(VLOOKUP($D508,Setup!$A$76:$C$87,3,FALSE)="",Setup!$B$14,VLOOKUP($D508,Setup!$A$76:$C$87,3,FALSE)),Setup!$B$14),2))</f>
        <v/>
      </c>
      <c r="O508" s="89">
        <f>IF(OR($M508="",$E508=""),"",ROUND($M508*IFERROR(IF(VLOOKUP($E508,Setup!$A$76:$C$87,3,FALSE)="",Setup!$B$15,VLOOKUP($E508,Setup!$A$76:$C$87,3,FALSE)),Setup!$B$15),2))</f>
        <v/>
      </c>
      <c r="P508" s="98" t="n"/>
      <c r="Q508" s="98" t="n"/>
      <c r="R508" s="98" t="n"/>
      <c r="S508" s="98" t="n"/>
      <c r="T508" s="98" t="n"/>
      <c r="U508" s="89">
        <f>IF($K508="","",SUM($R508:$T508))</f>
        <v/>
      </c>
      <c r="V508" s="89">
        <f>IF($K508="","",$M508-(N($N508)+N($O508)+IF($P508="",Setup!$B$17,$P508)+N($Q508))-N($U508))</f>
        <v/>
      </c>
      <c r="W508" s="94" t="n"/>
      <c r="X508" s="95" t="n"/>
      <c r="Z508" s="92">
        <f>IF($A508="","",DATE(YEAR($A508),MONTH($A508),1))</f>
        <v/>
      </c>
    </row>
    <row r="509">
      <c r="A509" s="85" t="n"/>
      <c r="B509" s="86" t="n"/>
      <c r="C509" s="86" t="n"/>
      <c r="D509" s="87" t="n"/>
      <c r="E509" s="87" t="n"/>
      <c r="F509" s="87" t="n"/>
      <c r="G509" s="87" t="n"/>
      <c r="H509" s="88" t="n"/>
      <c r="I509" s="89">
        <f>IF($G509="","",IF($F509="",IFERROR(INDEX(Setup!$C$21:$C$60,MATCH("|"&amp;UPPER(TRIM($G509)),Setup!$Q$21:$Q$60,0)),"NO RATE"),IFERROR(INDEX(Setup!$C$21:$C$60,MATCH(UPPER(TRIM($F509))&amp;"|"&amp;UPPER(TRIM($G509)),Setup!$P$21:$P$60,0)),IFERROR(INDEX(Setup!$C$21:$C$60,MATCH(UPPER(TRIM($G509))&amp;"|"&amp;UPPER(TRIM($F509)),Setup!$P$21:$P$60,0)),"NO RATE"))))</f>
        <v/>
      </c>
      <c r="J509" s="90" t="n"/>
      <c r="K509" s="89">
        <f>IF(OR($G509="",$H509="",NOT(ISNUMBER($I509))),"",ROUND($H509*$I509*(1+IF($J509="",Setup!$B$16,$J509)),2))</f>
        <v/>
      </c>
      <c r="L509" s="89">
        <f>IF($K509="","",ROUND($K509*Setup!$B$13,2))</f>
        <v/>
      </c>
      <c r="M509" s="89">
        <f>IF($K509="","",$K509-$L509)</f>
        <v/>
      </c>
      <c r="N509" s="89">
        <f>IF(OR($M509="",$D509=""),"",ROUND($M509*IFERROR(IF(VLOOKUP($D509,Setup!$A$76:$C$87,3,FALSE)="",Setup!$B$14,VLOOKUP($D509,Setup!$A$76:$C$87,3,FALSE)),Setup!$B$14),2))</f>
        <v/>
      </c>
      <c r="O509" s="89">
        <f>IF(OR($M509="",$E509=""),"",ROUND($M509*IFERROR(IF(VLOOKUP($E509,Setup!$A$76:$C$87,3,FALSE)="",Setup!$B$15,VLOOKUP($E509,Setup!$A$76:$C$87,3,FALSE)),Setup!$B$15),2))</f>
        <v/>
      </c>
      <c r="P509" s="91" t="n"/>
      <c r="Q509" s="91" t="n"/>
      <c r="R509" s="91" t="n"/>
      <c r="S509" s="91" t="n"/>
      <c r="T509" s="91" t="n"/>
      <c r="U509" s="89">
        <f>IF($K509="","",SUM($R509:$T509))</f>
        <v/>
      </c>
      <c r="V509" s="89">
        <f>IF($K509="","",$M509-(N($N509)+N($O509)+IF($P509="",Setup!$B$17,$P509)+N($Q509))-N($U509))</f>
        <v/>
      </c>
      <c r="W509" s="86" t="n"/>
      <c r="X509" s="87" t="n"/>
      <c r="Z509" s="92">
        <f>IF($A509="","",DATE(YEAR($A509),MONTH($A509),1))</f>
        <v/>
      </c>
    </row>
    <row r="510">
      <c r="A510" s="93" t="n"/>
      <c r="B510" s="94" t="n"/>
      <c r="C510" s="94" t="n"/>
      <c r="D510" s="95" t="n"/>
      <c r="E510" s="95" t="n"/>
      <c r="F510" s="95" t="n"/>
      <c r="G510" s="95" t="n"/>
      <c r="H510" s="96" t="n"/>
      <c r="I510" s="89">
        <f>IF($G510="","",IF($F510="",IFERROR(INDEX(Setup!$C$21:$C$60,MATCH("|"&amp;UPPER(TRIM($G510)),Setup!$Q$21:$Q$60,0)),"NO RATE"),IFERROR(INDEX(Setup!$C$21:$C$60,MATCH(UPPER(TRIM($F510))&amp;"|"&amp;UPPER(TRIM($G510)),Setup!$P$21:$P$60,0)),IFERROR(INDEX(Setup!$C$21:$C$60,MATCH(UPPER(TRIM($G510))&amp;"|"&amp;UPPER(TRIM($F510)),Setup!$P$21:$P$60,0)),"NO RATE"))))</f>
        <v/>
      </c>
      <c r="J510" s="97" t="n"/>
      <c r="K510" s="89">
        <f>IF(OR($G510="",$H510="",NOT(ISNUMBER($I510))),"",ROUND($H510*$I510*(1+IF($J510="",Setup!$B$16,$J510)),2))</f>
        <v/>
      </c>
      <c r="L510" s="89">
        <f>IF($K510="","",ROUND($K510*Setup!$B$13,2))</f>
        <v/>
      </c>
      <c r="M510" s="89">
        <f>IF($K510="","",$K510-$L510)</f>
        <v/>
      </c>
      <c r="N510" s="89">
        <f>IF(OR($M510="",$D510=""),"",ROUND($M510*IFERROR(IF(VLOOKUP($D510,Setup!$A$76:$C$87,3,FALSE)="",Setup!$B$14,VLOOKUP($D510,Setup!$A$76:$C$87,3,FALSE)),Setup!$B$14),2))</f>
        <v/>
      </c>
      <c r="O510" s="89">
        <f>IF(OR($M510="",$E510=""),"",ROUND($M510*IFERROR(IF(VLOOKUP($E510,Setup!$A$76:$C$87,3,FALSE)="",Setup!$B$15,VLOOKUP($E510,Setup!$A$76:$C$87,3,FALSE)),Setup!$B$15),2))</f>
        <v/>
      </c>
      <c r="P510" s="98" t="n"/>
      <c r="Q510" s="98" t="n"/>
      <c r="R510" s="98" t="n"/>
      <c r="S510" s="98" t="n"/>
      <c r="T510" s="98" t="n"/>
      <c r="U510" s="89">
        <f>IF($K510="","",SUM($R510:$T510))</f>
        <v/>
      </c>
      <c r="V510" s="89">
        <f>IF($K510="","",$M510-(N($N510)+N($O510)+IF($P510="",Setup!$B$17,$P510)+N($Q510))-N($U510))</f>
        <v/>
      </c>
      <c r="W510" s="94" t="n"/>
      <c r="X510" s="95" t="n"/>
      <c r="Z510" s="92">
        <f>IF($A510="","",DATE(YEAR($A510),MONTH($A510),1))</f>
        <v/>
      </c>
    </row>
    <row r="511">
      <c r="A511" s="85" t="n"/>
      <c r="B511" s="86" t="n"/>
      <c r="C511" s="86" t="n"/>
      <c r="D511" s="87" t="n"/>
      <c r="E511" s="87" t="n"/>
      <c r="F511" s="87" t="n"/>
      <c r="G511" s="87" t="n"/>
      <c r="H511" s="88" t="n"/>
      <c r="I511" s="89">
        <f>IF($G511="","",IF($F511="",IFERROR(INDEX(Setup!$C$21:$C$60,MATCH("|"&amp;UPPER(TRIM($G511)),Setup!$Q$21:$Q$60,0)),"NO RATE"),IFERROR(INDEX(Setup!$C$21:$C$60,MATCH(UPPER(TRIM($F511))&amp;"|"&amp;UPPER(TRIM($G511)),Setup!$P$21:$P$60,0)),IFERROR(INDEX(Setup!$C$21:$C$60,MATCH(UPPER(TRIM($G511))&amp;"|"&amp;UPPER(TRIM($F511)),Setup!$P$21:$P$60,0)),"NO RATE"))))</f>
        <v/>
      </c>
      <c r="J511" s="90" t="n"/>
      <c r="K511" s="89">
        <f>IF(OR($G511="",$H511="",NOT(ISNUMBER($I511))),"",ROUND($H511*$I511*(1+IF($J511="",Setup!$B$16,$J511)),2))</f>
        <v/>
      </c>
      <c r="L511" s="89">
        <f>IF($K511="","",ROUND($K511*Setup!$B$13,2))</f>
        <v/>
      </c>
      <c r="M511" s="89">
        <f>IF($K511="","",$K511-$L511)</f>
        <v/>
      </c>
      <c r="N511" s="89">
        <f>IF(OR($M511="",$D511=""),"",ROUND($M511*IFERROR(IF(VLOOKUP($D511,Setup!$A$76:$C$87,3,FALSE)="",Setup!$B$14,VLOOKUP($D511,Setup!$A$76:$C$87,3,FALSE)),Setup!$B$14),2))</f>
        <v/>
      </c>
      <c r="O511" s="89">
        <f>IF(OR($M511="",$E511=""),"",ROUND($M511*IFERROR(IF(VLOOKUP($E511,Setup!$A$76:$C$87,3,FALSE)="",Setup!$B$15,VLOOKUP($E511,Setup!$A$76:$C$87,3,FALSE)),Setup!$B$15),2))</f>
        <v/>
      </c>
      <c r="P511" s="91" t="n"/>
      <c r="Q511" s="91" t="n"/>
      <c r="R511" s="91" t="n"/>
      <c r="S511" s="91" t="n"/>
      <c r="T511" s="91" t="n"/>
      <c r="U511" s="89">
        <f>IF($K511="","",SUM($R511:$T511))</f>
        <v/>
      </c>
      <c r="V511" s="89">
        <f>IF($K511="","",$M511-(N($N511)+N($O511)+IF($P511="",Setup!$B$17,$P511)+N($Q511))-N($U511))</f>
        <v/>
      </c>
      <c r="W511" s="86" t="n"/>
      <c r="X511" s="87" t="n"/>
      <c r="Z511" s="92">
        <f>IF($A511="","",DATE(YEAR($A511),MONTH($A511),1))</f>
        <v/>
      </c>
    </row>
    <row r="512">
      <c r="A512" s="93" t="n"/>
      <c r="B512" s="94" t="n"/>
      <c r="C512" s="94" t="n"/>
      <c r="D512" s="95" t="n"/>
      <c r="E512" s="95" t="n"/>
      <c r="F512" s="95" t="n"/>
      <c r="G512" s="95" t="n"/>
      <c r="H512" s="96" t="n"/>
      <c r="I512" s="89">
        <f>IF($G512="","",IF($F512="",IFERROR(INDEX(Setup!$C$21:$C$60,MATCH("|"&amp;UPPER(TRIM($G512)),Setup!$Q$21:$Q$60,0)),"NO RATE"),IFERROR(INDEX(Setup!$C$21:$C$60,MATCH(UPPER(TRIM($F512))&amp;"|"&amp;UPPER(TRIM($G512)),Setup!$P$21:$P$60,0)),IFERROR(INDEX(Setup!$C$21:$C$60,MATCH(UPPER(TRIM($G512))&amp;"|"&amp;UPPER(TRIM($F512)),Setup!$P$21:$P$60,0)),"NO RATE"))))</f>
        <v/>
      </c>
      <c r="J512" s="97" t="n"/>
      <c r="K512" s="89">
        <f>IF(OR($G512="",$H512="",NOT(ISNUMBER($I512))),"",ROUND($H512*$I512*(1+IF($J512="",Setup!$B$16,$J512)),2))</f>
        <v/>
      </c>
      <c r="L512" s="89">
        <f>IF($K512="","",ROUND($K512*Setup!$B$13,2))</f>
        <v/>
      </c>
      <c r="M512" s="89">
        <f>IF($K512="","",$K512-$L512)</f>
        <v/>
      </c>
      <c r="N512" s="89">
        <f>IF(OR($M512="",$D512=""),"",ROUND($M512*IFERROR(IF(VLOOKUP($D512,Setup!$A$76:$C$87,3,FALSE)="",Setup!$B$14,VLOOKUP($D512,Setup!$A$76:$C$87,3,FALSE)),Setup!$B$14),2))</f>
        <v/>
      </c>
      <c r="O512" s="89">
        <f>IF(OR($M512="",$E512=""),"",ROUND($M512*IFERROR(IF(VLOOKUP($E512,Setup!$A$76:$C$87,3,FALSE)="",Setup!$B$15,VLOOKUP($E512,Setup!$A$76:$C$87,3,FALSE)),Setup!$B$15),2))</f>
        <v/>
      </c>
      <c r="P512" s="98" t="n"/>
      <c r="Q512" s="98" t="n"/>
      <c r="R512" s="98" t="n"/>
      <c r="S512" s="98" t="n"/>
      <c r="T512" s="98" t="n"/>
      <c r="U512" s="89">
        <f>IF($K512="","",SUM($R512:$T512))</f>
        <v/>
      </c>
      <c r="V512" s="89">
        <f>IF($K512="","",$M512-(N($N512)+N($O512)+IF($P512="",Setup!$B$17,$P512)+N($Q512))-N($U512))</f>
        <v/>
      </c>
      <c r="W512" s="94" t="n"/>
      <c r="X512" s="95" t="n"/>
      <c r="Z512" s="92">
        <f>IF($A512="","",DATE(YEAR($A512),MONTH($A512),1))</f>
        <v/>
      </c>
    </row>
    <row r="513">
      <c r="A513" s="85" t="n"/>
      <c r="B513" s="86" t="n"/>
      <c r="C513" s="86" t="n"/>
      <c r="D513" s="87" t="n"/>
      <c r="E513" s="87" t="n"/>
      <c r="F513" s="87" t="n"/>
      <c r="G513" s="87" t="n"/>
      <c r="H513" s="88" t="n"/>
      <c r="I513" s="89">
        <f>IF($G513="","",IF($F513="",IFERROR(INDEX(Setup!$C$21:$C$60,MATCH("|"&amp;UPPER(TRIM($G513)),Setup!$Q$21:$Q$60,0)),"NO RATE"),IFERROR(INDEX(Setup!$C$21:$C$60,MATCH(UPPER(TRIM($F513))&amp;"|"&amp;UPPER(TRIM($G513)),Setup!$P$21:$P$60,0)),IFERROR(INDEX(Setup!$C$21:$C$60,MATCH(UPPER(TRIM($G513))&amp;"|"&amp;UPPER(TRIM($F513)),Setup!$P$21:$P$60,0)),"NO RATE"))))</f>
        <v/>
      </c>
      <c r="J513" s="90" t="n"/>
      <c r="K513" s="89">
        <f>IF(OR($G513="",$H513="",NOT(ISNUMBER($I513))),"",ROUND($H513*$I513*(1+IF($J513="",Setup!$B$16,$J513)),2))</f>
        <v/>
      </c>
      <c r="L513" s="89">
        <f>IF($K513="","",ROUND($K513*Setup!$B$13,2))</f>
        <v/>
      </c>
      <c r="M513" s="89">
        <f>IF($K513="","",$K513-$L513)</f>
        <v/>
      </c>
      <c r="N513" s="89">
        <f>IF(OR($M513="",$D513=""),"",ROUND($M513*IFERROR(IF(VLOOKUP($D513,Setup!$A$76:$C$87,3,FALSE)="",Setup!$B$14,VLOOKUP($D513,Setup!$A$76:$C$87,3,FALSE)),Setup!$B$14),2))</f>
        <v/>
      </c>
      <c r="O513" s="89">
        <f>IF(OR($M513="",$E513=""),"",ROUND($M513*IFERROR(IF(VLOOKUP($E513,Setup!$A$76:$C$87,3,FALSE)="",Setup!$B$15,VLOOKUP($E513,Setup!$A$76:$C$87,3,FALSE)),Setup!$B$15),2))</f>
        <v/>
      </c>
      <c r="P513" s="91" t="n"/>
      <c r="Q513" s="91" t="n"/>
      <c r="R513" s="91" t="n"/>
      <c r="S513" s="91" t="n"/>
      <c r="T513" s="91" t="n"/>
      <c r="U513" s="89">
        <f>IF($K513="","",SUM($R513:$T513))</f>
        <v/>
      </c>
      <c r="V513" s="89">
        <f>IF($K513="","",$M513-(N($N513)+N($O513)+IF($P513="",Setup!$B$17,$P513)+N($Q513))-N($U513))</f>
        <v/>
      </c>
      <c r="W513" s="86" t="n"/>
      <c r="X513" s="87" t="n"/>
      <c r="Z513" s="92">
        <f>IF($A513="","",DATE(YEAR($A513),MONTH($A513),1))</f>
        <v/>
      </c>
    </row>
    <row r="514">
      <c r="A514" s="93" t="n"/>
      <c r="B514" s="94" t="n"/>
      <c r="C514" s="94" t="n"/>
      <c r="D514" s="95" t="n"/>
      <c r="E514" s="95" t="n"/>
      <c r="F514" s="95" t="n"/>
      <c r="G514" s="95" t="n"/>
      <c r="H514" s="96" t="n"/>
      <c r="I514" s="89">
        <f>IF($G514="","",IF($F514="",IFERROR(INDEX(Setup!$C$21:$C$60,MATCH("|"&amp;UPPER(TRIM($G514)),Setup!$Q$21:$Q$60,0)),"NO RATE"),IFERROR(INDEX(Setup!$C$21:$C$60,MATCH(UPPER(TRIM($F514))&amp;"|"&amp;UPPER(TRIM($G514)),Setup!$P$21:$P$60,0)),IFERROR(INDEX(Setup!$C$21:$C$60,MATCH(UPPER(TRIM($G514))&amp;"|"&amp;UPPER(TRIM($F514)),Setup!$P$21:$P$60,0)),"NO RATE"))))</f>
        <v/>
      </c>
      <c r="J514" s="97" t="n"/>
      <c r="K514" s="89">
        <f>IF(OR($G514="",$H514="",NOT(ISNUMBER($I514))),"",ROUND($H514*$I514*(1+IF($J514="",Setup!$B$16,$J514)),2))</f>
        <v/>
      </c>
      <c r="L514" s="89">
        <f>IF($K514="","",ROUND($K514*Setup!$B$13,2))</f>
        <v/>
      </c>
      <c r="M514" s="89">
        <f>IF($K514="","",$K514-$L514)</f>
        <v/>
      </c>
      <c r="N514" s="89">
        <f>IF(OR($M514="",$D514=""),"",ROUND($M514*IFERROR(IF(VLOOKUP($D514,Setup!$A$76:$C$87,3,FALSE)="",Setup!$B$14,VLOOKUP($D514,Setup!$A$76:$C$87,3,FALSE)),Setup!$B$14),2))</f>
        <v/>
      </c>
      <c r="O514" s="89">
        <f>IF(OR($M514="",$E514=""),"",ROUND($M514*IFERROR(IF(VLOOKUP($E514,Setup!$A$76:$C$87,3,FALSE)="",Setup!$B$15,VLOOKUP($E514,Setup!$A$76:$C$87,3,FALSE)),Setup!$B$15),2))</f>
        <v/>
      </c>
      <c r="P514" s="98" t="n"/>
      <c r="Q514" s="98" t="n"/>
      <c r="R514" s="98" t="n"/>
      <c r="S514" s="98" t="n"/>
      <c r="T514" s="98" t="n"/>
      <c r="U514" s="89">
        <f>IF($K514="","",SUM($R514:$T514))</f>
        <v/>
      </c>
      <c r="V514" s="89">
        <f>IF($K514="","",$M514-(N($N514)+N($O514)+IF($P514="",Setup!$B$17,$P514)+N($Q514))-N($U514))</f>
        <v/>
      </c>
      <c r="W514" s="94" t="n"/>
      <c r="X514" s="95" t="n"/>
      <c r="Z514" s="92">
        <f>IF($A514="","",DATE(YEAR($A514),MONTH($A514),1))</f>
        <v/>
      </c>
    </row>
    <row r="515">
      <c r="A515" s="85" t="n"/>
      <c r="B515" s="86" t="n"/>
      <c r="C515" s="86" t="n"/>
      <c r="D515" s="87" t="n"/>
      <c r="E515" s="87" t="n"/>
      <c r="F515" s="87" t="n"/>
      <c r="G515" s="87" t="n"/>
      <c r="H515" s="88" t="n"/>
      <c r="I515" s="89">
        <f>IF($G515="","",IF($F515="",IFERROR(INDEX(Setup!$C$21:$C$60,MATCH("|"&amp;UPPER(TRIM($G515)),Setup!$Q$21:$Q$60,0)),"NO RATE"),IFERROR(INDEX(Setup!$C$21:$C$60,MATCH(UPPER(TRIM($F515))&amp;"|"&amp;UPPER(TRIM($G515)),Setup!$P$21:$P$60,0)),IFERROR(INDEX(Setup!$C$21:$C$60,MATCH(UPPER(TRIM($G515))&amp;"|"&amp;UPPER(TRIM($F515)),Setup!$P$21:$P$60,0)),"NO RATE"))))</f>
        <v/>
      </c>
      <c r="J515" s="90" t="n"/>
      <c r="K515" s="89">
        <f>IF(OR($G515="",$H515="",NOT(ISNUMBER($I515))),"",ROUND($H515*$I515*(1+IF($J515="",Setup!$B$16,$J515)),2))</f>
        <v/>
      </c>
      <c r="L515" s="89">
        <f>IF($K515="","",ROUND($K515*Setup!$B$13,2))</f>
        <v/>
      </c>
      <c r="M515" s="89">
        <f>IF($K515="","",$K515-$L515)</f>
        <v/>
      </c>
      <c r="N515" s="89">
        <f>IF(OR($M515="",$D515=""),"",ROUND($M515*IFERROR(IF(VLOOKUP($D515,Setup!$A$76:$C$87,3,FALSE)="",Setup!$B$14,VLOOKUP($D515,Setup!$A$76:$C$87,3,FALSE)),Setup!$B$14),2))</f>
        <v/>
      </c>
      <c r="O515" s="89">
        <f>IF(OR($M515="",$E515=""),"",ROUND($M515*IFERROR(IF(VLOOKUP($E515,Setup!$A$76:$C$87,3,FALSE)="",Setup!$B$15,VLOOKUP($E515,Setup!$A$76:$C$87,3,FALSE)),Setup!$B$15),2))</f>
        <v/>
      </c>
      <c r="P515" s="91" t="n"/>
      <c r="Q515" s="91" t="n"/>
      <c r="R515" s="91" t="n"/>
      <c r="S515" s="91" t="n"/>
      <c r="T515" s="91" t="n"/>
      <c r="U515" s="89">
        <f>IF($K515="","",SUM($R515:$T515))</f>
        <v/>
      </c>
      <c r="V515" s="89">
        <f>IF($K515="","",$M515-(N($N515)+N($O515)+IF($P515="",Setup!$B$17,$P515)+N($Q515))-N($U515))</f>
        <v/>
      </c>
      <c r="W515" s="86" t="n"/>
      <c r="X515" s="87" t="n"/>
      <c r="Z515" s="92">
        <f>IF($A515="","",DATE(YEAR($A515),MONTH($A515),1))</f>
        <v/>
      </c>
    </row>
    <row r="516">
      <c r="A516" s="93" t="n"/>
      <c r="B516" s="94" t="n"/>
      <c r="C516" s="94" t="n"/>
      <c r="D516" s="95" t="n"/>
      <c r="E516" s="95" t="n"/>
      <c r="F516" s="95" t="n"/>
      <c r="G516" s="95" t="n"/>
      <c r="H516" s="96" t="n"/>
      <c r="I516" s="89">
        <f>IF($G516="","",IF($F516="",IFERROR(INDEX(Setup!$C$21:$C$60,MATCH("|"&amp;UPPER(TRIM($G516)),Setup!$Q$21:$Q$60,0)),"NO RATE"),IFERROR(INDEX(Setup!$C$21:$C$60,MATCH(UPPER(TRIM($F516))&amp;"|"&amp;UPPER(TRIM($G516)),Setup!$P$21:$P$60,0)),IFERROR(INDEX(Setup!$C$21:$C$60,MATCH(UPPER(TRIM($G516))&amp;"|"&amp;UPPER(TRIM($F516)),Setup!$P$21:$P$60,0)),"NO RATE"))))</f>
        <v/>
      </c>
      <c r="J516" s="97" t="n"/>
      <c r="K516" s="89">
        <f>IF(OR($G516="",$H516="",NOT(ISNUMBER($I516))),"",ROUND($H516*$I516*(1+IF($J516="",Setup!$B$16,$J516)),2))</f>
        <v/>
      </c>
      <c r="L516" s="89">
        <f>IF($K516="","",ROUND($K516*Setup!$B$13,2))</f>
        <v/>
      </c>
      <c r="M516" s="89">
        <f>IF($K516="","",$K516-$L516)</f>
        <v/>
      </c>
      <c r="N516" s="89">
        <f>IF(OR($M516="",$D516=""),"",ROUND($M516*IFERROR(IF(VLOOKUP($D516,Setup!$A$76:$C$87,3,FALSE)="",Setup!$B$14,VLOOKUP($D516,Setup!$A$76:$C$87,3,FALSE)),Setup!$B$14),2))</f>
        <v/>
      </c>
      <c r="O516" s="89">
        <f>IF(OR($M516="",$E516=""),"",ROUND($M516*IFERROR(IF(VLOOKUP($E516,Setup!$A$76:$C$87,3,FALSE)="",Setup!$B$15,VLOOKUP($E516,Setup!$A$76:$C$87,3,FALSE)),Setup!$B$15),2))</f>
        <v/>
      </c>
      <c r="P516" s="98" t="n"/>
      <c r="Q516" s="98" t="n"/>
      <c r="R516" s="98" t="n"/>
      <c r="S516" s="98" t="n"/>
      <c r="T516" s="98" t="n"/>
      <c r="U516" s="89">
        <f>IF($K516="","",SUM($R516:$T516))</f>
        <v/>
      </c>
      <c r="V516" s="89">
        <f>IF($K516="","",$M516-(N($N516)+N($O516)+IF($P516="",Setup!$B$17,$P516)+N($Q516))-N($U516))</f>
        <v/>
      </c>
      <c r="W516" s="94" t="n"/>
      <c r="X516" s="95" t="n"/>
      <c r="Z516" s="92">
        <f>IF($A516="","",DATE(YEAR($A516),MONTH($A516),1))</f>
        <v/>
      </c>
    </row>
    <row r="517">
      <c r="A517" s="85" t="n"/>
      <c r="B517" s="86" t="n"/>
      <c r="C517" s="86" t="n"/>
      <c r="D517" s="87" t="n"/>
      <c r="E517" s="87" t="n"/>
      <c r="F517" s="87" t="n"/>
      <c r="G517" s="87" t="n"/>
      <c r="H517" s="88" t="n"/>
      <c r="I517" s="89">
        <f>IF($G517="","",IF($F517="",IFERROR(INDEX(Setup!$C$21:$C$60,MATCH("|"&amp;UPPER(TRIM($G517)),Setup!$Q$21:$Q$60,0)),"NO RATE"),IFERROR(INDEX(Setup!$C$21:$C$60,MATCH(UPPER(TRIM($F517))&amp;"|"&amp;UPPER(TRIM($G517)),Setup!$P$21:$P$60,0)),IFERROR(INDEX(Setup!$C$21:$C$60,MATCH(UPPER(TRIM($G517))&amp;"|"&amp;UPPER(TRIM($F517)),Setup!$P$21:$P$60,0)),"NO RATE"))))</f>
        <v/>
      </c>
      <c r="J517" s="90" t="n"/>
      <c r="K517" s="89">
        <f>IF(OR($G517="",$H517="",NOT(ISNUMBER($I517))),"",ROUND($H517*$I517*(1+IF($J517="",Setup!$B$16,$J517)),2))</f>
        <v/>
      </c>
      <c r="L517" s="89">
        <f>IF($K517="","",ROUND($K517*Setup!$B$13,2))</f>
        <v/>
      </c>
      <c r="M517" s="89">
        <f>IF($K517="","",$K517-$L517)</f>
        <v/>
      </c>
      <c r="N517" s="89">
        <f>IF(OR($M517="",$D517=""),"",ROUND($M517*IFERROR(IF(VLOOKUP($D517,Setup!$A$76:$C$87,3,FALSE)="",Setup!$B$14,VLOOKUP($D517,Setup!$A$76:$C$87,3,FALSE)),Setup!$B$14),2))</f>
        <v/>
      </c>
      <c r="O517" s="89">
        <f>IF(OR($M517="",$E517=""),"",ROUND($M517*IFERROR(IF(VLOOKUP($E517,Setup!$A$76:$C$87,3,FALSE)="",Setup!$B$15,VLOOKUP($E517,Setup!$A$76:$C$87,3,FALSE)),Setup!$B$15),2))</f>
        <v/>
      </c>
      <c r="P517" s="91" t="n"/>
      <c r="Q517" s="91" t="n"/>
      <c r="R517" s="91" t="n"/>
      <c r="S517" s="91" t="n"/>
      <c r="T517" s="91" t="n"/>
      <c r="U517" s="89">
        <f>IF($K517="","",SUM($R517:$T517))</f>
        <v/>
      </c>
      <c r="V517" s="89">
        <f>IF($K517="","",$M517-(N($N517)+N($O517)+IF($P517="",Setup!$B$17,$P517)+N($Q517))-N($U517))</f>
        <v/>
      </c>
      <c r="W517" s="86" t="n"/>
      <c r="X517" s="87" t="n"/>
      <c r="Z517" s="92">
        <f>IF($A517="","",DATE(YEAR($A517),MONTH($A517),1))</f>
        <v/>
      </c>
    </row>
    <row r="518">
      <c r="A518" s="93" t="n"/>
      <c r="B518" s="94" t="n"/>
      <c r="C518" s="94" t="n"/>
      <c r="D518" s="95" t="n"/>
      <c r="E518" s="95" t="n"/>
      <c r="F518" s="95" t="n"/>
      <c r="G518" s="95" t="n"/>
      <c r="H518" s="96" t="n"/>
      <c r="I518" s="89">
        <f>IF($G518="","",IF($F518="",IFERROR(INDEX(Setup!$C$21:$C$60,MATCH("|"&amp;UPPER(TRIM($G518)),Setup!$Q$21:$Q$60,0)),"NO RATE"),IFERROR(INDEX(Setup!$C$21:$C$60,MATCH(UPPER(TRIM($F518))&amp;"|"&amp;UPPER(TRIM($G518)),Setup!$P$21:$P$60,0)),IFERROR(INDEX(Setup!$C$21:$C$60,MATCH(UPPER(TRIM($G518))&amp;"|"&amp;UPPER(TRIM($F518)),Setup!$P$21:$P$60,0)),"NO RATE"))))</f>
        <v/>
      </c>
      <c r="J518" s="97" t="n"/>
      <c r="K518" s="89">
        <f>IF(OR($G518="",$H518="",NOT(ISNUMBER($I518))),"",ROUND($H518*$I518*(1+IF($J518="",Setup!$B$16,$J518)),2))</f>
        <v/>
      </c>
      <c r="L518" s="89">
        <f>IF($K518="","",ROUND($K518*Setup!$B$13,2))</f>
        <v/>
      </c>
      <c r="M518" s="89">
        <f>IF($K518="","",$K518-$L518)</f>
        <v/>
      </c>
      <c r="N518" s="89">
        <f>IF(OR($M518="",$D518=""),"",ROUND($M518*IFERROR(IF(VLOOKUP($D518,Setup!$A$76:$C$87,3,FALSE)="",Setup!$B$14,VLOOKUP($D518,Setup!$A$76:$C$87,3,FALSE)),Setup!$B$14),2))</f>
        <v/>
      </c>
      <c r="O518" s="89">
        <f>IF(OR($M518="",$E518=""),"",ROUND($M518*IFERROR(IF(VLOOKUP($E518,Setup!$A$76:$C$87,3,FALSE)="",Setup!$B$15,VLOOKUP($E518,Setup!$A$76:$C$87,3,FALSE)),Setup!$B$15),2))</f>
        <v/>
      </c>
      <c r="P518" s="98" t="n"/>
      <c r="Q518" s="98" t="n"/>
      <c r="R518" s="98" t="n"/>
      <c r="S518" s="98" t="n"/>
      <c r="T518" s="98" t="n"/>
      <c r="U518" s="89">
        <f>IF($K518="","",SUM($R518:$T518))</f>
        <v/>
      </c>
      <c r="V518" s="89">
        <f>IF($K518="","",$M518-(N($N518)+N($O518)+IF($P518="",Setup!$B$17,$P518)+N($Q518))-N($U518))</f>
        <v/>
      </c>
      <c r="W518" s="94" t="n"/>
      <c r="X518" s="95" t="n"/>
      <c r="Z518" s="92">
        <f>IF($A518="","",DATE(YEAR($A518),MONTH($A518),1))</f>
        <v/>
      </c>
    </row>
    <row r="519">
      <c r="A519" s="85" t="n"/>
      <c r="B519" s="86" t="n"/>
      <c r="C519" s="86" t="n"/>
      <c r="D519" s="87" t="n"/>
      <c r="E519" s="87" t="n"/>
      <c r="F519" s="87" t="n"/>
      <c r="G519" s="87" t="n"/>
      <c r="H519" s="88" t="n"/>
      <c r="I519" s="89">
        <f>IF($G519="","",IF($F519="",IFERROR(INDEX(Setup!$C$21:$C$60,MATCH("|"&amp;UPPER(TRIM($G519)),Setup!$Q$21:$Q$60,0)),"NO RATE"),IFERROR(INDEX(Setup!$C$21:$C$60,MATCH(UPPER(TRIM($F519))&amp;"|"&amp;UPPER(TRIM($G519)),Setup!$P$21:$P$60,0)),IFERROR(INDEX(Setup!$C$21:$C$60,MATCH(UPPER(TRIM($G519))&amp;"|"&amp;UPPER(TRIM($F519)),Setup!$P$21:$P$60,0)),"NO RATE"))))</f>
        <v/>
      </c>
      <c r="J519" s="90" t="n"/>
      <c r="K519" s="89">
        <f>IF(OR($G519="",$H519="",NOT(ISNUMBER($I519))),"",ROUND($H519*$I519*(1+IF($J519="",Setup!$B$16,$J519)),2))</f>
        <v/>
      </c>
      <c r="L519" s="89">
        <f>IF($K519="","",ROUND($K519*Setup!$B$13,2))</f>
        <v/>
      </c>
      <c r="M519" s="89">
        <f>IF($K519="","",$K519-$L519)</f>
        <v/>
      </c>
      <c r="N519" s="89">
        <f>IF(OR($M519="",$D519=""),"",ROUND($M519*IFERROR(IF(VLOOKUP($D519,Setup!$A$76:$C$87,3,FALSE)="",Setup!$B$14,VLOOKUP($D519,Setup!$A$76:$C$87,3,FALSE)),Setup!$B$14),2))</f>
        <v/>
      </c>
      <c r="O519" s="89">
        <f>IF(OR($M519="",$E519=""),"",ROUND($M519*IFERROR(IF(VLOOKUP($E519,Setup!$A$76:$C$87,3,FALSE)="",Setup!$B$15,VLOOKUP($E519,Setup!$A$76:$C$87,3,FALSE)),Setup!$B$15),2))</f>
        <v/>
      </c>
      <c r="P519" s="91" t="n"/>
      <c r="Q519" s="91" t="n"/>
      <c r="R519" s="91" t="n"/>
      <c r="S519" s="91" t="n"/>
      <c r="T519" s="91" t="n"/>
      <c r="U519" s="89">
        <f>IF($K519="","",SUM($R519:$T519))</f>
        <v/>
      </c>
      <c r="V519" s="89">
        <f>IF($K519="","",$M519-(N($N519)+N($O519)+IF($P519="",Setup!$B$17,$P519)+N($Q519))-N($U519))</f>
        <v/>
      </c>
      <c r="W519" s="86" t="n"/>
      <c r="X519" s="87" t="n"/>
      <c r="Z519" s="92">
        <f>IF($A519="","",DATE(YEAR($A519),MONTH($A519),1))</f>
        <v/>
      </c>
    </row>
    <row r="520">
      <c r="A520" s="93" t="n"/>
      <c r="B520" s="94" t="n"/>
      <c r="C520" s="94" t="n"/>
      <c r="D520" s="95" t="n"/>
      <c r="E520" s="95" t="n"/>
      <c r="F520" s="95" t="n"/>
      <c r="G520" s="95" t="n"/>
      <c r="H520" s="96" t="n"/>
      <c r="I520" s="89">
        <f>IF($G520="","",IF($F520="",IFERROR(INDEX(Setup!$C$21:$C$60,MATCH("|"&amp;UPPER(TRIM($G520)),Setup!$Q$21:$Q$60,0)),"NO RATE"),IFERROR(INDEX(Setup!$C$21:$C$60,MATCH(UPPER(TRIM($F520))&amp;"|"&amp;UPPER(TRIM($G520)),Setup!$P$21:$P$60,0)),IFERROR(INDEX(Setup!$C$21:$C$60,MATCH(UPPER(TRIM($G520))&amp;"|"&amp;UPPER(TRIM($F520)),Setup!$P$21:$P$60,0)),"NO RATE"))))</f>
        <v/>
      </c>
      <c r="J520" s="97" t="n"/>
      <c r="K520" s="89">
        <f>IF(OR($G520="",$H520="",NOT(ISNUMBER($I520))),"",ROUND($H520*$I520*(1+IF($J520="",Setup!$B$16,$J520)),2))</f>
        <v/>
      </c>
      <c r="L520" s="89">
        <f>IF($K520="","",ROUND($K520*Setup!$B$13,2))</f>
        <v/>
      </c>
      <c r="M520" s="89">
        <f>IF($K520="","",$K520-$L520)</f>
        <v/>
      </c>
      <c r="N520" s="89">
        <f>IF(OR($M520="",$D520=""),"",ROUND($M520*IFERROR(IF(VLOOKUP($D520,Setup!$A$76:$C$87,3,FALSE)="",Setup!$B$14,VLOOKUP($D520,Setup!$A$76:$C$87,3,FALSE)),Setup!$B$14),2))</f>
        <v/>
      </c>
      <c r="O520" s="89">
        <f>IF(OR($M520="",$E520=""),"",ROUND($M520*IFERROR(IF(VLOOKUP($E520,Setup!$A$76:$C$87,3,FALSE)="",Setup!$B$15,VLOOKUP($E520,Setup!$A$76:$C$87,3,FALSE)),Setup!$B$15),2))</f>
        <v/>
      </c>
      <c r="P520" s="98" t="n"/>
      <c r="Q520" s="98" t="n"/>
      <c r="R520" s="98" t="n"/>
      <c r="S520" s="98" t="n"/>
      <c r="T520" s="98" t="n"/>
      <c r="U520" s="89">
        <f>IF($K520="","",SUM($R520:$T520))</f>
        <v/>
      </c>
      <c r="V520" s="89">
        <f>IF($K520="","",$M520-(N($N520)+N($O520)+IF($P520="",Setup!$B$17,$P520)+N($Q520))-N($U520))</f>
        <v/>
      </c>
      <c r="W520" s="94" t="n"/>
      <c r="X520" s="95" t="n"/>
      <c r="Z520" s="92">
        <f>IF($A520="","",DATE(YEAR($A520),MONTH($A520),1))</f>
        <v/>
      </c>
    </row>
    <row r="521">
      <c r="A521" s="85" t="n"/>
      <c r="B521" s="86" t="n"/>
      <c r="C521" s="86" t="n"/>
      <c r="D521" s="87" t="n"/>
      <c r="E521" s="87" t="n"/>
      <c r="F521" s="87" t="n"/>
      <c r="G521" s="87" t="n"/>
      <c r="H521" s="88" t="n"/>
      <c r="I521" s="89">
        <f>IF($G521="","",IF($F521="",IFERROR(INDEX(Setup!$C$21:$C$60,MATCH("|"&amp;UPPER(TRIM($G521)),Setup!$Q$21:$Q$60,0)),"NO RATE"),IFERROR(INDEX(Setup!$C$21:$C$60,MATCH(UPPER(TRIM($F521))&amp;"|"&amp;UPPER(TRIM($G521)),Setup!$P$21:$P$60,0)),IFERROR(INDEX(Setup!$C$21:$C$60,MATCH(UPPER(TRIM($G521))&amp;"|"&amp;UPPER(TRIM($F521)),Setup!$P$21:$P$60,0)),"NO RATE"))))</f>
        <v/>
      </c>
      <c r="J521" s="90" t="n"/>
      <c r="K521" s="89">
        <f>IF(OR($G521="",$H521="",NOT(ISNUMBER($I521))),"",ROUND($H521*$I521*(1+IF($J521="",Setup!$B$16,$J521)),2))</f>
        <v/>
      </c>
      <c r="L521" s="89">
        <f>IF($K521="","",ROUND($K521*Setup!$B$13,2))</f>
        <v/>
      </c>
      <c r="M521" s="89">
        <f>IF($K521="","",$K521-$L521)</f>
        <v/>
      </c>
      <c r="N521" s="89">
        <f>IF(OR($M521="",$D521=""),"",ROUND($M521*IFERROR(IF(VLOOKUP($D521,Setup!$A$76:$C$87,3,FALSE)="",Setup!$B$14,VLOOKUP($D521,Setup!$A$76:$C$87,3,FALSE)),Setup!$B$14),2))</f>
        <v/>
      </c>
      <c r="O521" s="89">
        <f>IF(OR($M521="",$E521=""),"",ROUND($M521*IFERROR(IF(VLOOKUP($E521,Setup!$A$76:$C$87,3,FALSE)="",Setup!$B$15,VLOOKUP($E521,Setup!$A$76:$C$87,3,FALSE)),Setup!$B$15),2))</f>
        <v/>
      </c>
      <c r="P521" s="91" t="n"/>
      <c r="Q521" s="91" t="n"/>
      <c r="R521" s="91" t="n"/>
      <c r="S521" s="91" t="n"/>
      <c r="T521" s="91" t="n"/>
      <c r="U521" s="89">
        <f>IF($K521="","",SUM($R521:$T521))</f>
        <v/>
      </c>
      <c r="V521" s="89">
        <f>IF($K521="","",$M521-(N($N521)+N($O521)+IF($P521="",Setup!$B$17,$P521)+N($Q521))-N($U521))</f>
        <v/>
      </c>
      <c r="W521" s="86" t="n"/>
      <c r="X521" s="87" t="n"/>
      <c r="Z521" s="92">
        <f>IF($A521="","",DATE(YEAR($A521),MONTH($A521),1))</f>
        <v/>
      </c>
    </row>
    <row r="522">
      <c r="A522" s="93" t="n"/>
      <c r="B522" s="94" t="n"/>
      <c r="C522" s="94" t="n"/>
      <c r="D522" s="95" t="n"/>
      <c r="E522" s="95" t="n"/>
      <c r="F522" s="95" t="n"/>
      <c r="G522" s="95" t="n"/>
      <c r="H522" s="96" t="n"/>
      <c r="I522" s="89">
        <f>IF($G522="","",IF($F522="",IFERROR(INDEX(Setup!$C$21:$C$60,MATCH("|"&amp;UPPER(TRIM($G522)),Setup!$Q$21:$Q$60,0)),"NO RATE"),IFERROR(INDEX(Setup!$C$21:$C$60,MATCH(UPPER(TRIM($F522))&amp;"|"&amp;UPPER(TRIM($G522)),Setup!$P$21:$P$60,0)),IFERROR(INDEX(Setup!$C$21:$C$60,MATCH(UPPER(TRIM($G522))&amp;"|"&amp;UPPER(TRIM($F522)),Setup!$P$21:$P$60,0)),"NO RATE"))))</f>
        <v/>
      </c>
      <c r="J522" s="97" t="n"/>
      <c r="K522" s="89">
        <f>IF(OR($G522="",$H522="",NOT(ISNUMBER($I522))),"",ROUND($H522*$I522*(1+IF($J522="",Setup!$B$16,$J522)),2))</f>
        <v/>
      </c>
      <c r="L522" s="89">
        <f>IF($K522="","",ROUND($K522*Setup!$B$13,2))</f>
        <v/>
      </c>
      <c r="M522" s="89">
        <f>IF($K522="","",$K522-$L522)</f>
        <v/>
      </c>
      <c r="N522" s="89">
        <f>IF(OR($M522="",$D522=""),"",ROUND($M522*IFERROR(IF(VLOOKUP($D522,Setup!$A$76:$C$87,3,FALSE)="",Setup!$B$14,VLOOKUP($D522,Setup!$A$76:$C$87,3,FALSE)),Setup!$B$14),2))</f>
        <v/>
      </c>
      <c r="O522" s="89">
        <f>IF(OR($M522="",$E522=""),"",ROUND($M522*IFERROR(IF(VLOOKUP($E522,Setup!$A$76:$C$87,3,FALSE)="",Setup!$B$15,VLOOKUP($E522,Setup!$A$76:$C$87,3,FALSE)),Setup!$B$15),2))</f>
        <v/>
      </c>
      <c r="P522" s="98" t="n"/>
      <c r="Q522" s="98" t="n"/>
      <c r="R522" s="98" t="n"/>
      <c r="S522" s="98" t="n"/>
      <c r="T522" s="98" t="n"/>
      <c r="U522" s="89">
        <f>IF($K522="","",SUM($R522:$T522))</f>
        <v/>
      </c>
      <c r="V522" s="89">
        <f>IF($K522="","",$M522-(N($N522)+N($O522)+IF($P522="",Setup!$B$17,$P522)+N($Q522))-N($U522))</f>
        <v/>
      </c>
      <c r="W522" s="94" t="n"/>
      <c r="X522" s="95" t="n"/>
      <c r="Z522" s="92">
        <f>IF($A522="","",DATE(YEAR($A522),MONTH($A522),1))</f>
        <v/>
      </c>
    </row>
    <row r="523">
      <c r="A523" s="85" t="n"/>
      <c r="B523" s="86" t="n"/>
      <c r="C523" s="86" t="n"/>
      <c r="D523" s="87" t="n"/>
      <c r="E523" s="87" t="n"/>
      <c r="F523" s="87" t="n"/>
      <c r="G523" s="87" t="n"/>
      <c r="H523" s="88" t="n"/>
      <c r="I523" s="89">
        <f>IF($G523="","",IF($F523="",IFERROR(INDEX(Setup!$C$21:$C$60,MATCH("|"&amp;UPPER(TRIM($G523)),Setup!$Q$21:$Q$60,0)),"NO RATE"),IFERROR(INDEX(Setup!$C$21:$C$60,MATCH(UPPER(TRIM($F523))&amp;"|"&amp;UPPER(TRIM($G523)),Setup!$P$21:$P$60,0)),IFERROR(INDEX(Setup!$C$21:$C$60,MATCH(UPPER(TRIM($G523))&amp;"|"&amp;UPPER(TRIM($F523)),Setup!$P$21:$P$60,0)),"NO RATE"))))</f>
        <v/>
      </c>
      <c r="J523" s="90" t="n"/>
      <c r="K523" s="89">
        <f>IF(OR($G523="",$H523="",NOT(ISNUMBER($I523))),"",ROUND($H523*$I523*(1+IF($J523="",Setup!$B$16,$J523)),2))</f>
        <v/>
      </c>
      <c r="L523" s="89">
        <f>IF($K523="","",ROUND($K523*Setup!$B$13,2))</f>
        <v/>
      </c>
      <c r="M523" s="89">
        <f>IF($K523="","",$K523-$L523)</f>
        <v/>
      </c>
      <c r="N523" s="89">
        <f>IF(OR($M523="",$D523=""),"",ROUND($M523*IFERROR(IF(VLOOKUP($D523,Setup!$A$76:$C$87,3,FALSE)="",Setup!$B$14,VLOOKUP($D523,Setup!$A$76:$C$87,3,FALSE)),Setup!$B$14),2))</f>
        <v/>
      </c>
      <c r="O523" s="89">
        <f>IF(OR($M523="",$E523=""),"",ROUND($M523*IFERROR(IF(VLOOKUP($E523,Setup!$A$76:$C$87,3,FALSE)="",Setup!$B$15,VLOOKUP($E523,Setup!$A$76:$C$87,3,FALSE)),Setup!$B$15),2))</f>
        <v/>
      </c>
      <c r="P523" s="91" t="n"/>
      <c r="Q523" s="91" t="n"/>
      <c r="R523" s="91" t="n"/>
      <c r="S523" s="91" t="n"/>
      <c r="T523" s="91" t="n"/>
      <c r="U523" s="89">
        <f>IF($K523="","",SUM($R523:$T523))</f>
        <v/>
      </c>
      <c r="V523" s="89">
        <f>IF($K523="","",$M523-(N($N523)+N($O523)+IF($P523="",Setup!$B$17,$P523)+N($Q523))-N($U523))</f>
        <v/>
      </c>
      <c r="W523" s="86" t="n"/>
      <c r="X523" s="87" t="n"/>
      <c r="Z523" s="92">
        <f>IF($A523="","",DATE(YEAR($A523),MONTH($A523),1))</f>
        <v/>
      </c>
    </row>
    <row r="524">
      <c r="A524" s="93" t="n"/>
      <c r="B524" s="94" t="n"/>
      <c r="C524" s="94" t="n"/>
      <c r="D524" s="95" t="n"/>
      <c r="E524" s="95" t="n"/>
      <c r="F524" s="95" t="n"/>
      <c r="G524" s="95" t="n"/>
      <c r="H524" s="96" t="n"/>
      <c r="I524" s="89">
        <f>IF($G524="","",IF($F524="",IFERROR(INDEX(Setup!$C$21:$C$60,MATCH("|"&amp;UPPER(TRIM($G524)),Setup!$Q$21:$Q$60,0)),"NO RATE"),IFERROR(INDEX(Setup!$C$21:$C$60,MATCH(UPPER(TRIM($F524))&amp;"|"&amp;UPPER(TRIM($G524)),Setup!$P$21:$P$60,0)),IFERROR(INDEX(Setup!$C$21:$C$60,MATCH(UPPER(TRIM($G524))&amp;"|"&amp;UPPER(TRIM($F524)),Setup!$P$21:$P$60,0)),"NO RATE"))))</f>
        <v/>
      </c>
      <c r="J524" s="97" t="n"/>
      <c r="K524" s="89">
        <f>IF(OR($G524="",$H524="",NOT(ISNUMBER($I524))),"",ROUND($H524*$I524*(1+IF($J524="",Setup!$B$16,$J524)),2))</f>
        <v/>
      </c>
      <c r="L524" s="89">
        <f>IF($K524="","",ROUND($K524*Setup!$B$13,2))</f>
        <v/>
      </c>
      <c r="M524" s="89">
        <f>IF($K524="","",$K524-$L524)</f>
        <v/>
      </c>
      <c r="N524" s="89">
        <f>IF(OR($M524="",$D524=""),"",ROUND($M524*IFERROR(IF(VLOOKUP($D524,Setup!$A$76:$C$87,3,FALSE)="",Setup!$B$14,VLOOKUP($D524,Setup!$A$76:$C$87,3,FALSE)),Setup!$B$14),2))</f>
        <v/>
      </c>
      <c r="O524" s="89">
        <f>IF(OR($M524="",$E524=""),"",ROUND($M524*IFERROR(IF(VLOOKUP($E524,Setup!$A$76:$C$87,3,FALSE)="",Setup!$B$15,VLOOKUP($E524,Setup!$A$76:$C$87,3,FALSE)),Setup!$B$15),2))</f>
        <v/>
      </c>
      <c r="P524" s="98" t="n"/>
      <c r="Q524" s="98" t="n"/>
      <c r="R524" s="98" t="n"/>
      <c r="S524" s="98" t="n"/>
      <c r="T524" s="98" t="n"/>
      <c r="U524" s="89">
        <f>IF($K524="","",SUM($R524:$T524))</f>
        <v/>
      </c>
      <c r="V524" s="89">
        <f>IF($K524="","",$M524-(N($N524)+N($O524)+IF($P524="",Setup!$B$17,$P524)+N($Q524))-N($U524))</f>
        <v/>
      </c>
      <c r="W524" s="94" t="n"/>
      <c r="X524" s="95" t="n"/>
      <c r="Z524" s="92">
        <f>IF($A524="","",DATE(YEAR($A524),MONTH($A524),1))</f>
        <v/>
      </c>
    </row>
    <row r="525">
      <c r="A525" s="85" t="n"/>
      <c r="B525" s="86" t="n"/>
      <c r="C525" s="86" t="n"/>
      <c r="D525" s="87" t="n"/>
      <c r="E525" s="87" t="n"/>
      <c r="F525" s="87" t="n"/>
      <c r="G525" s="87" t="n"/>
      <c r="H525" s="88" t="n"/>
      <c r="I525" s="89">
        <f>IF($G525="","",IF($F525="",IFERROR(INDEX(Setup!$C$21:$C$60,MATCH("|"&amp;UPPER(TRIM($G525)),Setup!$Q$21:$Q$60,0)),"NO RATE"),IFERROR(INDEX(Setup!$C$21:$C$60,MATCH(UPPER(TRIM($F525))&amp;"|"&amp;UPPER(TRIM($G525)),Setup!$P$21:$P$60,0)),IFERROR(INDEX(Setup!$C$21:$C$60,MATCH(UPPER(TRIM($G525))&amp;"|"&amp;UPPER(TRIM($F525)),Setup!$P$21:$P$60,0)),"NO RATE"))))</f>
        <v/>
      </c>
      <c r="J525" s="90" t="n"/>
      <c r="K525" s="89">
        <f>IF(OR($G525="",$H525="",NOT(ISNUMBER($I525))),"",ROUND($H525*$I525*(1+IF($J525="",Setup!$B$16,$J525)),2))</f>
        <v/>
      </c>
      <c r="L525" s="89">
        <f>IF($K525="","",ROUND($K525*Setup!$B$13,2))</f>
        <v/>
      </c>
      <c r="M525" s="89">
        <f>IF($K525="","",$K525-$L525)</f>
        <v/>
      </c>
      <c r="N525" s="89">
        <f>IF(OR($M525="",$D525=""),"",ROUND($M525*IFERROR(IF(VLOOKUP($D525,Setup!$A$76:$C$87,3,FALSE)="",Setup!$B$14,VLOOKUP($D525,Setup!$A$76:$C$87,3,FALSE)),Setup!$B$14),2))</f>
        <v/>
      </c>
      <c r="O525" s="89">
        <f>IF(OR($M525="",$E525=""),"",ROUND($M525*IFERROR(IF(VLOOKUP($E525,Setup!$A$76:$C$87,3,FALSE)="",Setup!$B$15,VLOOKUP($E525,Setup!$A$76:$C$87,3,FALSE)),Setup!$B$15),2))</f>
        <v/>
      </c>
      <c r="P525" s="91" t="n"/>
      <c r="Q525" s="91" t="n"/>
      <c r="R525" s="91" t="n"/>
      <c r="S525" s="91" t="n"/>
      <c r="T525" s="91" t="n"/>
      <c r="U525" s="89">
        <f>IF($K525="","",SUM($R525:$T525))</f>
        <v/>
      </c>
      <c r="V525" s="89">
        <f>IF($K525="","",$M525-(N($N525)+N($O525)+IF($P525="",Setup!$B$17,$P525)+N($Q525))-N($U525))</f>
        <v/>
      </c>
      <c r="W525" s="86" t="n"/>
      <c r="X525" s="87" t="n"/>
      <c r="Z525" s="92">
        <f>IF($A525="","",DATE(YEAR($A525),MONTH($A525),1))</f>
        <v/>
      </c>
    </row>
    <row r="526">
      <c r="A526" s="93" t="n"/>
      <c r="B526" s="94" t="n"/>
      <c r="C526" s="94" t="n"/>
      <c r="D526" s="95" t="n"/>
      <c r="E526" s="95" t="n"/>
      <c r="F526" s="95" t="n"/>
      <c r="G526" s="95" t="n"/>
      <c r="H526" s="96" t="n"/>
      <c r="I526" s="89">
        <f>IF($G526="","",IF($F526="",IFERROR(INDEX(Setup!$C$21:$C$60,MATCH("|"&amp;UPPER(TRIM($G526)),Setup!$Q$21:$Q$60,0)),"NO RATE"),IFERROR(INDEX(Setup!$C$21:$C$60,MATCH(UPPER(TRIM($F526))&amp;"|"&amp;UPPER(TRIM($G526)),Setup!$P$21:$P$60,0)),IFERROR(INDEX(Setup!$C$21:$C$60,MATCH(UPPER(TRIM($G526))&amp;"|"&amp;UPPER(TRIM($F526)),Setup!$P$21:$P$60,0)),"NO RATE"))))</f>
        <v/>
      </c>
      <c r="J526" s="97" t="n"/>
      <c r="K526" s="89">
        <f>IF(OR($G526="",$H526="",NOT(ISNUMBER($I526))),"",ROUND($H526*$I526*(1+IF($J526="",Setup!$B$16,$J526)),2))</f>
        <v/>
      </c>
      <c r="L526" s="89">
        <f>IF($K526="","",ROUND($K526*Setup!$B$13,2))</f>
        <v/>
      </c>
      <c r="M526" s="89">
        <f>IF($K526="","",$K526-$L526)</f>
        <v/>
      </c>
      <c r="N526" s="89">
        <f>IF(OR($M526="",$D526=""),"",ROUND($M526*IFERROR(IF(VLOOKUP($D526,Setup!$A$76:$C$87,3,FALSE)="",Setup!$B$14,VLOOKUP($D526,Setup!$A$76:$C$87,3,FALSE)),Setup!$B$14),2))</f>
        <v/>
      </c>
      <c r="O526" s="89">
        <f>IF(OR($M526="",$E526=""),"",ROUND($M526*IFERROR(IF(VLOOKUP($E526,Setup!$A$76:$C$87,3,FALSE)="",Setup!$B$15,VLOOKUP($E526,Setup!$A$76:$C$87,3,FALSE)),Setup!$B$15),2))</f>
        <v/>
      </c>
      <c r="P526" s="98" t="n"/>
      <c r="Q526" s="98" t="n"/>
      <c r="R526" s="98" t="n"/>
      <c r="S526" s="98" t="n"/>
      <c r="T526" s="98" t="n"/>
      <c r="U526" s="89">
        <f>IF($K526="","",SUM($R526:$T526))</f>
        <v/>
      </c>
      <c r="V526" s="89">
        <f>IF($K526="","",$M526-(N($N526)+N($O526)+IF($P526="",Setup!$B$17,$P526)+N($Q526))-N($U526))</f>
        <v/>
      </c>
      <c r="W526" s="94" t="n"/>
      <c r="X526" s="95" t="n"/>
      <c r="Z526" s="92">
        <f>IF($A526="","",DATE(YEAR($A526),MONTH($A526),1))</f>
        <v/>
      </c>
    </row>
    <row r="527">
      <c r="A527" s="85" t="n"/>
      <c r="B527" s="86" t="n"/>
      <c r="C527" s="86" t="n"/>
      <c r="D527" s="87" t="n"/>
      <c r="E527" s="87" t="n"/>
      <c r="F527" s="87" t="n"/>
      <c r="G527" s="87" t="n"/>
      <c r="H527" s="88" t="n"/>
      <c r="I527" s="89">
        <f>IF($G527="","",IF($F527="",IFERROR(INDEX(Setup!$C$21:$C$60,MATCH("|"&amp;UPPER(TRIM($G527)),Setup!$Q$21:$Q$60,0)),"NO RATE"),IFERROR(INDEX(Setup!$C$21:$C$60,MATCH(UPPER(TRIM($F527))&amp;"|"&amp;UPPER(TRIM($G527)),Setup!$P$21:$P$60,0)),IFERROR(INDEX(Setup!$C$21:$C$60,MATCH(UPPER(TRIM($G527))&amp;"|"&amp;UPPER(TRIM($F527)),Setup!$P$21:$P$60,0)),"NO RATE"))))</f>
        <v/>
      </c>
      <c r="J527" s="90" t="n"/>
      <c r="K527" s="89">
        <f>IF(OR($G527="",$H527="",NOT(ISNUMBER($I527))),"",ROUND($H527*$I527*(1+IF($J527="",Setup!$B$16,$J527)),2))</f>
        <v/>
      </c>
      <c r="L527" s="89">
        <f>IF($K527="","",ROUND($K527*Setup!$B$13,2))</f>
        <v/>
      </c>
      <c r="M527" s="89">
        <f>IF($K527="","",$K527-$L527)</f>
        <v/>
      </c>
      <c r="N527" s="89">
        <f>IF(OR($M527="",$D527=""),"",ROUND($M527*IFERROR(IF(VLOOKUP($D527,Setup!$A$76:$C$87,3,FALSE)="",Setup!$B$14,VLOOKUP($D527,Setup!$A$76:$C$87,3,FALSE)),Setup!$B$14),2))</f>
        <v/>
      </c>
      <c r="O527" s="89">
        <f>IF(OR($M527="",$E527=""),"",ROUND($M527*IFERROR(IF(VLOOKUP($E527,Setup!$A$76:$C$87,3,FALSE)="",Setup!$B$15,VLOOKUP($E527,Setup!$A$76:$C$87,3,FALSE)),Setup!$B$15),2))</f>
        <v/>
      </c>
      <c r="P527" s="91" t="n"/>
      <c r="Q527" s="91" t="n"/>
      <c r="R527" s="91" t="n"/>
      <c r="S527" s="91" t="n"/>
      <c r="T527" s="91" t="n"/>
      <c r="U527" s="89">
        <f>IF($K527="","",SUM($R527:$T527))</f>
        <v/>
      </c>
      <c r="V527" s="89">
        <f>IF($K527="","",$M527-(N($N527)+N($O527)+IF($P527="",Setup!$B$17,$P527)+N($Q527))-N($U527))</f>
        <v/>
      </c>
      <c r="W527" s="86" t="n"/>
      <c r="X527" s="87" t="n"/>
      <c r="Z527" s="92">
        <f>IF($A527="","",DATE(YEAR($A527),MONTH($A527),1))</f>
        <v/>
      </c>
    </row>
    <row r="528">
      <c r="A528" s="93" t="n"/>
      <c r="B528" s="94" t="n"/>
      <c r="C528" s="94" t="n"/>
      <c r="D528" s="95" t="n"/>
      <c r="E528" s="95" t="n"/>
      <c r="F528" s="95" t="n"/>
      <c r="G528" s="95" t="n"/>
      <c r="H528" s="96" t="n"/>
      <c r="I528" s="89">
        <f>IF($G528="","",IF($F528="",IFERROR(INDEX(Setup!$C$21:$C$60,MATCH("|"&amp;UPPER(TRIM($G528)),Setup!$Q$21:$Q$60,0)),"NO RATE"),IFERROR(INDEX(Setup!$C$21:$C$60,MATCH(UPPER(TRIM($F528))&amp;"|"&amp;UPPER(TRIM($G528)),Setup!$P$21:$P$60,0)),IFERROR(INDEX(Setup!$C$21:$C$60,MATCH(UPPER(TRIM($G528))&amp;"|"&amp;UPPER(TRIM($F528)),Setup!$P$21:$P$60,0)),"NO RATE"))))</f>
        <v/>
      </c>
      <c r="J528" s="97" t="n"/>
      <c r="K528" s="89">
        <f>IF(OR($G528="",$H528="",NOT(ISNUMBER($I528))),"",ROUND($H528*$I528*(1+IF($J528="",Setup!$B$16,$J528)),2))</f>
        <v/>
      </c>
      <c r="L528" s="89">
        <f>IF($K528="","",ROUND($K528*Setup!$B$13,2))</f>
        <v/>
      </c>
      <c r="M528" s="89">
        <f>IF($K528="","",$K528-$L528)</f>
        <v/>
      </c>
      <c r="N528" s="89">
        <f>IF(OR($M528="",$D528=""),"",ROUND($M528*IFERROR(IF(VLOOKUP($D528,Setup!$A$76:$C$87,3,FALSE)="",Setup!$B$14,VLOOKUP($D528,Setup!$A$76:$C$87,3,FALSE)),Setup!$B$14),2))</f>
        <v/>
      </c>
      <c r="O528" s="89">
        <f>IF(OR($M528="",$E528=""),"",ROUND($M528*IFERROR(IF(VLOOKUP($E528,Setup!$A$76:$C$87,3,FALSE)="",Setup!$B$15,VLOOKUP($E528,Setup!$A$76:$C$87,3,FALSE)),Setup!$B$15),2))</f>
        <v/>
      </c>
      <c r="P528" s="98" t="n"/>
      <c r="Q528" s="98" t="n"/>
      <c r="R528" s="98" t="n"/>
      <c r="S528" s="98" t="n"/>
      <c r="T528" s="98" t="n"/>
      <c r="U528" s="89">
        <f>IF($K528="","",SUM($R528:$T528))</f>
        <v/>
      </c>
      <c r="V528" s="89">
        <f>IF($K528="","",$M528-(N($N528)+N($O528)+IF($P528="",Setup!$B$17,$P528)+N($Q528))-N($U528))</f>
        <v/>
      </c>
      <c r="W528" s="94" t="n"/>
      <c r="X528" s="95" t="n"/>
      <c r="Z528" s="92">
        <f>IF($A528="","",DATE(YEAR($A528),MONTH($A528),1))</f>
        <v/>
      </c>
    </row>
    <row r="529">
      <c r="A529" s="85" t="n"/>
      <c r="B529" s="86" t="n"/>
      <c r="C529" s="86" t="n"/>
      <c r="D529" s="87" t="n"/>
      <c r="E529" s="87" t="n"/>
      <c r="F529" s="87" t="n"/>
      <c r="G529" s="87" t="n"/>
      <c r="H529" s="88" t="n"/>
      <c r="I529" s="89">
        <f>IF($G529="","",IF($F529="",IFERROR(INDEX(Setup!$C$21:$C$60,MATCH("|"&amp;UPPER(TRIM($G529)),Setup!$Q$21:$Q$60,0)),"NO RATE"),IFERROR(INDEX(Setup!$C$21:$C$60,MATCH(UPPER(TRIM($F529))&amp;"|"&amp;UPPER(TRIM($G529)),Setup!$P$21:$P$60,0)),IFERROR(INDEX(Setup!$C$21:$C$60,MATCH(UPPER(TRIM($G529))&amp;"|"&amp;UPPER(TRIM($F529)),Setup!$P$21:$P$60,0)),"NO RATE"))))</f>
        <v/>
      </c>
      <c r="J529" s="90" t="n"/>
      <c r="K529" s="89">
        <f>IF(OR($G529="",$H529="",NOT(ISNUMBER($I529))),"",ROUND($H529*$I529*(1+IF($J529="",Setup!$B$16,$J529)),2))</f>
        <v/>
      </c>
      <c r="L529" s="89">
        <f>IF($K529="","",ROUND($K529*Setup!$B$13,2))</f>
        <v/>
      </c>
      <c r="M529" s="89">
        <f>IF($K529="","",$K529-$L529)</f>
        <v/>
      </c>
      <c r="N529" s="89">
        <f>IF(OR($M529="",$D529=""),"",ROUND($M529*IFERROR(IF(VLOOKUP($D529,Setup!$A$76:$C$87,3,FALSE)="",Setup!$B$14,VLOOKUP($D529,Setup!$A$76:$C$87,3,FALSE)),Setup!$B$14),2))</f>
        <v/>
      </c>
      <c r="O529" s="89">
        <f>IF(OR($M529="",$E529=""),"",ROUND($M529*IFERROR(IF(VLOOKUP($E529,Setup!$A$76:$C$87,3,FALSE)="",Setup!$B$15,VLOOKUP($E529,Setup!$A$76:$C$87,3,FALSE)),Setup!$B$15),2))</f>
        <v/>
      </c>
      <c r="P529" s="91" t="n"/>
      <c r="Q529" s="91" t="n"/>
      <c r="R529" s="91" t="n"/>
      <c r="S529" s="91" t="n"/>
      <c r="T529" s="91" t="n"/>
      <c r="U529" s="89">
        <f>IF($K529="","",SUM($R529:$T529))</f>
        <v/>
      </c>
      <c r="V529" s="89">
        <f>IF($K529="","",$M529-(N($N529)+N($O529)+IF($P529="",Setup!$B$17,$P529)+N($Q529))-N($U529))</f>
        <v/>
      </c>
      <c r="W529" s="86" t="n"/>
      <c r="X529" s="87" t="n"/>
      <c r="Z529" s="92">
        <f>IF($A529="","",DATE(YEAR($A529),MONTH($A529),1))</f>
        <v/>
      </c>
    </row>
    <row r="530">
      <c r="A530" s="93" t="n"/>
      <c r="B530" s="94" t="n"/>
      <c r="C530" s="94" t="n"/>
      <c r="D530" s="95" t="n"/>
      <c r="E530" s="95" t="n"/>
      <c r="F530" s="95" t="n"/>
      <c r="G530" s="95" t="n"/>
      <c r="H530" s="96" t="n"/>
      <c r="I530" s="89">
        <f>IF($G530="","",IF($F530="",IFERROR(INDEX(Setup!$C$21:$C$60,MATCH("|"&amp;UPPER(TRIM($G530)),Setup!$Q$21:$Q$60,0)),"NO RATE"),IFERROR(INDEX(Setup!$C$21:$C$60,MATCH(UPPER(TRIM($F530))&amp;"|"&amp;UPPER(TRIM($G530)),Setup!$P$21:$P$60,0)),IFERROR(INDEX(Setup!$C$21:$C$60,MATCH(UPPER(TRIM($G530))&amp;"|"&amp;UPPER(TRIM($F530)),Setup!$P$21:$P$60,0)),"NO RATE"))))</f>
        <v/>
      </c>
      <c r="J530" s="97" t="n"/>
      <c r="K530" s="89">
        <f>IF(OR($G530="",$H530="",NOT(ISNUMBER($I530))),"",ROUND($H530*$I530*(1+IF($J530="",Setup!$B$16,$J530)),2))</f>
        <v/>
      </c>
      <c r="L530" s="89">
        <f>IF($K530="","",ROUND($K530*Setup!$B$13,2))</f>
        <v/>
      </c>
      <c r="M530" s="89">
        <f>IF($K530="","",$K530-$L530)</f>
        <v/>
      </c>
      <c r="N530" s="89">
        <f>IF(OR($M530="",$D530=""),"",ROUND($M530*IFERROR(IF(VLOOKUP($D530,Setup!$A$76:$C$87,3,FALSE)="",Setup!$B$14,VLOOKUP($D530,Setup!$A$76:$C$87,3,FALSE)),Setup!$B$14),2))</f>
        <v/>
      </c>
      <c r="O530" s="89">
        <f>IF(OR($M530="",$E530=""),"",ROUND($M530*IFERROR(IF(VLOOKUP($E530,Setup!$A$76:$C$87,3,FALSE)="",Setup!$B$15,VLOOKUP($E530,Setup!$A$76:$C$87,3,FALSE)),Setup!$B$15),2))</f>
        <v/>
      </c>
      <c r="P530" s="98" t="n"/>
      <c r="Q530" s="98" t="n"/>
      <c r="R530" s="98" t="n"/>
      <c r="S530" s="98" t="n"/>
      <c r="T530" s="98" t="n"/>
      <c r="U530" s="89">
        <f>IF($K530="","",SUM($R530:$T530))</f>
        <v/>
      </c>
      <c r="V530" s="89">
        <f>IF($K530="","",$M530-(N($N530)+N($O530)+IF($P530="",Setup!$B$17,$P530)+N($Q530))-N($U530))</f>
        <v/>
      </c>
      <c r="W530" s="94" t="n"/>
      <c r="X530" s="95" t="n"/>
      <c r="Z530" s="92">
        <f>IF($A530="","",DATE(YEAR($A530),MONTH($A530),1))</f>
        <v/>
      </c>
    </row>
    <row r="531">
      <c r="A531" s="85" t="n"/>
      <c r="B531" s="86" t="n"/>
      <c r="C531" s="86" t="n"/>
      <c r="D531" s="87" t="n"/>
      <c r="E531" s="87" t="n"/>
      <c r="F531" s="87" t="n"/>
      <c r="G531" s="87" t="n"/>
      <c r="H531" s="88" t="n"/>
      <c r="I531" s="89">
        <f>IF($G531="","",IF($F531="",IFERROR(INDEX(Setup!$C$21:$C$60,MATCH("|"&amp;UPPER(TRIM($G531)),Setup!$Q$21:$Q$60,0)),"NO RATE"),IFERROR(INDEX(Setup!$C$21:$C$60,MATCH(UPPER(TRIM($F531))&amp;"|"&amp;UPPER(TRIM($G531)),Setup!$P$21:$P$60,0)),IFERROR(INDEX(Setup!$C$21:$C$60,MATCH(UPPER(TRIM($G531))&amp;"|"&amp;UPPER(TRIM($F531)),Setup!$P$21:$P$60,0)),"NO RATE"))))</f>
        <v/>
      </c>
      <c r="J531" s="90" t="n"/>
      <c r="K531" s="89">
        <f>IF(OR($G531="",$H531="",NOT(ISNUMBER($I531))),"",ROUND($H531*$I531*(1+IF($J531="",Setup!$B$16,$J531)),2))</f>
        <v/>
      </c>
      <c r="L531" s="89">
        <f>IF($K531="","",ROUND($K531*Setup!$B$13,2))</f>
        <v/>
      </c>
      <c r="M531" s="89">
        <f>IF($K531="","",$K531-$L531)</f>
        <v/>
      </c>
      <c r="N531" s="89">
        <f>IF(OR($M531="",$D531=""),"",ROUND($M531*IFERROR(IF(VLOOKUP($D531,Setup!$A$76:$C$87,3,FALSE)="",Setup!$B$14,VLOOKUP($D531,Setup!$A$76:$C$87,3,FALSE)),Setup!$B$14),2))</f>
        <v/>
      </c>
      <c r="O531" s="89">
        <f>IF(OR($M531="",$E531=""),"",ROUND($M531*IFERROR(IF(VLOOKUP($E531,Setup!$A$76:$C$87,3,FALSE)="",Setup!$B$15,VLOOKUP($E531,Setup!$A$76:$C$87,3,FALSE)),Setup!$B$15),2))</f>
        <v/>
      </c>
      <c r="P531" s="91" t="n"/>
      <c r="Q531" s="91" t="n"/>
      <c r="R531" s="91" t="n"/>
      <c r="S531" s="91" t="n"/>
      <c r="T531" s="91" t="n"/>
      <c r="U531" s="89">
        <f>IF($K531="","",SUM($R531:$T531))</f>
        <v/>
      </c>
      <c r="V531" s="89">
        <f>IF($K531="","",$M531-(N($N531)+N($O531)+IF($P531="",Setup!$B$17,$P531)+N($Q531))-N($U531))</f>
        <v/>
      </c>
      <c r="W531" s="86" t="n"/>
      <c r="X531" s="87" t="n"/>
      <c r="Z531" s="92">
        <f>IF($A531="","",DATE(YEAR($A531),MONTH($A531),1))</f>
        <v/>
      </c>
    </row>
    <row r="532">
      <c r="A532" s="93" t="n"/>
      <c r="B532" s="94" t="n"/>
      <c r="C532" s="94" t="n"/>
      <c r="D532" s="95" t="n"/>
      <c r="E532" s="95" t="n"/>
      <c r="F532" s="95" t="n"/>
      <c r="G532" s="95" t="n"/>
      <c r="H532" s="96" t="n"/>
      <c r="I532" s="89">
        <f>IF($G532="","",IF($F532="",IFERROR(INDEX(Setup!$C$21:$C$60,MATCH("|"&amp;UPPER(TRIM($G532)),Setup!$Q$21:$Q$60,0)),"NO RATE"),IFERROR(INDEX(Setup!$C$21:$C$60,MATCH(UPPER(TRIM($F532))&amp;"|"&amp;UPPER(TRIM($G532)),Setup!$P$21:$P$60,0)),IFERROR(INDEX(Setup!$C$21:$C$60,MATCH(UPPER(TRIM($G532))&amp;"|"&amp;UPPER(TRIM($F532)),Setup!$P$21:$P$60,0)),"NO RATE"))))</f>
        <v/>
      </c>
      <c r="J532" s="97" t="n"/>
      <c r="K532" s="89">
        <f>IF(OR($G532="",$H532="",NOT(ISNUMBER($I532))),"",ROUND($H532*$I532*(1+IF($J532="",Setup!$B$16,$J532)),2))</f>
        <v/>
      </c>
      <c r="L532" s="89">
        <f>IF($K532="","",ROUND($K532*Setup!$B$13,2))</f>
        <v/>
      </c>
      <c r="M532" s="89">
        <f>IF($K532="","",$K532-$L532)</f>
        <v/>
      </c>
      <c r="N532" s="89">
        <f>IF(OR($M532="",$D532=""),"",ROUND($M532*IFERROR(IF(VLOOKUP($D532,Setup!$A$76:$C$87,3,FALSE)="",Setup!$B$14,VLOOKUP($D532,Setup!$A$76:$C$87,3,FALSE)),Setup!$B$14),2))</f>
        <v/>
      </c>
      <c r="O532" s="89">
        <f>IF(OR($M532="",$E532=""),"",ROUND($M532*IFERROR(IF(VLOOKUP($E532,Setup!$A$76:$C$87,3,FALSE)="",Setup!$B$15,VLOOKUP($E532,Setup!$A$76:$C$87,3,FALSE)),Setup!$B$15),2))</f>
        <v/>
      </c>
      <c r="P532" s="98" t="n"/>
      <c r="Q532" s="98" t="n"/>
      <c r="R532" s="98" t="n"/>
      <c r="S532" s="98" t="n"/>
      <c r="T532" s="98" t="n"/>
      <c r="U532" s="89">
        <f>IF($K532="","",SUM($R532:$T532))</f>
        <v/>
      </c>
      <c r="V532" s="89">
        <f>IF($K532="","",$M532-(N($N532)+N($O532)+IF($P532="",Setup!$B$17,$P532)+N($Q532))-N($U532))</f>
        <v/>
      </c>
      <c r="W532" s="94" t="n"/>
      <c r="X532" s="95" t="n"/>
      <c r="Z532" s="92">
        <f>IF($A532="","",DATE(YEAR($A532),MONTH($A532),1))</f>
        <v/>
      </c>
    </row>
    <row r="533">
      <c r="A533" s="85" t="n"/>
      <c r="B533" s="86" t="n"/>
      <c r="C533" s="86" t="n"/>
      <c r="D533" s="87" t="n"/>
      <c r="E533" s="87" t="n"/>
      <c r="F533" s="87" t="n"/>
      <c r="G533" s="87" t="n"/>
      <c r="H533" s="88" t="n"/>
      <c r="I533" s="89">
        <f>IF($G533="","",IF($F533="",IFERROR(INDEX(Setup!$C$21:$C$60,MATCH("|"&amp;UPPER(TRIM($G533)),Setup!$Q$21:$Q$60,0)),"NO RATE"),IFERROR(INDEX(Setup!$C$21:$C$60,MATCH(UPPER(TRIM($F533))&amp;"|"&amp;UPPER(TRIM($G533)),Setup!$P$21:$P$60,0)),IFERROR(INDEX(Setup!$C$21:$C$60,MATCH(UPPER(TRIM($G533))&amp;"|"&amp;UPPER(TRIM($F533)),Setup!$P$21:$P$60,0)),"NO RATE"))))</f>
        <v/>
      </c>
      <c r="J533" s="90" t="n"/>
      <c r="K533" s="89">
        <f>IF(OR($G533="",$H533="",NOT(ISNUMBER($I533))),"",ROUND($H533*$I533*(1+IF($J533="",Setup!$B$16,$J533)),2))</f>
        <v/>
      </c>
      <c r="L533" s="89">
        <f>IF($K533="","",ROUND($K533*Setup!$B$13,2))</f>
        <v/>
      </c>
      <c r="M533" s="89">
        <f>IF($K533="","",$K533-$L533)</f>
        <v/>
      </c>
      <c r="N533" s="89">
        <f>IF(OR($M533="",$D533=""),"",ROUND($M533*IFERROR(IF(VLOOKUP($D533,Setup!$A$76:$C$87,3,FALSE)="",Setup!$B$14,VLOOKUP($D533,Setup!$A$76:$C$87,3,FALSE)),Setup!$B$14),2))</f>
        <v/>
      </c>
      <c r="O533" s="89">
        <f>IF(OR($M533="",$E533=""),"",ROUND($M533*IFERROR(IF(VLOOKUP($E533,Setup!$A$76:$C$87,3,FALSE)="",Setup!$B$15,VLOOKUP($E533,Setup!$A$76:$C$87,3,FALSE)),Setup!$B$15),2))</f>
        <v/>
      </c>
      <c r="P533" s="91" t="n"/>
      <c r="Q533" s="91" t="n"/>
      <c r="R533" s="91" t="n"/>
      <c r="S533" s="91" t="n"/>
      <c r="T533" s="91" t="n"/>
      <c r="U533" s="89">
        <f>IF($K533="","",SUM($R533:$T533))</f>
        <v/>
      </c>
      <c r="V533" s="89">
        <f>IF($K533="","",$M533-(N($N533)+N($O533)+IF($P533="",Setup!$B$17,$P533)+N($Q533))-N($U533))</f>
        <v/>
      </c>
      <c r="W533" s="86" t="n"/>
      <c r="X533" s="87" t="n"/>
      <c r="Z533" s="92">
        <f>IF($A533="","",DATE(YEAR($A533),MONTH($A533),1))</f>
        <v/>
      </c>
    </row>
    <row r="534">
      <c r="A534" s="93" t="n"/>
      <c r="B534" s="94" t="n"/>
      <c r="C534" s="94" t="n"/>
      <c r="D534" s="95" t="n"/>
      <c r="E534" s="95" t="n"/>
      <c r="F534" s="95" t="n"/>
      <c r="G534" s="95" t="n"/>
      <c r="H534" s="96" t="n"/>
      <c r="I534" s="89">
        <f>IF($G534="","",IF($F534="",IFERROR(INDEX(Setup!$C$21:$C$60,MATCH("|"&amp;UPPER(TRIM($G534)),Setup!$Q$21:$Q$60,0)),"NO RATE"),IFERROR(INDEX(Setup!$C$21:$C$60,MATCH(UPPER(TRIM($F534))&amp;"|"&amp;UPPER(TRIM($G534)),Setup!$P$21:$P$60,0)),IFERROR(INDEX(Setup!$C$21:$C$60,MATCH(UPPER(TRIM($G534))&amp;"|"&amp;UPPER(TRIM($F534)),Setup!$P$21:$P$60,0)),"NO RATE"))))</f>
        <v/>
      </c>
      <c r="J534" s="97" t="n"/>
      <c r="K534" s="89">
        <f>IF(OR($G534="",$H534="",NOT(ISNUMBER($I534))),"",ROUND($H534*$I534*(1+IF($J534="",Setup!$B$16,$J534)),2))</f>
        <v/>
      </c>
      <c r="L534" s="89">
        <f>IF($K534="","",ROUND($K534*Setup!$B$13,2))</f>
        <v/>
      </c>
      <c r="M534" s="89">
        <f>IF($K534="","",$K534-$L534)</f>
        <v/>
      </c>
      <c r="N534" s="89">
        <f>IF(OR($M534="",$D534=""),"",ROUND($M534*IFERROR(IF(VLOOKUP($D534,Setup!$A$76:$C$87,3,FALSE)="",Setup!$B$14,VLOOKUP($D534,Setup!$A$76:$C$87,3,FALSE)),Setup!$B$14),2))</f>
        <v/>
      </c>
      <c r="O534" s="89">
        <f>IF(OR($M534="",$E534=""),"",ROUND($M534*IFERROR(IF(VLOOKUP($E534,Setup!$A$76:$C$87,3,FALSE)="",Setup!$B$15,VLOOKUP($E534,Setup!$A$76:$C$87,3,FALSE)),Setup!$B$15),2))</f>
        <v/>
      </c>
      <c r="P534" s="98" t="n"/>
      <c r="Q534" s="98" t="n"/>
      <c r="R534" s="98" t="n"/>
      <c r="S534" s="98" t="n"/>
      <c r="T534" s="98" t="n"/>
      <c r="U534" s="89">
        <f>IF($K534="","",SUM($R534:$T534))</f>
        <v/>
      </c>
      <c r="V534" s="89">
        <f>IF($K534="","",$M534-(N($N534)+N($O534)+IF($P534="",Setup!$B$17,$P534)+N($Q534))-N($U534))</f>
        <v/>
      </c>
      <c r="W534" s="94" t="n"/>
      <c r="X534" s="95" t="n"/>
      <c r="Z534" s="92">
        <f>IF($A534="","",DATE(YEAR($A534),MONTH($A534),1))</f>
        <v/>
      </c>
    </row>
    <row r="535">
      <c r="A535" s="85" t="n"/>
      <c r="B535" s="86" t="n"/>
      <c r="C535" s="86" t="n"/>
      <c r="D535" s="87" t="n"/>
      <c r="E535" s="87" t="n"/>
      <c r="F535" s="87" t="n"/>
      <c r="G535" s="87" t="n"/>
      <c r="H535" s="88" t="n"/>
      <c r="I535" s="89">
        <f>IF($G535="","",IF($F535="",IFERROR(INDEX(Setup!$C$21:$C$60,MATCH("|"&amp;UPPER(TRIM($G535)),Setup!$Q$21:$Q$60,0)),"NO RATE"),IFERROR(INDEX(Setup!$C$21:$C$60,MATCH(UPPER(TRIM($F535))&amp;"|"&amp;UPPER(TRIM($G535)),Setup!$P$21:$P$60,0)),IFERROR(INDEX(Setup!$C$21:$C$60,MATCH(UPPER(TRIM($G535))&amp;"|"&amp;UPPER(TRIM($F535)),Setup!$P$21:$P$60,0)),"NO RATE"))))</f>
        <v/>
      </c>
      <c r="J535" s="90" t="n"/>
      <c r="K535" s="89">
        <f>IF(OR($G535="",$H535="",NOT(ISNUMBER($I535))),"",ROUND($H535*$I535*(1+IF($J535="",Setup!$B$16,$J535)),2))</f>
        <v/>
      </c>
      <c r="L535" s="89">
        <f>IF($K535="","",ROUND($K535*Setup!$B$13,2))</f>
        <v/>
      </c>
      <c r="M535" s="89">
        <f>IF($K535="","",$K535-$L535)</f>
        <v/>
      </c>
      <c r="N535" s="89">
        <f>IF(OR($M535="",$D535=""),"",ROUND($M535*IFERROR(IF(VLOOKUP($D535,Setup!$A$76:$C$87,3,FALSE)="",Setup!$B$14,VLOOKUP($D535,Setup!$A$76:$C$87,3,FALSE)),Setup!$B$14),2))</f>
        <v/>
      </c>
      <c r="O535" s="89">
        <f>IF(OR($M535="",$E535=""),"",ROUND($M535*IFERROR(IF(VLOOKUP($E535,Setup!$A$76:$C$87,3,FALSE)="",Setup!$B$15,VLOOKUP($E535,Setup!$A$76:$C$87,3,FALSE)),Setup!$B$15),2))</f>
        <v/>
      </c>
      <c r="P535" s="91" t="n"/>
      <c r="Q535" s="91" t="n"/>
      <c r="R535" s="91" t="n"/>
      <c r="S535" s="91" t="n"/>
      <c r="T535" s="91" t="n"/>
      <c r="U535" s="89">
        <f>IF($K535="","",SUM($R535:$T535))</f>
        <v/>
      </c>
      <c r="V535" s="89">
        <f>IF($K535="","",$M535-(N($N535)+N($O535)+IF($P535="",Setup!$B$17,$P535)+N($Q535))-N($U535))</f>
        <v/>
      </c>
      <c r="W535" s="86" t="n"/>
      <c r="X535" s="87" t="n"/>
      <c r="Z535" s="92">
        <f>IF($A535="","",DATE(YEAR($A535),MONTH($A535),1))</f>
        <v/>
      </c>
    </row>
    <row r="536">
      <c r="A536" s="93" t="n"/>
      <c r="B536" s="94" t="n"/>
      <c r="C536" s="94" t="n"/>
      <c r="D536" s="95" t="n"/>
      <c r="E536" s="95" t="n"/>
      <c r="F536" s="95" t="n"/>
      <c r="G536" s="95" t="n"/>
      <c r="H536" s="96" t="n"/>
      <c r="I536" s="89">
        <f>IF($G536="","",IF($F536="",IFERROR(INDEX(Setup!$C$21:$C$60,MATCH("|"&amp;UPPER(TRIM($G536)),Setup!$Q$21:$Q$60,0)),"NO RATE"),IFERROR(INDEX(Setup!$C$21:$C$60,MATCH(UPPER(TRIM($F536))&amp;"|"&amp;UPPER(TRIM($G536)),Setup!$P$21:$P$60,0)),IFERROR(INDEX(Setup!$C$21:$C$60,MATCH(UPPER(TRIM($G536))&amp;"|"&amp;UPPER(TRIM($F536)),Setup!$P$21:$P$60,0)),"NO RATE"))))</f>
        <v/>
      </c>
      <c r="J536" s="97" t="n"/>
      <c r="K536" s="89">
        <f>IF(OR($G536="",$H536="",NOT(ISNUMBER($I536))),"",ROUND($H536*$I536*(1+IF($J536="",Setup!$B$16,$J536)),2))</f>
        <v/>
      </c>
      <c r="L536" s="89">
        <f>IF($K536="","",ROUND($K536*Setup!$B$13,2))</f>
        <v/>
      </c>
      <c r="M536" s="89">
        <f>IF($K536="","",$K536-$L536)</f>
        <v/>
      </c>
      <c r="N536" s="89">
        <f>IF(OR($M536="",$D536=""),"",ROUND($M536*IFERROR(IF(VLOOKUP($D536,Setup!$A$76:$C$87,3,FALSE)="",Setup!$B$14,VLOOKUP($D536,Setup!$A$76:$C$87,3,FALSE)),Setup!$B$14),2))</f>
        <v/>
      </c>
      <c r="O536" s="89">
        <f>IF(OR($M536="",$E536=""),"",ROUND($M536*IFERROR(IF(VLOOKUP($E536,Setup!$A$76:$C$87,3,FALSE)="",Setup!$B$15,VLOOKUP($E536,Setup!$A$76:$C$87,3,FALSE)),Setup!$B$15),2))</f>
        <v/>
      </c>
      <c r="P536" s="98" t="n"/>
      <c r="Q536" s="98" t="n"/>
      <c r="R536" s="98" t="n"/>
      <c r="S536" s="98" t="n"/>
      <c r="T536" s="98" t="n"/>
      <c r="U536" s="89">
        <f>IF($K536="","",SUM($R536:$T536))</f>
        <v/>
      </c>
      <c r="V536" s="89">
        <f>IF($K536="","",$M536-(N($N536)+N($O536)+IF($P536="",Setup!$B$17,$P536)+N($Q536))-N($U536))</f>
        <v/>
      </c>
      <c r="W536" s="94" t="n"/>
      <c r="X536" s="95" t="n"/>
      <c r="Z536" s="92">
        <f>IF($A536="","",DATE(YEAR($A536),MONTH($A536),1))</f>
        <v/>
      </c>
    </row>
    <row r="537">
      <c r="A537" s="85" t="n"/>
      <c r="B537" s="86" t="n"/>
      <c r="C537" s="86" t="n"/>
      <c r="D537" s="87" t="n"/>
      <c r="E537" s="87" t="n"/>
      <c r="F537" s="87" t="n"/>
      <c r="G537" s="87" t="n"/>
      <c r="H537" s="88" t="n"/>
      <c r="I537" s="89">
        <f>IF($G537="","",IF($F537="",IFERROR(INDEX(Setup!$C$21:$C$60,MATCH("|"&amp;UPPER(TRIM($G537)),Setup!$Q$21:$Q$60,0)),"NO RATE"),IFERROR(INDEX(Setup!$C$21:$C$60,MATCH(UPPER(TRIM($F537))&amp;"|"&amp;UPPER(TRIM($G537)),Setup!$P$21:$P$60,0)),IFERROR(INDEX(Setup!$C$21:$C$60,MATCH(UPPER(TRIM($G537))&amp;"|"&amp;UPPER(TRIM($F537)),Setup!$P$21:$P$60,0)),"NO RATE"))))</f>
        <v/>
      </c>
      <c r="J537" s="90" t="n"/>
      <c r="K537" s="89">
        <f>IF(OR($G537="",$H537="",NOT(ISNUMBER($I537))),"",ROUND($H537*$I537*(1+IF($J537="",Setup!$B$16,$J537)),2))</f>
        <v/>
      </c>
      <c r="L537" s="89">
        <f>IF($K537="","",ROUND($K537*Setup!$B$13,2))</f>
        <v/>
      </c>
      <c r="M537" s="89">
        <f>IF($K537="","",$K537-$L537)</f>
        <v/>
      </c>
      <c r="N537" s="89">
        <f>IF(OR($M537="",$D537=""),"",ROUND($M537*IFERROR(IF(VLOOKUP($D537,Setup!$A$76:$C$87,3,FALSE)="",Setup!$B$14,VLOOKUP($D537,Setup!$A$76:$C$87,3,FALSE)),Setup!$B$14),2))</f>
        <v/>
      </c>
      <c r="O537" s="89">
        <f>IF(OR($M537="",$E537=""),"",ROUND($M537*IFERROR(IF(VLOOKUP($E537,Setup!$A$76:$C$87,3,FALSE)="",Setup!$B$15,VLOOKUP($E537,Setup!$A$76:$C$87,3,FALSE)),Setup!$B$15),2))</f>
        <v/>
      </c>
      <c r="P537" s="91" t="n"/>
      <c r="Q537" s="91" t="n"/>
      <c r="R537" s="91" t="n"/>
      <c r="S537" s="91" t="n"/>
      <c r="T537" s="91" t="n"/>
      <c r="U537" s="89">
        <f>IF($K537="","",SUM($R537:$T537))</f>
        <v/>
      </c>
      <c r="V537" s="89">
        <f>IF($K537="","",$M537-(N($N537)+N($O537)+IF($P537="",Setup!$B$17,$P537)+N($Q537))-N($U537))</f>
        <v/>
      </c>
      <c r="W537" s="86" t="n"/>
      <c r="X537" s="87" t="n"/>
      <c r="Z537" s="92">
        <f>IF($A537="","",DATE(YEAR($A537),MONTH($A537),1))</f>
        <v/>
      </c>
    </row>
    <row r="538">
      <c r="A538" s="93" t="n"/>
      <c r="B538" s="94" t="n"/>
      <c r="C538" s="94" t="n"/>
      <c r="D538" s="95" t="n"/>
      <c r="E538" s="95" t="n"/>
      <c r="F538" s="95" t="n"/>
      <c r="G538" s="95" t="n"/>
      <c r="H538" s="96" t="n"/>
      <c r="I538" s="89">
        <f>IF($G538="","",IF($F538="",IFERROR(INDEX(Setup!$C$21:$C$60,MATCH("|"&amp;UPPER(TRIM($G538)),Setup!$Q$21:$Q$60,0)),"NO RATE"),IFERROR(INDEX(Setup!$C$21:$C$60,MATCH(UPPER(TRIM($F538))&amp;"|"&amp;UPPER(TRIM($G538)),Setup!$P$21:$P$60,0)),IFERROR(INDEX(Setup!$C$21:$C$60,MATCH(UPPER(TRIM($G538))&amp;"|"&amp;UPPER(TRIM($F538)),Setup!$P$21:$P$60,0)),"NO RATE"))))</f>
        <v/>
      </c>
      <c r="J538" s="97" t="n"/>
      <c r="K538" s="89">
        <f>IF(OR($G538="",$H538="",NOT(ISNUMBER($I538))),"",ROUND($H538*$I538*(1+IF($J538="",Setup!$B$16,$J538)),2))</f>
        <v/>
      </c>
      <c r="L538" s="89">
        <f>IF($K538="","",ROUND($K538*Setup!$B$13,2))</f>
        <v/>
      </c>
      <c r="M538" s="89">
        <f>IF($K538="","",$K538-$L538)</f>
        <v/>
      </c>
      <c r="N538" s="89">
        <f>IF(OR($M538="",$D538=""),"",ROUND($M538*IFERROR(IF(VLOOKUP($D538,Setup!$A$76:$C$87,3,FALSE)="",Setup!$B$14,VLOOKUP($D538,Setup!$A$76:$C$87,3,FALSE)),Setup!$B$14),2))</f>
        <v/>
      </c>
      <c r="O538" s="89">
        <f>IF(OR($M538="",$E538=""),"",ROUND($M538*IFERROR(IF(VLOOKUP($E538,Setup!$A$76:$C$87,3,FALSE)="",Setup!$B$15,VLOOKUP($E538,Setup!$A$76:$C$87,3,FALSE)),Setup!$B$15),2))</f>
        <v/>
      </c>
      <c r="P538" s="98" t="n"/>
      <c r="Q538" s="98" t="n"/>
      <c r="R538" s="98" t="n"/>
      <c r="S538" s="98" t="n"/>
      <c r="T538" s="98" t="n"/>
      <c r="U538" s="89">
        <f>IF($K538="","",SUM($R538:$T538))</f>
        <v/>
      </c>
      <c r="V538" s="89">
        <f>IF($K538="","",$M538-(N($N538)+N($O538)+IF($P538="",Setup!$B$17,$P538)+N($Q538))-N($U538))</f>
        <v/>
      </c>
      <c r="W538" s="94" t="n"/>
      <c r="X538" s="95" t="n"/>
      <c r="Z538" s="92">
        <f>IF($A538="","",DATE(YEAR($A538),MONTH($A538),1))</f>
        <v/>
      </c>
    </row>
    <row r="539">
      <c r="A539" s="85" t="n"/>
      <c r="B539" s="86" t="n"/>
      <c r="C539" s="86" t="n"/>
      <c r="D539" s="87" t="n"/>
      <c r="E539" s="87" t="n"/>
      <c r="F539" s="87" t="n"/>
      <c r="G539" s="87" t="n"/>
      <c r="H539" s="88" t="n"/>
      <c r="I539" s="89">
        <f>IF($G539="","",IF($F539="",IFERROR(INDEX(Setup!$C$21:$C$60,MATCH("|"&amp;UPPER(TRIM($G539)),Setup!$Q$21:$Q$60,0)),"NO RATE"),IFERROR(INDEX(Setup!$C$21:$C$60,MATCH(UPPER(TRIM($F539))&amp;"|"&amp;UPPER(TRIM($G539)),Setup!$P$21:$P$60,0)),IFERROR(INDEX(Setup!$C$21:$C$60,MATCH(UPPER(TRIM($G539))&amp;"|"&amp;UPPER(TRIM($F539)),Setup!$P$21:$P$60,0)),"NO RATE"))))</f>
        <v/>
      </c>
      <c r="J539" s="90" t="n"/>
      <c r="K539" s="89">
        <f>IF(OR($G539="",$H539="",NOT(ISNUMBER($I539))),"",ROUND($H539*$I539*(1+IF($J539="",Setup!$B$16,$J539)),2))</f>
        <v/>
      </c>
      <c r="L539" s="89">
        <f>IF($K539="","",ROUND($K539*Setup!$B$13,2))</f>
        <v/>
      </c>
      <c r="M539" s="89">
        <f>IF($K539="","",$K539-$L539)</f>
        <v/>
      </c>
      <c r="N539" s="89">
        <f>IF(OR($M539="",$D539=""),"",ROUND($M539*IFERROR(IF(VLOOKUP($D539,Setup!$A$76:$C$87,3,FALSE)="",Setup!$B$14,VLOOKUP($D539,Setup!$A$76:$C$87,3,FALSE)),Setup!$B$14),2))</f>
        <v/>
      </c>
      <c r="O539" s="89">
        <f>IF(OR($M539="",$E539=""),"",ROUND($M539*IFERROR(IF(VLOOKUP($E539,Setup!$A$76:$C$87,3,FALSE)="",Setup!$B$15,VLOOKUP($E539,Setup!$A$76:$C$87,3,FALSE)),Setup!$B$15),2))</f>
        <v/>
      </c>
      <c r="P539" s="91" t="n"/>
      <c r="Q539" s="91" t="n"/>
      <c r="R539" s="91" t="n"/>
      <c r="S539" s="91" t="n"/>
      <c r="T539" s="91" t="n"/>
      <c r="U539" s="89">
        <f>IF($K539="","",SUM($R539:$T539))</f>
        <v/>
      </c>
      <c r="V539" s="89">
        <f>IF($K539="","",$M539-(N($N539)+N($O539)+IF($P539="",Setup!$B$17,$P539)+N($Q539))-N($U539))</f>
        <v/>
      </c>
      <c r="W539" s="86" t="n"/>
      <c r="X539" s="87" t="n"/>
      <c r="Z539" s="92">
        <f>IF($A539="","",DATE(YEAR($A539),MONTH($A539),1))</f>
        <v/>
      </c>
    </row>
    <row r="540">
      <c r="A540" s="93" t="n"/>
      <c r="B540" s="94" t="n"/>
      <c r="C540" s="94" t="n"/>
      <c r="D540" s="95" t="n"/>
      <c r="E540" s="95" t="n"/>
      <c r="F540" s="95" t="n"/>
      <c r="G540" s="95" t="n"/>
      <c r="H540" s="96" t="n"/>
      <c r="I540" s="89">
        <f>IF($G540="","",IF($F540="",IFERROR(INDEX(Setup!$C$21:$C$60,MATCH("|"&amp;UPPER(TRIM($G540)),Setup!$Q$21:$Q$60,0)),"NO RATE"),IFERROR(INDEX(Setup!$C$21:$C$60,MATCH(UPPER(TRIM($F540))&amp;"|"&amp;UPPER(TRIM($G540)),Setup!$P$21:$P$60,0)),IFERROR(INDEX(Setup!$C$21:$C$60,MATCH(UPPER(TRIM($G540))&amp;"|"&amp;UPPER(TRIM($F540)),Setup!$P$21:$P$60,0)),"NO RATE"))))</f>
        <v/>
      </c>
      <c r="J540" s="97" t="n"/>
      <c r="K540" s="89">
        <f>IF(OR($G540="",$H540="",NOT(ISNUMBER($I540))),"",ROUND($H540*$I540*(1+IF($J540="",Setup!$B$16,$J540)),2))</f>
        <v/>
      </c>
      <c r="L540" s="89">
        <f>IF($K540="","",ROUND($K540*Setup!$B$13,2))</f>
        <v/>
      </c>
      <c r="M540" s="89">
        <f>IF($K540="","",$K540-$L540)</f>
        <v/>
      </c>
      <c r="N540" s="89">
        <f>IF(OR($M540="",$D540=""),"",ROUND($M540*IFERROR(IF(VLOOKUP($D540,Setup!$A$76:$C$87,3,FALSE)="",Setup!$B$14,VLOOKUP($D540,Setup!$A$76:$C$87,3,FALSE)),Setup!$B$14),2))</f>
        <v/>
      </c>
      <c r="O540" s="89">
        <f>IF(OR($M540="",$E540=""),"",ROUND($M540*IFERROR(IF(VLOOKUP($E540,Setup!$A$76:$C$87,3,FALSE)="",Setup!$B$15,VLOOKUP($E540,Setup!$A$76:$C$87,3,FALSE)),Setup!$B$15),2))</f>
        <v/>
      </c>
      <c r="P540" s="98" t="n"/>
      <c r="Q540" s="98" t="n"/>
      <c r="R540" s="98" t="n"/>
      <c r="S540" s="98" t="n"/>
      <c r="T540" s="98" t="n"/>
      <c r="U540" s="89">
        <f>IF($K540="","",SUM($R540:$T540))</f>
        <v/>
      </c>
      <c r="V540" s="89">
        <f>IF($K540="","",$M540-(N($N540)+N($O540)+IF($P540="",Setup!$B$17,$P540)+N($Q540))-N($U540))</f>
        <v/>
      </c>
      <c r="W540" s="94" t="n"/>
      <c r="X540" s="95" t="n"/>
      <c r="Z540" s="92">
        <f>IF($A540="","",DATE(YEAR($A540),MONTH($A540),1))</f>
        <v/>
      </c>
    </row>
    <row r="541">
      <c r="A541" s="85" t="n"/>
      <c r="B541" s="86" t="n"/>
      <c r="C541" s="86" t="n"/>
      <c r="D541" s="87" t="n"/>
      <c r="E541" s="87" t="n"/>
      <c r="F541" s="87" t="n"/>
      <c r="G541" s="87" t="n"/>
      <c r="H541" s="88" t="n"/>
      <c r="I541" s="89">
        <f>IF($G541="","",IF($F541="",IFERROR(INDEX(Setup!$C$21:$C$60,MATCH("|"&amp;UPPER(TRIM($G541)),Setup!$Q$21:$Q$60,0)),"NO RATE"),IFERROR(INDEX(Setup!$C$21:$C$60,MATCH(UPPER(TRIM($F541))&amp;"|"&amp;UPPER(TRIM($G541)),Setup!$P$21:$P$60,0)),IFERROR(INDEX(Setup!$C$21:$C$60,MATCH(UPPER(TRIM($G541))&amp;"|"&amp;UPPER(TRIM($F541)),Setup!$P$21:$P$60,0)),"NO RATE"))))</f>
        <v/>
      </c>
      <c r="J541" s="90" t="n"/>
      <c r="K541" s="89">
        <f>IF(OR($G541="",$H541="",NOT(ISNUMBER($I541))),"",ROUND($H541*$I541*(1+IF($J541="",Setup!$B$16,$J541)),2))</f>
        <v/>
      </c>
      <c r="L541" s="89">
        <f>IF($K541="","",ROUND($K541*Setup!$B$13,2))</f>
        <v/>
      </c>
      <c r="M541" s="89">
        <f>IF($K541="","",$K541-$L541)</f>
        <v/>
      </c>
      <c r="N541" s="89">
        <f>IF(OR($M541="",$D541=""),"",ROUND($M541*IFERROR(IF(VLOOKUP($D541,Setup!$A$76:$C$87,3,FALSE)="",Setup!$B$14,VLOOKUP($D541,Setup!$A$76:$C$87,3,FALSE)),Setup!$B$14),2))</f>
        <v/>
      </c>
      <c r="O541" s="89">
        <f>IF(OR($M541="",$E541=""),"",ROUND($M541*IFERROR(IF(VLOOKUP($E541,Setup!$A$76:$C$87,3,FALSE)="",Setup!$B$15,VLOOKUP($E541,Setup!$A$76:$C$87,3,FALSE)),Setup!$B$15),2))</f>
        <v/>
      </c>
      <c r="P541" s="91" t="n"/>
      <c r="Q541" s="91" t="n"/>
      <c r="R541" s="91" t="n"/>
      <c r="S541" s="91" t="n"/>
      <c r="T541" s="91" t="n"/>
      <c r="U541" s="89">
        <f>IF($K541="","",SUM($R541:$T541))</f>
        <v/>
      </c>
      <c r="V541" s="89">
        <f>IF($K541="","",$M541-(N($N541)+N($O541)+IF($P541="",Setup!$B$17,$P541)+N($Q541))-N($U541))</f>
        <v/>
      </c>
      <c r="W541" s="86" t="n"/>
      <c r="X541" s="87" t="n"/>
      <c r="Z541" s="92">
        <f>IF($A541="","",DATE(YEAR($A541),MONTH($A541),1))</f>
        <v/>
      </c>
    </row>
    <row r="542">
      <c r="A542" s="93" t="n"/>
      <c r="B542" s="94" t="n"/>
      <c r="C542" s="94" t="n"/>
      <c r="D542" s="95" t="n"/>
      <c r="E542" s="95" t="n"/>
      <c r="F542" s="95" t="n"/>
      <c r="G542" s="95" t="n"/>
      <c r="H542" s="96" t="n"/>
      <c r="I542" s="89">
        <f>IF($G542="","",IF($F542="",IFERROR(INDEX(Setup!$C$21:$C$60,MATCH("|"&amp;UPPER(TRIM($G542)),Setup!$Q$21:$Q$60,0)),"NO RATE"),IFERROR(INDEX(Setup!$C$21:$C$60,MATCH(UPPER(TRIM($F542))&amp;"|"&amp;UPPER(TRIM($G542)),Setup!$P$21:$P$60,0)),IFERROR(INDEX(Setup!$C$21:$C$60,MATCH(UPPER(TRIM($G542))&amp;"|"&amp;UPPER(TRIM($F542)),Setup!$P$21:$P$60,0)),"NO RATE"))))</f>
        <v/>
      </c>
      <c r="J542" s="97" t="n"/>
      <c r="K542" s="89">
        <f>IF(OR($G542="",$H542="",NOT(ISNUMBER($I542))),"",ROUND($H542*$I542*(1+IF($J542="",Setup!$B$16,$J542)),2))</f>
        <v/>
      </c>
      <c r="L542" s="89">
        <f>IF($K542="","",ROUND($K542*Setup!$B$13,2))</f>
        <v/>
      </c>
      <c r="M542" s="89">
        <f>IF($K542="","",$K542-$L542)</f>
        <v/>
      </c>
      <c r="N542" s="89">
        <f>IF(OR($M542="",$D542=""),"",ROUND($M542*IFERROR(IF(VLOOKUP($D542,Setup!$A$76:$C$87,3,FALSE)="",Setup!$B$14,VLOOKUP($D542,Setup!$A$76:$C$87,3,FALSE)),Setup!$B$14),2))</f>
        <v/>
      </c>
      <c r="O542" s="89">
        <f>IF(OR($M542="",$E542=""),"",ROUND($M542*IFERROR(IF(VLOOKUP($E542,Setup!$A$76:$C$87,3,FALSE)="",Setup!$B$15,VLOOKUP($E542,Setup!$A$76:$C$87,3,FALSE)),Setup!$B$15),2))</f>
        <v/>
      </c>
      <c r="P542" s="98" t="n"/>
      <c r="Q542" s="98" t="n"/>
      <c r="R542" s="98" t="n"/>
      <c r="S542" s="98" t="n"/>
      <c r="T542" s="98" t="n"/>
      <c r="U542" s="89">
        <f>IF($K542="","",SUM($R542:$T542))</f>
        <v/>
      </c>
      <c r="V542" s="89">
        <f>IF($K542="","",$M542-(N($N542)+N($O542)+IF($P542="",Setup!$B$17,$P542)+N($Q542))-N($U542))</f>
        <v/>
      </c>
      <c r="W542" s="94" t="n"/>
      <c r="X542" s="95" t="n"/>
      <c r="Z542" s="92">
        <f>IF($A542="","",DATE(YEAR($A542),MONTH($A542),1))</f>
        <v/>
      </c>
    </row>
    <row r="543">
      <c r="A543" s="85" t="n"/>
      <c r="B543" s="86" t="n"/>
      <c r="C543" s="86" t="n"/>
      <c r="D543" s="87" t="n"/>
      <c r="E543" s="87" t="n"/>
      <c r="F543" s="87" t="n"/>
      <c r="G543" s="87" t="n"/>
      <c r="H543" s="88" t="n"/>
      <c r="I543" s="89">
        <f>IF($G543="","",IF($F543="",IFERROR(INDEX(Setup!$C$21:$C$60,MATCH("|"&amp;UPPER(TRIM($G543)),Setup!$Q$21:$Q$60,0)),"NO RATE"),IFERROR(INDEX(Setup!$C$21:$C$60,MATCH(UPPER(TRIM($F543))&amp;"|"&amp;UPPER(TRIM($G543)),Setup!$P$21:$P$60,0)),IFERROR(INDEX(Setup!$C$21:$C$60,MATCH(UPPER(TRIM($G543))&amp;"|"&amp;UPPER(TRIM($F543)),Setup!$P$21:$P$60,0)),"NO RATE"))))</f>
        <v/>
      </c>
      <c r="J543" s="90" t="n"/>
      <c r="K543" s="89">
        <f>IF(OR($G543="",$H543="",NOT(ISNUMBER($I543))),"",ROUND($H543*$I543*(1+IF($J543="",Setup!$B$16,$J543)),2))</f>
        <v/>
      </c>
      <c r="L543" s="89">
        <f>IF($K543="","",ROUND($K543*Setup!$B$13,2))</f>
        <v/>
      </c>
      <c r="M543" s="89">
        <f>IF($K543="","",$K543-$L543)</f>
        <v/>
      </c>
      <c r="N543" s="89">
        <f>IF(OR($M543="",$D543=""),"",ROUND($M543*IFERROR(IF(VLOOKUP($D543,Setup!$A$76:$C$87,3,FALSE)="",Setup!$B$14,VLOOKUP($D543,Setup!$A$76:$C$87,3,FALSE)),Setup!$B$14),2))</f>
        <v/>
      </c>
      <c r="O543" s="89">
        <f>IF(OR($M543="",$E543=""),"",ROUND($M543*IFERROR(IF(VLOOKUP($E543,Setup!$A$76:$C$87,3,FALSE)="",Setup!$B$15,VLOOKUP($E543,Setup!$A$76:$C$87,3,FALSE)),Setup!$B$15),2))</f>
        <v/>
      </c>
      <c r="P543" s="91" t="n"/>
      <c r="Q543" s="91" t="n"/>
      <c r="R543" s="91" t="n"/>
      <c r="S543" s="91" t="n"/>
      <c r="T543" s="91" t="n"/>
      <c r="U543" s="89">
        <f>IF($K543="","",SUM($R543:$T543))</f>
        <v/>
      </c>
      <c r="V543" s="89">
        <f>IF($K543="","",$M543-(N($N543)+N($O543)+IF($P543="",Setup!$B$17,$P543)+N($Q543))-N($U543))</f>
        <v/>
      </c>
      <c r="W543" s="86" t="n"/>
      <c r="X543" s="87" t="n"/>
      <c r="Z543" s="92">
        <f>IF($A543="","",DATE(YEAR($A543),MONTH($A543),1))</f>
        <v/>
      </c>
    </row>
    <row r="544">
      <c r="A544" s="93" t="n"/>
      <c r="B544" s="94" t="n"/>
      <c r="C544" s="94" t="n"/>
      <c r="D544" s="95" t="n"/>
      <c r="E544" s="95" t="n"/>
      <c r="F544" s="95" t="n"/>
      <c r="G544" s="95" t="n"/>
      <c r="H544" s="96" t="n"/>
      <c r="I544" s="89">
        <f>IF($G544="","",IF($F544="",IFERROR(INDEX(Setup!$C$21:$C$60,MATCH("|"&amp;UPPER(TRIM($G544)),Setup!$Q$21:$Q$60,0)),"NO RATE"),IFERROR(INDEX(Setup!$C$21:$C$60,MATCH(UPPER(TRIM($F544))&amp;"|"&amp;UPPER(TRIM($G544)),Setup!$P$21:$P$60,0)),IFERROR(INDEX(Setup!$C$21:$C$60,MATCH(UPPER(TRIM($G544))&amp;"|"&amp;UPPER(TRIM($F544)),Setup!$P$21:$P$60,0)),"NO RATE"))))</f>
        <v/>
      </c>
      <c r="J544" s="97" t="n"/>
      <c r="K544" s="89">
        <f>IF(OR($G544="",$H544="",NOT(ISNUMBER($I544))),"",ROUND($H544*$I544*(1+IF($J544="",Setup!$B$16,$J544)),2))</f>
        <v/>
      </c>
      <c r="L544" s="89">
        <f>IF($K544="","",ROUND($K544*Setup!$B$13,2))</f>
        <v/>
      </c>
      <c r="M544" s="89">
        <f>IF($K544="","",$K544-$L544)</f>
        <v/>
      </c>
      <c r="N544" s="89">
        <f>IF(OR($M544="",$D544=""),"",ROUND($M544*IFERROR(IF(VLOOKUP($D544,Setup!$A$76:$C$87,3,FALSE)="",Setup!$B$14,VLOOKUP($D544,Setup!$A$76:$C$87,3,FALSE)),Setup!$B$14),2))</f>
        <v/>
      </c>
      <c r="O544" s="89">
        <f>IF(OR($M544="",$E544=""),"",ROUND($M544*IFERROR(IF(VLOOKUP($E544,Setup!$A$76:$C$87,3,FALSE)="",Setup!$B$15,VLOOKUP($E544,Setup!$A$76:$C$87,3,FALSE)),Setup!$B$15),2))</f>
        <v/>
      </c>
      <c r="P544" s="98" t="n"/>
      <c r="Q544" s="98" t="n"/>
      <c r="R544" s="98" t="n"/>
      <c r="S544" s="98" t="n"/>
      <c r="T544" s="98" t="n"/>
      <c r="U544" s="89">
        <f>IF($K544="","",SUM($R544:$T544))</f>
        <v/>
      </c>
      <c r="V544" s="89">
        <f>IF($K544="","",$M544-(N($N544)+N($O544)+IF($P544="",Setup!$B$17,$P544)+N($Q544))-N($U544))</f>
        <v/>
      </c>
      <c r="W544" s="94" t="n"/>
      <c r="X544" s="95" t="n"/>
      <c r="Z544" s="92">
        <f>IF($A544="","",DATE(YEAR($A544),MONTH($A544),1))</f>
        <v/>
      </c>
    </row>
    <row r="545">
      <c r="A545" s="85" t="n"/>
      <c r="B545" s="86" t="n"/>
      <c r="C545" s="86" t="n"/>
      <c r="D545" s="87" t="n"/>
      <c r="E545" s="87" t="n"/>
      <c r="F545" s="87" t="n"/>
      <c r="G545" s="87" t="n"/>
      <c r="H545" s="88" t="n"/>
      <c r="I545" s="89">
        <f>IF($G545="","",IF($F545="",IFERROR(INDEX(Setup!$C$21:$C$60,MATCH("|"&amp;UPPER(TRIM($G545)),Setup!$Q$21:$Q$60,0)),"NO RATE"),IFERROR(INDEX(Setup!$C$21:$C$60,MATCH(UPPER(TRIM($F545))&amp;"|"&amp;UPPER(TRIM($G545)),Setup!$P$21:$P$60,0)),IFERROR(INDEX(Setup!$C$21:$C$60,MATCH(UPPER(TRIM($G545))&amp;"|"&amp;UPPER(TRIM($F545)),Setup!$P$21:$P$60,0)),"NO RATE"))))</f>
        <v/>
      </c>
      <c r="J545" s="90" t="n"/>
      <c r="K545" s="89">
        <f>IF(OR($G545="",$H545="",NOT(ISNUMBER($I545))),"",ROUND($H545*$I545*(1+IF($J545="",Setup!$B$16,$J545)),2))</f>
        <v/>
      </c>
      <c r="L545" s="89">
        <f>IF($K545="","",ROUND($K545*Setup!$B$13,2))</f>
        <v/>
      </c>
      <c r="M545" s="89">
        <f>IF($K545="","",$K545-$L545)</f>
        <v/>
      </c>
      <c r="N545" s="89">
        <f>IF(OR($M545="",$D545=""),"",ROUND($M545*IFERROR(IF(VLOOKUP($D545,Setup!$A$76:$C$87,3,FALSE)="",Setup!$B$14,VLOOKUP($D545,Setup!$A$76:$C$87,3,FALSE)),Setup!$B$14),2))</f>
        <v/>
      </c>
      <c r="O545" s="89">
        <f>IF(OR($M545="",$E545=""),"",ROUND($M545*IFERROR(IF(VLOOKUP($E545,Setup!$A$76:$C$87,3,FALSE)="",Setup!$B$15,VLOOKUP($E545,Setup!$A$76:$C$87,3,FALSE)),Setup!$B$15),2))</f>
        <v/>
      </c>
      <c r="P545" s="91" t="n"/>
      <c r="Q545" s="91" t="n"/>
      <c r="R545" s="91" t="n"/>
      <c r="S545" s="91" t="n"/>
      <c r="T545" s="91" t="n"/>
      <c r="U545" s="89">
        <f>IF($K545="","",SUM($R545:$T545))</f>
        <v/>
      </c>
      <c r="V545" s="89">
        <f>IF($K545="","",$M545-(N($N545)+N($O545)+IF($P545="",Setup!$B$17,$P545)+N($Q545))-N($U545))</f>
        <v/>
      </c>
      <c r="W545" s="86" t="n"/>
      <c r="X545" s="87" t="n"/>
      <c r="Z545" s="92">
        <f>IF($A545="","",DATE(YEAR($A545),MONTH($A545),1))</f>
        <v/>
      </c>
    </row>
    <row r="546">
      <c r="A546" s="93" t="n"/>
      <c r="B546" s="94" t="n"/>
      <c r="C546" s="94" t="n"/>
      <c r="D546" s="95" t="n"/>
      <c r="E546" s="95" t="n"/>
      <c r="F546" s="95" t="n"/>
      <c r="G546" s="95" t="n"/>
      <c r="H546" s="96" t="n"/>
      <c r="I546" s="89">
        <f>IF($G546="","",IF($F546="",IFERROR(INDEX(Setup!$C$21:$C$60,MATCH("|"&amp;UPPER(TRIM($G546)),Setup!$Q$21:$Q$60,0)),"NO RATE"),IFERROR(INDEX(Setup!$C$21:$C$60,MATCH(UPPER(TRIM($F546))&amp;"|"&amp;UPPER(TRIM($G546)),Setup!$P$21:$P$60,0)),IFERROR(INDEX(Setup!$C$21:$C$60,MATCH(UPPER(TRIM($G546))&amp;"|"&amp;UPPER(TRIM($F546)),Setup!$P$21:$P$60,0)),"NO RATE"))))</f>
        <v/>
      </c>
      <c r="J546" s="97" t="n"/>
      <c r="K546" s="89">
        <f>IF(OR($G546="",$H546="",NOT(ISNUMBER($I546))),"",ROUND($H546*$I546*(1+IF($J546="",Setup!$B$16,$J546)),2))</f>
        <v/>
      </c>
      <c r="L546" s="89">
        <f>IF($K546="","",ROUND($K546*Setup!$B$13,2))</f>
        <v/>
      </c>
      <c r="M546" s="89">
        <f>IF($K546="","",$K546-$L546)</f>
        <v/>
      </c>
      <c r="N546" s="89">
        <f>IF(OR($M546="",$D546=""),"",ROUND($M546*IFERROR(IF(VLOOKUP($D546,Setup!$A$76:$C$87,3,FALSE)="",Setup!$B$14,VLOOKUP($D546,Setup!$A$76:$C$87,3,FALSE)),Setup!$B$14),2))</f>
        <v/>
      </c>
      <c r="O546" s="89">
        <f>IF(OR($M546="",$E546=""),"",ROUND($M546*IFERROR(IF(VLOOKUP($E546,Setup!$A$76:$C$87,3,FALSE)="",Setup!$B$15,VLOOKUP($E546,Setup!$A$76:$C$87,3,FALSE)),Setup!$B$15),2))</f>
        <v/>
      </c>
      <c r="P546" s="98" t="n"/>
      <c r="Q546" s="98" t="n"/>
      <c r="R546" s="98" t="n"/>
      <c r="S546" s="98" t="n"/>
      <c r="T546" s="98" t="n"/>
      <c r="U546" s="89">
        <f>IF($K546="","",SUM($R546:$T546))</f>
        <v/>
      </c>
      <c r="V546" s="89">
        <f>IF($K546="","",$M546-(N($N546)+N($O546)+IF($P546="",Setup!$B$17,$P546)+N($Q546))-N($U546))</f>
        <v/>
      </c>
      <c r="W546" s="94" t="n"/>
      <c r="X546" s="95" t="n"/>
      <c r="Z546" s="92">
        <f>IF($A546="","",DATE(YEAR($A546),MONTH($A546),1))</f>
        <v/>
      </c>
    </row>
    <row r="547">
      <c r="A547" s="85" t="n"/>
      <c r="B547" s="86" t="n"/>
      <c r="C547" s="86" t="n"/>
      <c r="D547" s="87" t="n"/>
      <c r="E547" s="87" t="n"/>
      <c r="F547" s="87" t="n"/>
      <c r="G547" s="87" t="n"/>
      <c r="H547" s="88" t="n"/>
      <c r="I547" s="89">
        <f>IF($G547="","",IF($F547="",IFERROR(INDEX(Setup!$C$21:$C$60,MATCH("|"&amp;UPPER(TRIM($G547)),Setup!$Q$21:$Q$60,0)),"NO RATE"),IFERROR(INDEX(Setup!$C$21:$C$60,MATCH(UPPER(TRIM($F547))&amp;"|"&amp;UPPER(TRIM($G547)),Setup!$P$21:$P$60,0)),IFERROR(INDEX(Setup!$C$21:$C$60,MATCH(UPPER(TRIM($G547))&amp;"|"&amp;UPPER(TRIM($F547)),Setup!$P$21:$P$60,0)),"NO RATE"))))</f>
        <v/>
      </c>
      <c r="J547" s="90" t="n"/>
      <c r="K547" s="89">
        <f>IF(OR($G547="",$H547="",NOT(ISNUMBER($I547))),"",ROUND($H547*$I547*(1+IF($J547="",Setup!$B$16,$J547)),2))</f>
        <v/>
      </c>
      <c r="L547" s="89">
        <f>IF($K547="","",ROUND($K547*Setup!$B$13,2))</f>
        <v/>
      </c>
      <c r="M547" s="89">
        <f>IF($K547="","",$K547-$L547)</f>
        <v/>
      </c>
      <c r="N547" s="89">
        <f>IF(OR($M547="",$D547=""),"",ROUND($M547*IFERROR(IF(VLOOKUP($D547,Setup!$A$76:$C$87,3,FALSE)="",Setup!$B$14,VLOOKUP($D547,Setup!$A$76:$C$87,3,FALSE)),Setup!$B$14),2))</f>
        <v/>
      </c>
      <c r="O547" s="89">
        <f>IF(OR($M547="",$E547=""),"",ROUND($M547*IFERROR(IF(VLOOKUP($E547,Setup!$A$76:$C$87,3,FALSE)="",Setup!$B$15,VLOOKUP($E547,Setup!$A$76:$C$87,3,FALSE)),Setup!$B$15),2))</f>
        <v/>
      </c>
      <c r="P547" s="91" t="n"/>
      <c r="Q547" s="91" t="n"/>
      <c r="R547" s="91" t="n"/>
      <c r="S547" s="91" t="n"/>
      <c r="T547" s="91" t="n"/>
      <c r="U547" s="89">
        <f>IF($K547="","",SUM($R547:$T547))</f>
        <v/>
      </c>
      <c r="V547" s="89">
        <f>IF($K547="","",$M547-(N($N547)+N($O547)+IF($P547="",Setup!$B$17,$P547)+N($Q547))-N($U547))</f>
        <v/>
      </c>
      <c r="W547" s="86" t="n"/>
      <c r="X547" s="87" t="n"/>
      <c r="Z547" s="92">
        <f>IF($A547="","",DATE(YEAR($A547),MONTH($A547),1))</f>
        <v/>
      </c>
    </row>
    <row r="548">
      <c r="A548" s="93" t="n"/>
      <c r="B548" s="94" t="n"/>
      <c r="C548" s="94" t="n"/>
      <c r="D548" s="95" t="n"/>
      <c r="E548" s="95" t="n"/>
      <c r="F548" s="95" t="n"/>
      <c r="G548" s="95" t="n"/>
      <c r="H548" s="96" t="n"/>
      <c r="I548" s="89">
        <f>IF($G548="","",IF($F548="",IFERROR(INDEX(Setup!$C$21:$C$60,MATCH("|"&amp;UPPER(TRIM($G548)),Setup!$Q$21:$Q$60,0)),"NO RATE"),IFERROR(INDEX(Setup!$C$21:$C$60,MATCH(UPPER(TRIM($F548))&amp;"|"&amp;UPPER(TRIM($G548)),Setup!$P$21:$P$60,0)),IFERROR(INDEX(Setup!$C$21:$C$60,MATCH(UPPER(TRIM($G548))&amp;"|"&amp;UPPER(TRIM($F548)),Setup!$P$21:$P$60,0)),"NO RATE"))))</f>
        <v/>
      </c>
      <c r="J548" s="97" t="n"/>
      <c r="K548" s="89">
        <f>IF(OR($G548="",$H548="",NOT(ISNUMBER($I548))),"",ROUND($H548*$I548*(1+IF($J548="",Setup!$B$16,$J548)),2))</f>
        <v/>
      </c>
      <c r="L548" s="89">
        <f>IF($K548="","",ROUND($K548*Setup!$B$13,2))</f>
        <v/>
      </c>
      <c r="M548" s="89">
        <f>IF($K548="","",$K548-$L548)</f>
        <v/>
      </c>
      <c r="N548" s="89">
        <f>IF(OR($M548="",$D548=""),"",ROUND($M548*IFERROR(IF(VLOOKUP($D548,Setup!$A$76:$C$87,3,FALSE)="",Setup!$B$14,VLOOKUP($D548,Setup!$A$76:$C$87,3,FALSE)),Setup!$B$14),2))</f>
        <v/>
      </c>
      <c r="O548" s="89">
        <f>IF(OR($M548="",$E548=""),"",ROUND($M548*IFERROR(IF(VLOOKUP($E548,Setup!$A$76:$C$87,3,FALSE)="",Setup!$B$15,VLOOKUP($E548,Setup!$A$76:$C$87,3,FALSE)),Setup!$B$15),2))</f>
        <v/>
      </c>
      <c r="P548" s="98" t="n"/>
      <c r="Q548" s="98" t="n"/>
      <c r="R548" s="98" t="n"/>
      <c r="S548" s="98" t="n"/>
      <c r="T548" s="98" t="n"/>
      <c r="U548" s="89">
        <f>IF($K548="","",SUM($R548:$T548))</f>
        <v/>
      </c>
      <c r="V548" s="89">
        <f>IF($K548="","",$M548-(N($N548)+N($O548)+IF($P548="",Setup!$B$17,$P548)+N($Q548))-N($U548))</f>
        <v/>
      </c>
      <c r="W548" s="94" t="n"/>
      <c r="X548" s="95" t="n"/>
      <c r="Z548" s="92">
        <f>IF($A548="","",DATE(YEAR($A548),MONTH($A548),1))</f>
        <v/>
      </c>
    </row>
    <row r="549">
      <c r="A549" s="85" t="n"/>
      <c r="B549" s="86" t="n"/>
      <c r="C549" s="86" t="n"/>
      <c r="D549" s="87" t="n"/>
      <c r="E549" s="87" t="n"/>
      <c r="F549" s="87" t="n"/>
      <c r="G549" s="87" t="n"/>
      <c r="H549" s="88" t="n"/>
      <c r="I549" s="89">
        <f>IF($G549="","",IF($F549="",IFERROR(INDEX(Setup!$C$21:$C$60,MATCH("|"&amp;UPPER(TRIM($G549)),Setup!$Q$21:$Q$60,0)),"NO RATE"),IFERROR(INDEX(Setup!$C$21:$C$60,MATCH(UPPER(TRIM($F549))&amp;"|"&amp;UPPER(TRIM($G549)),Setup!$P$21:$P$60,0)),IFERROR(INDEX(Setup!$C$21:$C$60,MATCH(UPPER(TRIM($G549))&amp;"|"&amp;UPPER(TRIM($F549)),Setup!$P$21:$P$60,0)),"NO RATE"))))</f>
        <v/>
      </c>
      <c r="J549" s="90" t="n"/>
      <c r="K549" s="89">
        <f>IF(OR($G549="",$H549="",NOT(ISNUMBER($I549))),"",ROUND($H549*$I549*(1+IF($J549="",Setup!$B$16,$J549)),2))</f>
        <v/>
      </c>
      <c r="L549" s="89">
        <f>IF($K549="","",ROUND($K549*Setup!$B$13,2))</f>
        <v/>
      </c>
      <c r="M549" s="89">
        <f>IF($K549="","",$K549-$L549)</f>
        <v/>
      </c>
      <c r="N549" s="89">
        <f>IF(OR($M549="",$D549=""),"",ROUND($M549*IFERROR(IF(VLOOKUP($D549,Setup!$A$76:$C$87,3,FALSE)="",Setup!$B$14,VLOOKUP($D549,Setup!$A$76:$C$87,3,FALSE)),Setup!$B$14),2))</f>
        <v/>
      </c>
      <c r="O549" s="89">
        <f>IF(OR($M549="",$E549=""),"",ROUND($M549*IFERROR(IF(VLOOKUP($E549,Setup!$A$76:$C$87,3,FALSE)="",Setup!$B$15,VLOOKUP($E549,Setup!$A$76:$C$87,3,FALSE)),Setup!$B$15),2))</f>
        <v/>
      </c>
      <c r="P549" s="91" t="n"/>
      <c r="Q549" s="91" t="n"/>
      <c r="R549" s="91" t="n"/>
      <c r="S549" s="91" t="n"/>
      <c r="T549" s="91" t="n"/>
      <c r="U549" s="89">
        <f>IF($K549="","",SUM($R549:$T549))</f>
        <v/>
      </c>
      <c r="V549" s="89">
        <f>IF($K549="","",$M549-(N($N549)+N($O549)+IF($P549="",Setup!$B$17,$P549)+N($Q549))-N($U549))</f>
        <v/>
      </c>
      <c r="W549" s="86" t="n"/>
      <c r="X549" s="87" t="n"/>
      <c r="Z549" s="92">
        <f>IF($A549="","",DATE(YEAR($A549),MONTH($A549),1))</f>
        <v/>
      </c>
    </row>
    <row r="550">
      <c r="A550" s="93" t="n"/>
      <c r="B550" s="94" t="n"/>
      <c r="C550" s="94" t="n"/>
      <c r="D550" s="95" t="n"/>
      <c r="E550" s="95" t="n"/>
      <c r="F550" s="95" t="n"/>
      <c r="G550" s="95" t="n"/>
      <c r="H550" s="96" t="n"/>
      <c r="I550" s="89">
        <f>IF($G550="","",IF($F550="",IFERROR(INDEX(Setup!$C$21:$C$60,MATCH("|"&amp;UPPER(TRIM($G550)),Setup!$Q$21:$Q$60,0)),"NO RATE"),IFERROR(INDEX(Setup!$C$21:$C$60,MATCH(UPPER(TRIM($F550))&amp;"|"&amp;UPPER(TRIM($G550)),Setup!$P$21:$P$60,0)),IFERROR(INDEX(Setup!$C$21:$C$60,MATCH(UPPER(TRIM($G550))&amp;"|"&amp;UPPER(TRIM($F550)),Setup!$P$21:$P$60,0)),"NO RATE"))))</f>
        <v/>
      </c>
      <c r="J550" s="97" t="n"/>
      <c r="K550" s="89">
        <f>IF(OR($G550="",$H550="",NOT(ISNUMBER($I550))),"",ROUND($H550*$I550*(1+IF($J550="",Setup!$B$16,$J550)),2))</f>
        <v/>
      </c>
      <c r="L550" s="89">
        <f>IF($K550="","",ROUND($K550*Setup!$B$13,2))</f>
        <v/>
      </c>
      <c r="M550" s="89">
        <f>IF($K550="","",$K550-$L550)</f>
        <v/>
      </c>
      <c r="N550" s="89">
        <f>IF(OR($M550="",$D550=""),"",ROUND($M550*IFERROR(IF(VLOOKUP($D550,Setup!$A$76:$C$87,3,FALSE)="",Setup!$B$14,VLOOKUP($D550,Setup!$A$76:$C$87,3,FALSE)),Setup!$B$14),2))</f>
        <v/>
      </c>
      <c r="O550" s="89">
        <f>IF(OR($M550="",$E550=""),"",ROUND($M550*IFERROR(IF(VLOOKUP($E550,Setup!$A$76:$C$87,3,FALSE)="",Setup!$B$15,VLOOKUP($E550,Setup!$A$76:$C$87,3,FALSE)),Setup!$B$15),2))</f>
        <v/>
      </c>
      <c r="P550" s="98" t="n"/>
      <c r="Q550" s="98" t="n"/>
      <c r="R550" s="98" t="n"/>
      <c r="S550" s="98" t="n"/>
      <c r="T550" s="98" t="n"/>
      <c r="U550" s="89">
        <f>IF($K550="","",SUM($R550:$T550))</f>
        <v/>
      </c>
      <c r="V550" s="89">
        <f>IF($K550="","",$M550-(N($N550)+N($O550)+IF($P550="",Setup!$B$17,$P550)+N($Q550))-N($U550))</f>
        <v/>
      </c>
      <c r="W550" s="94" t="n"/>
      <c r="X550" s="95" t="n"/>
      <c r="Z550" s="92">
        <f>IF($A550="","",DATE(YEAR($A550),MONTH($A550),1))</f>
        <v/>
      </c>
    </row>
    <row r="551">
      <c r="A551" s="85" t="n"/>
      <c r="B551" s="86" t="n"/>
      <c r="C551" s="86" t="n"/>
      <c r="D551" s="87" t="n"/>
      <c r="E551" s="87" t="n"/>
      <c r="F551" s="87" t="n"/>
      <c r="G551" s="87" t="n"/>
      <c r="H551" s="88" t="n"/>
      <c r="I551" s="89">
        <f>IF($G551="","",IF($F551="",IFERROR(INDEX(Setup!$C$21:$C$60,MATCH("|"&amp;UPPER(TRIM($G551)),Setup!$Q$21:$Q$60,0)),"NO RATE"),IFERROR(INDEX(Setup!$C$21:$C$60,MATCH(UPPER(TRIM($F551))&amp;"|"&amp;UPPER(TRIM($G551)),Setup!$P$21:$P$60,0)),IFERROR(INDEX(Setup!$C$21:$C$60,MATCH(UPPER(TRIM($G551))&amp;"|"&amp;UPPER(TRIM($F551)),Setup!$P$21:$P$60,0)),"NO RATE"))))</f>
        <v/>
      </c>
      <c r="J551" s="90" t="n"/>
      <c r="K551" s="89">
        <f>IF(OR($G551="",$H551="",NOT(ISNUMBER($I551))),"",ROUND($H551*$I551*(1+IF($J551="",Setup!$B$16,$J551)),2))</f>
        <v/>
      </c>
      <c r="L551" s="89">
        <f>IF($K551="","",ROUND($K551*Setup!$B$13,2))</f>
        <v/>
      </c>
      <c r="M551" s="89">
        <f>IF($K551="","",$K551-$L551)</f>
        <v/>
      </c>
      <c r="N551" s="89">
        <f>IF(OR($M551="",$D551=""),"",ROUND($M551*IFERROR(IF(VLOOKUP($D551,Setup!$A$76:$C$87,3,FALSE)="",Setup!$B$14,VLOOKUP($D551,Setup!$A$76:$C$87,3,FALSE)),Setup!$B$14),2))</f>
        <v/>
      </c>
      <c r="O551" s="89">
        <f>IF(OR($M551="",$E551=""),"",ROUND($M551*IFERROR(IF(VLOOKUP($E551,Setup!$A$76:$C$87,3,FALSE)="",Setup!$B$15,VLOOKUP($E551,Setup!$A$76:$C$87,3,FALSE)),Setup!$B$15),2))</f>
        <v/>
      </c>
      <c r="P551" s="91" t="n"/>
      <c r="Q551" s="91" t="n"/>
      <c r="R551" s="91" t="n"/>
      <c r="S551" s="91" t="n"/>
      <c r="T551" s="91" t="n"/>
      <c r="U551" s="89">
        <f>IF($K551="","",SUM($R551:$T551))</f>
        <v/>
      </c>
      <c r="V551" s="89">
        <f>IF($K551="","",$M551-(N($N551)+N($O551)+IF($P551="",Setup!$B$17,$P551)+N($Q551))-N($U551))</f>
        <v/>
      </c>
      <c r="W551" s="86" t="n"/>
      <c r="X551" s="87" t="n"/>
      <c r="Z551" s="92">
        <f>IF($A551="","",DATE(YEAR($A551),MONTH($A551),1))</f>
        <v/>
      </c>
    </row>
    <row r="552">
      <c r="A552" s="93" t="n"/>
      <c r="B552" s="94" t="n"/>
      <c r="C552" s="94" t="n"/>
      <c r="D552" s="95" t="n"/>
      <c r="E552" s="95" t="n"/>
      <c r="F552" s="95" t="n"/>
      <c r="G552" s="95" t="n"/>
      <c r="H552" s="96" t="n"/>
      <c r="I552" s="89">
        <f>IF($G552="","",IF($F552="",IFERROR(INDEX(Setup!$C$21:$C$60,MATCH("|"&amp;UPPER(TRIM($G552)),Setup!$Q$21:$Q$60,0)),"NO RATE"),IFERROR(INDEX(Setup!$C$21:$C$60,MATCH(UPPER(TRIM($F552))&amp;"|"&amp;UPPER(TRIM($G552)),Setup!$P$21:$P$60,0)),IFERROR(INDEX(Setup!$C$21:$C$60,MATCH(UPPER(TRIM($G552))&amp;"|"&amp;UPPER(TRIM($F552)),Setup!$P$21:$P$60,0)),"NO RATE"))))</f>
        <v/>
      </c>
      <c r="J552" s="97" t="n"/>
      <c r="K552" s="89">
        <f>IF(OR($G552="",$H552="",NOT(ISNUMBER($I552))),"",ROUND($H552*$I552*(1+IF($J552="",Setup!$B$16,$J552)),2))</f>
        <v/>
      </c>
      <c r="L552" s="89">
        <f>IF($K552="","",ROUND($K552*Setup!$B$13,2))</f>
        <v/>
      </c>
      <c r="M552" s="89">
        <f>IF($K552="","",$K552-$L552)</f>
        <v/>
      </c>
      <c r="N552" s="89">
        <f>IF(OR($M552="",$D552=""),"",ROUND($M552*IFERROR(IF(VLOOKUP($D552,Setup!$A$76:$C$87,3,FALSE)="",Setup!$B$14,VLOOKUP($D552,Setup!$A$76:$C$87,3,FALSE)),Setup!$B$14),2))</f>
        <v/>
      </c>
      <c r="O552" s="89">
        <f>IF(OR($M552="",$E552=""),"",ROUND($M552*IFERROR(IF(VLOOKUP($E552,Setup!$A$76:$C$87,3,FALSE)="",Setup!$B$15,VLOOKUP($E552,Setup!$A$76:$C$87,3,FALSE)),Setup!$B$15),2))</f>
        <v/>
      </c>
      <c r="P552" s="98" t="n"/>
      <c r="Q552" s="98" t="n"/>
      <c r="R552" s="98" t="n"/>
      <c r="S552" s="98" t="n"/>
      <c r="T552" s="98" t="n"/>
      <c r="U552" s="89">
        <f>IF($K552="","",SUM($R552:$T552))</f>
        <v/>
      </c>
      <c r="V552" s="89">
        <f>IF($K552="","",$M552-(N($N552)+N($O552)+IF($P552="",Setup!$B$17,$P552)+N($Q552))-N($U552))</f>
        <v/>
      </c>
      <c r="W552" s="94" t="n"/>
      <c r="X552" s="95" t="n"/>
      <c r="Z552" s="92">
        <f>IF($A552="","",DATE(YEAR($A552),MONTH($A552),1))</f>
        <v/>
      </c>
    </row>
    <row r="553">
      <c r="A553" s="85" t="n"/>
      <c r="B553" s="86" t="n"/>
      <c r="C553" s="86" t="n"/>
      <c r="D553" s="87" t="n"/>
      <c r="E553" s="87" t="n"/>
      <c r="F553" s="87" t="n"/>
      <c r="G553" s="87" t="n"/>
      <c r="H553" s="88" t="n"/>
      <c r="I553" s="89">
        <f>IF($G553="","",IF($F553="",IFERROR(INDEX(Setup!$C$21:$C$60,MATCH("|"&amp;UPPER(TRIM($G553)),Setup!$Q$21:$Q$60,0)),"NO RATE"),IFERROR(INDEX(Setup!$C$21:$C$60,MATCH(UPPER(TRIM($F553))&amp;"|"&amp;UPPER(TRIM($G553)),Setup!$P$21:$P$60,0)),IFERROR(INDEX(Setup!$C$21:$C$60,MATCH(UPPER(TRIM($G553))&amp;"|"&amp;UPPER(TRIM($F553)),Setup!$P$21:$P$60,0)),"NO RATE"))))</f>
        <v/>
      </c>
      <c r="J553" s="90" t="n"/>
      <c r="K553" s="89">
        <f>IF(OR($G553="",$H553="",NOT(ISNUMBER($I553))),"",ROUND($H553*$I553*(1+IF($J553="",Setup!$B$16,$J553)),2))</f>
        <v/>
      </c>
      <c r="L553" s="89">
        <f>IF($K553="","",ROUND($K553*Setup!$B$13,2))</f>
        <v/>
      </c>
      <c r="M553" s="89">
        <f>IF($K553="","",$K553-$L553)</f>
        <v/>
      </c>
      <c r="N553" s="89">
        <f>IF(OR($M553="",$D553=""),"",ROUND($M553*IFERROR(IF(VLOOKUP($D553,Setup!$A$76:$C$87,3,FALSE)="",Setup!$B$14,VLOOKUP($D553,Setup!$A$76:$C$87,3,FALSE)),Setup!$B$14),2))</f>
        <v/>
      </c>
      <c r="O553" s="89">
        <f>IF(OR($M553="",$E553=""),"",ROUND($M553*IFERROR(IF(VLOOKUP($E553,Setup!$A$76:$C$87,3,FALSE)="",Setup!$B$15,VLOOKUP($E553,Setup!$A$76:$C$87,3,FALSE)),Setup!$B$15),2))</f>
        <v/>
      </c>
      <c r="P553" s="91" t="n"/>
      <c r="Q553" s="91" t="n"/>
      <c r="R553" s="91" t="n"/>
      <c r="S553" s="91" t="n"/>
      <c r="T553" s="91" t="n"/>
      <c r="U553" s="89">
        <f>IF($K553="","",SUM($R553:$T553))</f>
        <v/>
      </c>
      <c r="V553" s="89">
        <f>IF($K553="","",$M553-(N($N553)+N($O553)+IF($P553="",Setup!$B$17,$P553)+N($Q553))-N($U553))</f>
        <v/>
      </c>
      <c r="W553" s="86" t="n"/>
      <c r="X553" s="87" t="n"/>
      <c r="Z553" s="92">
        <f>IF($A553="","",DATE(YEAR($A553),MONTH($A553),1))</f>
        <v/>
      </c>
    </row>
    <row r="554">
      <c r="A554" s="93" t="n"/>
      <c r="B554" s="94" t="n"/>
      <c r="C554" s="94" t="n"/>
      <c r="D554" s="95" t="n"/>
      <c r="E554" s="95" t="n"/>
      <c r="F554" s="95" t="n"/>
      <c r="G554" s="95" t="n"/>
      <c r="H554" s="96" t="n"/>
      <c r="I554" s="89">
        <f>IF($G554="","",IF($F554="",IFERROR(INDEX(Setup!$C$21:$C$60,MATCH("|"&amp;UPPER(TRIM($G554)),Setup!$Q$21:$Q$60,0)),"NO RATE"),IFERROR(INDEX(Setup!$C$21:$C$60,MATCH(UPPER(TRIM($F554))&amp;"|"&amp;UPPER(TRIM($G554)),Setup!$P$21:$P$60,0)),IFERROR(INDEX(Setup!$C$21:$C$60,MATCH(UPPER(TRIM($G554))&amp;"|"&amp;UPPER(TRIM($F554)),Setup!$P$21:$P$60,0)),"NO RATE"))))</f>
        <v/>
      </c>
      <c r="J554" s="97" t="n"/>
      <c r="K554" s="89">
        <f>IF(OR($G554="",$H554="",NOT(ISNUMBER($I554))),"",ROUND($H554*$I554*(1+IF($J554="",Setup!$B$16,$J554)),2))</f>
        <v/>
      </c>
      <c r="L554" s="89">
        <f>IF($K554="","",ROUND($K554*Setup!$B$13,2))</f>
        <v/>
      </c>
      <c r="M554" s="89">
        <f>IF($K554="","",$K554-$L554)</f>
        <v/>
      </c>
      <c r="N554" s="89">
        <f>IF(OR($M554="",$D554=""),"",ROUND($M554*IFERROR(IF(VLOOKUP($D554,Setup!$A$76:$C$87,3,FALSE)="",Setup!$B$14,VLOOKUP($D554,Setup!$A$76:$C$87,3,FALSE)),Setup!$B$14),2))</f>
        <v/>
      </c>
      <c r="O554" s="89">
        <f>IF(OR($M554="",$E554=""),"",ROUND($M554*IFERROR(IF(VLOOKUP($E554,Setup!$A$76:$C$87,3,FALSE)="",Setup!$B$15,VLOOKUP($E554,Setup!$A$76:$C$87,3,FALSE)),Setup!$B$15),2))</f>
        <v/>
      </c>
      <c r="P554" s="98" t="n"/>
      <c r="Q554" s="98" t="n"/>
      <c r="R554" s="98" t="n"/>
      <c r="S554" s="98" t="n"/>
      <c r="T554" s="98" t="n"/>
      <c r="U554" s="89">
        <f>IF($K554="","",SUM($R554:$T554))</f>
        <v/>
      </c>
      <c r="V554" s="89">
        <f>IF($K554="","",$M554-(N($N554)+N($O554)+IF($P554="",Setup!$B$17,$P554)+N($Q554))-N($U554))</f>
        <v/>
      </c>
      <c r="W554" s="94" t="n"/>
      <c r="X554" s="95" t="n"/>
      <c r="Z554" s="92">
        <f>IF($A554="","",DATE(YEAR($A554),MONTH($A554),1))</f>
        <v/>
      </c>
    </row>
    <row r="555">
      <c r="A555" s="85" t="n"/>
      <c r="B555" s="86" t="n"/>
      <c r="C555" s="86" t="n"/>
      <c r="D555" s="87" t="n"/>
      <c r="E555" s="87" t="n"/>
      <c r="F555" s="87" t="n"/>
      <c r="G555" s="87" t="n"/>
      <c r="H555" s="88" t="n"/>
      <c r="I555" s="89">
        <f>IF($G555="","",IF($F555="",IFERROR(INDEX(Setup!$C$21:$C$60,MATCH("|"&amp;UPPER(TRIM($G555)),Setup!$Q$21:$Q$60,0)),"NO RATE"),IFERROR(INDEX(Setup!$C$21:$C$60,MATCH(UPPER(TRIM($F555))&amp;"|"&amp;UPPER(TRIM($G555)),Setup!$P$21:$P$60,0)),IFERROR(INDEX(Setup!$C$21:$C$60,MATCH(UPPER(TRIM($G555))&amp;"|"&amp;UPPER(TRIM($F555)),Setup!$P$21:$P$60,0)),"NO RATE"))))</f>
        <v/>
      </c>
      <c r="J555" s="90" t="n"/>
      <c r="K555" s="89">
        <f>IF(OR($G555="",$H555="",NOT(ISNUMBER($I555))),"",ROUND($H555*$I555*(1+IF($J555="",Setup!$B$16,$J555)),2))</f>
        <v/>
      </c>
      <c r="L555" s="89">
        <f>IF($K555="","",ROUND($K555*Setup!$B$13,2))</f>
        <v/>
      </c>
      <c r="M555" s="89">
        <f>IF($K555="","",$K555-$L555)</f>
        <v/>
      </c>
      <c r="N555" s="89">
        <f>IF(OR($M555="",$D555=""),"",ROUND($M555*IFERROR(IF(VLOOKUP($D555,Setup!$A$76:$C$87,3,FALSE)="",Setup!$B$14,VLOOKUP($D555,Setup!$A$76:$C$87,3,FALSE)),Setup!$B$14),2))</f>
        <v/>
      </c>
      <c r="O555" s="89">
        <f>IF(OR($M555="",$E555=""),"",ROUND($M555*IFERROR(IF(VLOOKUP($E555,Setup!$A$76:$C$87,3,FALSE)="",Setup!$B$15,VLOOKUP($E555,Setup!$A$76:$C$87,3,FALSE)),Setup!$B$15),2))</f>
        <v/>
      </c>
      <c r="P555" s="91" t="n"/>
      <c r="Q555" s="91" t="n"/>
      <c r="R555" s="91" t="n"/>
      <c r="S555" s="91" t="n"/>
      <c r="T555" s="91" t="n"/>
      <c r="U555" s="89">
        <f>IF($K555="","",SUM($R555:$T555))</f>
        <v/>
      </c>
      <c r="V555" s="89">
        <f>IF($K555="","",$M555-(N($N555)+N($O555)+IF($P555="",Setup!$B$17,$P555)+N($Q555))-N($U555))</f>
        <v/>
      </c>
      <c r="W555" s="86" t="n"/>
      <c r="X555" s="87" t="n"/>
      <c r="Z555" s="92">
        <f>IF($A555="","",DATE(YEAR($A555),MONTH($A555),1))</f>
        <v/>
      </c>
    </row>
    <row r="556">
      <c r="A556" s="93" t="n"/>
      <c r="B556" s="94" t="n"/>
      <c r="C556" s="94" t="n"/>
      <c r="D556" s="95" t="n"/>
      <c r="E556" s="95" t="n"/>
      <c r="F556" s="95" t="n"/>
      <c r="G556" s="95" t="n"/>
      <c r="H556" s="96" t="n"/>
      <c r="I556" s="89">
        <f>IF($G556="","",IF($F556="",IFERROR(INDEX(Setup!$C$21:$C$60,MATCH("|"&amp;UPPER(TRIM($G556)),Setup!$Q$21:$Q$60,0)),"NO RATE"),IFERROR(INDEX(Setup!$C$21:$C$60,MATCH(UPPER(TRIM($F556))&amp;"|"&amp;UPPER(TRIM($G556)),Setup!$P$21:$P$60,0)),IFERROR(INDEX(Setup!$C$21:$C$60,MATCH(UPPER(TRIM($G556))&amp;"|"&amp;UPPER(TRIM($F556)),Setup!$P$21:$P$60,0)),"NO RATE"))))</f>
        <v/>
      </c>
      <c r="J556" s="97" t="n"/>
      <c r="K556" s="89">
        <f>IF(OR($G556="",$H556="",NOT(ISNUMBER($I556))),"",ROUND($H556*$I556*(1+IF($J556="",Setup!$B$16,$J556)),2))</f>
        <v/>
      </c>
      <c r="L556" s="89">
        <f>IF($K556="","",ROUND($K556*Setup!$B$13,2))</f>
        <v/>
      </c>
      <c r="M556" s="89">
        <f>IF($K556="","",$K556-$L556)</f>
        <v/>
      </c>
      <c r="N556" s="89">
        <f>IF(OR($M556="",$D556=""),"",ROUND($M556*IFERROR(IF(VLOOKUP($D556,Setup!$A$76:$C$87,3,FALSE)="",Setup!$B$14,VLOOKUP($D556,Setup!$A$76:$C$87,3,FALSE)),Setup!$B$14),2))</f>
        <v/>
      </c>
      <c r="O556" s="89">
        <f>IF(OR($M556="",$E556=""),"",ROUND($M556*IFERROR(IF(VLOOKUP($E556,Setup!$A$76:$C$87,3,FALSE)="",Setup!$B$15,VLOOKUP($E556,Setup!$A$76:$C$87,3,FALSE)),Setup!$B$15),2))</f>
        <v/>
      </c>
      <c r="P556" s="98" t="n"/>
      <c r="Q556" s="98" t="n"/>
      <c r="R556" s="98" t="n"/>
      <c r="S556" s="98" t="n"/>
      <c r="T556" s="98" t="n"/>
      <c r="U556" s="89">
        <f>IF($K556="","",SUM($R556:$T556))</f>
        <v/>
      </c>
      <c r="V556" s="89">
        <f>IF($K556="","",$M556-(N($N556)+N($O556)+IF($P556="",Setup!$B$17,$P556)+N($Q556))-N($U556))</f>
        <v/>
      </c>
      <c r="W556" s="94" t="n"/>
      <c r="X556" s="95" t="n"/>
      <c r="Z556" s="92">
        <f>IF($A556="","",DATE(YEAR($A556),MONTH($A556),1))</f>
        <v/>
      </c>
    </row>
    <row r="557">
      <c r="A557" s="85" t="n"/>
      <c r="B557" s="86" t="n"/>
      <c r="C557" s="86" t="n"/>
      <c r="D557" s="87" t="n"/>
      <c r="E557" s="87" t="n"/>
      <c r="F557" s="87" t="n"/>
      <c r="G557" s="87" t="n"/>
      <c r="H557" s="88" t="n"/>
      <c r="I557" s="89">
        <f>IF($G557="","",IF($F557="",IFERROR(INDEX(Setup!$C$21:$C$60,MATCH("|"&amp;UPPER(TRIM($G557)),Setup!$Q$21:$Q$60,0)),"NO RATE"),IFERROR(INDEX(Setup!$C$21:$C$60,MATCH(UPPER(TRIM($F557))&amp;"|"&amp;UPPER(TRIM($G557)),Setup!$P$21:$P$60,0)),IFERROR(INDEX(Setup!$C$21:$C$60,MATCH(UPPER(TRIM($G557))&amp;"|"&amp;UPPER(TRIM($F557)),Setup!$P$21:$P$60,0)),"NO RATE"))))</f>
        <v/>
      </c>
      <c r="J557" s="90" t="n"/>
      <c r="K557" s="89">
        <f>IF(OR($G557="",$H557="",NOT(ISNUMBER($I557))),"",ROUND($H557*$I557*(1+IF($J557="",Setup!$B$16,$J557)),2))</f>
        <v/>
      </c>
      <c r="L557" s="89">
        <f>IF($K557="","",ROUND($K557*Setup!$B$13,2))</f>
        <v/>
      </c>
      <c r="M557" s="89">
        <f>IF($K557="","",$K557-$L557)</f>
        <v/>
      </c>
      <c r="N557" s="89">
        <f>IF(OR($M557="",$D557=""),"",ROUND($M557*IFERROR(IF(VLOOKUP($D557,Setup!$A$76:$C$87,3,FALSE)="",Setup!$B$14,VLOOKUP($D557,Setup!$A$76:$C$87,3,FALSE)),Setup!$B$14),2))</f>
        <v/>
      </c>
      <c r="O557" s="89">
        <f>IF(OR($M557="",$E557=""),"",ROUND($M557*IFERROR(IF(VLOOKUP($E557,Setup!$A$76:$C$87,3,FALSE)="",Setup!$B$15,VLOOKUP($E557,Setup!$A$76:$C$87,3,FALSE)),Setup!$B$15),2))</f>
        <v/>
      </c>
      <c r="P557" s="91" t="n"/>
      <c r="Q557" s="91" t="n"/>
      <c r="R557" s="91" t="n"/>
      <c r="S557" s="91" t="n"/>
      <c r="T557" s="91" t="n"/>
      <c r="U557" s="89">
        <f>IF($K557="","",SUM($R557:$T557))</f>
        <v/>
      </c>
      <c r="V557" s="89">
        <f>IF($K557="","",$M557-(N($N557)+N($O557)+IF($P557="",Setup!$B$17,$P557)+N($Q557))-N($U557))</f>
        <v/>
      </c>
      <c r="W557" s="86" t="n"/>
      <c r="X557" s="87" t="n"/>
      <c r="Z557" s="92">
        <f>IF($A557="","",DATE(YEAR($A557),MONTH($A557),1))</f>
        <v/>
      </c>
    </row>
    <row r="558">
      <c r="A558" s="93" t="n"/>
      <c r="B558" s="94" t="n"/>
      <c r="C558" s="94" t="n"/>
      <c r="D558" s="95" t="n"/>
      <c r="E558" s="95" t="n"/>
      <c r="F558" s="95" t="n"/>
      <c r="G558" s="95" t="n"/>
      <c r="H558" s="96" t="n"/>
      <c r="I558" s="89">
        <f>IF($G558="","",IF($F558="",IFERROR(INDEX(Setup!$C$21:$C$60,MATCH("|"&amp;UPPER(TRIM($G558)),Setup!$Q$21:$Q$60,0)),"NO RATE"),IFERROR(INDEX(Setup!$C$21:$C$60,MATCH(UPPER(TRIM($F558))&amp;"|"&amp;UPPER(TRIM($G558)),Setup!$P$21:$P$60,0)),IFERROR(INDEX(Setup!$C$21:$C$60,MATCH(UPPER(TRIM($G558))&amp;"|"&amp;UPPER(TRIM($F558)),Setup!$P$21:$P$60,0)),"NO RATE"))))</f>
        <v/>
      </c>
      <c r="J558" s="97" t="n"/>
      <c r="K558" s="89">
        <f>IF(OR($G558="",$H558="",NOT(ISNUMBER($I558))),"",ROUND($H558*$I558*(1+IF($J558="",Setup!$B$16,$J558)),2))</f>
        <v/>
      </c>
      <c r="L558" s="89">
        <f>IF($K558="","",ROUND($K558*Setup!$B$13,2))</f>
        <v/>
      </c>
      <c r="M558" s="89">
        <f>IF($K558="","",$K558-$L558)</f>
        <v/>
      </c>
      <c r="N558" s="89">
        <f>IF(OR($M558="",$D558=""),"",ROUND($M558*IFERROR(IF(VLOOKUP($D558,Setup!$A$76:$C$87,3,FALSE)="",Setup!$B$14,VLOOKUP($D558,Setup!$A$76:$C$87,3,FALSE)),Setup!$B$14),2))</f>
        <v/>
      </c>
      <c r="O558" s="89">
        <f>IF(OR($M558="",$E558=""),"",ROUND($M558*IFERROR(IF(VLOOKUP($E558,Setup!$A$76:$C$87,3,FALSE)="",Setup!$B$15,VLOOKUP($E558,Setup!$A$76:$C$87,3,FALSE)),Setup!$B$15),2))</f>
        <v/>
      </c>
      <c r="P558" s="98" t="n"/>
      <c r="Q558" s="98" t="n"/>
      <c r="R558" s="98" t="n"/>
      <c r="S558" s="98" t="n"/>
      <c r="T558" s="98" t="n"/>
      <c r="U558" s="89">
        <f>IF($K558="","",SUM($R558:$T558))</f>
        <v/>
      </c>
      <c r="V558" s="89">
        <f>IF($K558="","",$M558-(N($N558)+N($O558)+IF($P558="",Setup!$B$17,$P558)+N($Q558))-N($U558))</f>
        <v/>
      </c>
      <c r="W558" s="94" t="n"/>
      <c r="X558" s="95" t="n"/>
      <c r="Z558" s="92">
        <f>IF($A558="","",DATE(YEAR($A558),MONTH($A558),1))</f>
        <v/>
      </c>
    </row>
    <row r="559">
      <c r="A559" s="85" t="n"/>
      <c r="B559" s="86" t="n"/>
      <c r="C559" s="86" t="n"/>
      <c r="D559" s="87" t="n"/>
      <c r="E559" s="87" t="n"/>
      <c r="F559" s="87" t="n"/>
      <c r="G559" s="87" t="n"/>
      <c r="H559" s="88" t="n"/>
      <c r="I559" s="89">
        <f>IF($G559="","",IF($F559="",IFERROR(INDEX(Setup!$C$21:$C$60,MATCH("|"&amp;UPPER(TRIM($G559)),Setup!$Q$21:$Q$60,0)),"NO RATE"),IFERROR(INDEX(Setup!$C$21:$C$60,MATCH(UPPER(TRIM($F559))&amp;"|"&amp;UPPER(TRIM($G559)),Setup!$P$21:$P$60,0)),IFERROR(INDEX(Setup!$C$21:$C$60,MATCH(UPPER(TRIM($G559))&amp;"|"&amp;UPPER(TRIM($F559)),Setup!$P$21:$P$60,0)),"NO RATE"))))</f>
        <v/>
      </c>
      <c r="J559" s="90" t="n"/>
      <c r="K559" s="89">
        <f>IF(OR($G559="",$H559="",NOT(ISNUMBER($I559))),"",ROUND($H559*$I559*(1+IF($J559="",Setup!$B$16,$J559)),2))</f>
        <v/>
      </c>
      <c r="L559" s="89">
        <f>IF($K559="","",ROUND($K559*Setup!$B$13,2))</f>
        <v/>
      </c>
      <c r="M559" s="89">
        <f>IF($K559="","",$K559-$L559)</f>
        <v/>
      </c>
      <c r="N559" s="89">
        <f>IF(OR($M559="",$D559=""),"",ROUND($M559*IFERROR(IF(VLOOKUP($D559,Setup!$A$76:$C$87,3,FALSE)="",Setup!$B$14,VLOOKUP($D559,Setup!$A$76:$C$87,3,FALSE)),Setup!$B$14),2))</f>
        <v/>
      </c>
      <c r="O559" s="89">
        <f>IF(OR($M559="",$E559=""),"",ROUND($M559*IFERROR(IF(VLOOKUP($E559,Setup!$A$76:$C$87,3,FALSE)="",Setup!$B$15,VLOOKUP($E559,Setup!$A$76:$C$87,3,FALSE)),Setup!$B$15),2))</f>
        <v/>
      </c>
      <c r="P559" s="91" t="n"/>
      <c r="Q559" s="91" t="n"/>
      <c r="R559" s="91" t="n"/>
      <c r="S559" s="91" t="n"/>
      <c r="T559" s="91" t="n"/>
      <c r="U559" s="89">
        <f>IF($K559="","",SUM($R559:$T559))</f>
        <v/>
      </c>
      <c r="V559" s="89">
        <f>IF($K559="","",$M559-(N($N559)+N($O559)+IF($P559="",Setup!$B$17,$P559)+N($Q559))-N($U559))</f>
        <v/>
      </c>
      <c r="W559" s="86" t="n"/>
      <c r="X559" s="87" t="n"/>
      <c r="Z559" s="92">
        <f>IF($A559="","",DATE(YEAR($A559),MONTH($A559),1))</f>
        <v/>
      </c>
    </row>
    <row r="560">
      <c r="A560" s="93" t="n"/>
      <c r="B560" s="94" t="n"/>
      <c r="C560" s="94" t="n"/>
      <c r="D560" s="95" t="n"/>
      <c r="E560" s="95" t="n"/>
      <c r="F560" s="95" t="n"/>
      <c r="G560" s="95" t="n"/>
      <c r="H560" s="96" t="n"/>
      <c r="I560" s="89">
        <f>IF($G560="","",IF($F560="",IFERROR(INDEX(Setup!$C$21:$C$60,MATCH("|"&amp;UPPER(TRIM($G560)),Setup!$Q$21:$Q$60,0)),"NO RATE"),IFERROR(INDEX(Setup!$C$21:$C$60,MATCH(UPPER(TRIM($F560))&amp;"|"&amp;UPPER(TRIM($G560)),Setup!$P$21:$P$60,0)),IFERROR(INDEX(Setup!$C$21:$C$60,MATCH(UPPER(TRIM($G560))&amp;"|"&amp;UPPER(TRIM($F560)),Setup!$P$21:$P$60,0)),"NO RATE"))))</f>
        <v/>
      </c>
      <c r="J560" s="97" t="n"/>
      <c r="K560" s="89">
        <f>IF(OR($G560="",$H560="",NOT(ISNUMBER($I560))),"",ROUND($H560*$I560*(1+IF($J560="",Setup!$B$16,$J560)),2))</f>
        <v/>
      </c>
      <c r="L560" s="89">
        <f>IF($K560="","",ROUND($K560*Setup!$B$13,2))</f>
        <v/>
      </c>
      <c r="M560" s="89">
        <f>IF($K560="","",$K560-$L560)</f>
        <v/>
      </c>
      <c r="N560" s="89">
        <f>IF(OR($M560="",$D560=""),"",ROUND($M560*IFERROR(IF(VLOOKUP($D560,Setup!$A$76:$C$87,3,FALSE)="",Setup!$B$14,VLOOKUP($D560,Setup!$A$76:$C$87,3,FALSE)),Setup!$B$14),2))</f>
        <v/>
      </c>
      <c r="O560" s="89">
        <f>IF(OR($M560="",$E560=""),"",ROUND($M560*IFERROR(IF(VLOOKUP($E560,Setup!$A$76:$C$87,3,FALSE)="",Setup!$B$15,VLOOKUP($E560,Setup!$A$76:$C$87,3,FALSE)),Setup!$B$15),2))</f>
        <v/>
      </c>
      <c r="P560" s="98" t="n"/>
      <c r="Q560" s="98" t="n"/>
      <c r="R560" s="98" t="n"/>
      <c r="S560" s="98" t="n"/>
      <c r="T560" s="98" t="n"/>
      <c r="U560" s="89">
        <f>IF($K560="","",SUM($R560:$T560))</f>
        <v/>
      </c>
      <c r="V560" s="89">
        <f>IF($K560="","",$M560-(N($N560)+N($O560)+IF($P560="",Setup!$B$17,$P560)+N($Q560))-N($U560))</f>
        <v/>
      </c>
      <c r="W560" s="94" t="n"/>
      <c r="X560" s="95" t="n"/>
      <c r="Z560" s="92">
        <f>IF($A560="","",DATE(YEAR($A560),MONTH($A560),1))</f>
        <v/>
      </c>
    </row>
    <row r="561">
      <c r="A561" s="85" t="n"/>
      <c r="B561" s="86" t="n"/>
      <c r="C561" s="86" t="n"/>
      <c r="D561" s="87" t="n"/>
      <c r="E561" s="87" t="n"/>
      <c r="F561" s="87" t="n"/>
      <c r="G561" s="87" t="n"/>
      <c r="H561" s="88" t="n"/>
      <c r="I561" s="89">
        <f>IF($G561="","",IF($F561="",IFERROR(INDEX(Setup!$C$21:$C$60,MATCH("|"&amp;UPPER(TRIM($G561)),Setup!$Q$21:$Q$60,0)),"NO RATE"),IFERROR(INDEX(Setup!$C$21:$C$60,MATCH(UPPER(TRIM($F561))&amp;"|"&amp;UPPER(TRIM($G561)),Setup!$P$21:$P$60,0)),IFERROR(INDEX(Setup!$C$21:$C$60,MATCH(UPPER(TRIM($G561))&amp;"|"&amp;UPPER(TRIM($F561)),Setup!$P$21:$P$60,0)),"NO RATE"))))</f>
        <v/>
      </c>
      <c r="J561" s="90" t="n"/>
      <c r="K561" s="89">
        <f>IF(OR($G561="",$H561="",NOT(ISNUMBER($I561))),"",ROUND($H561*$I561*(1+IF($J561="",Setup!$B$16,$J561)),2))</f>
        <v/>
      </c>
      <c r="L561" s="89">
        <f>IF($K561="","",ROUND($K561*Setup!$B$13,2))</f>
        <v/>
      </c>
      <c r="M561" s="89">
        <f>IF($K561="","",$K561-$L561)</f>
        <v/>
      </c>
      <c r="N561" s="89">
        <f>IF(OR($M561="",$D561=""),"",ROUND($M561*IFERROR(IF(VLOOKUP($D561,Setup!$A$76:$C$87,3,FALSE)="",Setup!$B$14,VLOOKUP($D561,Setup!$A$76:$C$87,3,FALSE)),Setup!$B$14),2))</f>
        <v/>
      </c>
      <c r="O561" s="89">
        <f>IF(OR($M561="",$E561=""),"",ROUND($M561*IFERROR(IF(VLOOKUP($E561,Setup!$A$76:$C$87,3,FALSE)="",Setup!$B$15,VLOOKUP($E561,Setup!$A$76:$C$87,3,FALSE)),Setup!$B$15),2))</f>
        <v/>
      </c>
      <c r="P561" s="91" t="n"/>
      <c r="Q561" s="91" t="n"/>
      <c r="R561" s="91" t="n"/>
      <c r="S561" s="91" t="n"/>
      <c r="T561" s="91" t="n"/>
      <c r="U561" s="89">
        <f>IF($K561="","",SUM($R561:$T561))</f>
        <v/>
      </c>
      <c r="V561" s="89">
        <f>IF($K561="","",$M561-(N($N561)+N($O561)+IF($P561="",Setup!$B$17,$P561)+N($Q561))-N($U561))</f>
        <v/>
      </c>
      <c r="W561" s="86" t="n"/>
      <c r="X561" s="87" t="n"/>
      <c r="Z561" s="92">
        <f>IF($A561="","",DATE(YEAR($A561),MONTH($A561),1))</f>
        <v/>
      </c>
    </row>
    <row r="562">
      <c r="A562" s="93" t="n"/>
      <c r="B562" s="94" t="n"/>
      <c r="C562" s="94" t="n"/>
      <c r="D562" s="95" t="n"/>
      <c r="E562" s="95" t="n"/>
      <c r="F562" s="95" t="n"/>
      <c r="G562" s="95" t="n"/>
      <c r="H562" s="96" t="n"/>
      <c r="I562" s="89">
        <f>IF($G562="","",IF($F562="",IFERROR(INDEX(Setup!$C$21:$C$60,MATCH("|"&amp;UPPER(TRIM($G562)),Setup!$Q$21:$Q$60,0)),"NO RATE"),IFERROR(INDEX(Setup!$C$21:$C$60,MATCH(UPPER(TRIM($F562))&amp;"|"&amp;UPPER(TRIM($G562)),Setup!$P$21:$P$60,0)),IFERROR(INDEX(Setup!$C$21:$C$60,MATCH(UPPER(TRIM($G562))&amp;"|"&amp;UPPER(TRIM($F562)),Setup!$P$21:$P$60,0)),"NO RATE"))))</f>
        <v/>
      </c>
      <c r="J562" s="97" t="n"/>
      <c r="K562" s="89">
        <f>IF(OR($G562="",$H562="",NOT(ISNUMBER($I562))),"",ROUND($H562*$I562*(1+IF($J562="",Setup!$B$16,$J562)),2))</f>
        <v/>
      </c>
      <c r="L562" s="89">
        <f>IF($K562="","",ROUND($K562*Setup!$B$13,2))</f>
        <v/>
      </c>
      <c r="M562" s="89">
        <f>IF($K562="","",$K562-$L562)</f>
        <v/>
      </c>
      <c r="N562" s="89">
        <f>IF(OR($M562="",$D562=""),"",ROUND($M562*IFERROR(IF(VLOOKUP($D562,Setup!$A$76:$C$87,3,FALSE)="",Setup!$B$14,VLOOKUP($D562,Setup!$A$76:$C$87,3,FALSE)),Setup!$B$14),2))</f>
        <v/>
      </c>
      <c r="O562" s="89">
        <f>IF(OR($M562="",$E562=""),"",ROUND($M562*IFERROR(IF(VLOOKUP($E562,Setup!$A$76:$C$87,3,FALSE)="",Setup!$B$15,VLOOKUP($E562,Setup!$A$76:$C$87,3,FALSE)),Setup!$B$15),2))</f>
        <v/>
      </c>
      <c r="P562" s="98" t="n"/>
      <c r="Q562" s="98" t="n"/>
      <c r="R562" s="98" t="n"/>
      <c r="S562" s="98" t="n"/>
      <c r="T562" s="98" t="n"/>
      <c r="U562" s="89">
        <f>IF($K562="","",SUM($R562:$T562))</f>
        <v/>
      </c>
      <c r="V562" s="89">
        <f>IF($K562="","",$M562-(N($N562)+N($O562)+IF($P562="",Setup!$B$17,$P562)+N($Q562))-N($U562))</f>
        <v/>
      </c>
      <c r="W562" s="94" t="n"/>
      <c r="X562" s="95" t="n"/>
      <c r="Z562" s="92">
        <f>IF($A562="","",DATE(YEAR($A562),MONTH($A562),1))</f>
        <v/>
      </c>
    </row>
    <row r="563">
      <c r="A563" s="85" t="n"/>
      <c r="B563" s="86" t="n"/>
      <c r="C563" s="86" t="n"/>
      <c r="D563" s="87" t="n"/>
      <c r="E563" s="87" t="n"/>
      <c r="F563" s="87" t="n"/>
      <c r="G563" s="87" t="n"/>
      <c r="H563" s="88" t="n"/>
      <c r="I563" s="89">
        <f>IF($G563="","",IF($F563="",IFERROR(INDEX(Setup!$C$21:$C$60,MATCH("|"&amp;UPPER(TRIM($G563)),Setup!$Q$21:$Q$60,0)),"NO RATE"),IFERROR(INDEX(Setup!$C$21:$C$60,MATCH(UPPER(TRIM($F563))&amp;"|"&amp;UPPER(TRIM($G563)),Setup!$P$21:$P$60,0)),IFERROR(INDEX(Setup!$C$21:$C$60,MATCH(UPPER(TRIM($G563))&amp;"|"&amp;UPPER(TRIM($F563)),Setup!$P$21:$P$60,0)),"NO RATE"))))</f>
        <v/>
      </c>
      <c r="J563" s="90" t="n"/>
      <c r="K563" s="89">
        <f>IF(OR($G563="",$H563="",NOT(ISNUMBER($I563))),"",ROUND($H563*$I563*(1+IF($J563="",Setup!$B$16,$J563)),2))</f>
        <v/>
      </c>
      <c r="L563" s="89">
        <f>IF($K563="","",ROUND($K563*Setup!$B$13,2))</f>
        <v/>
      </c>
      <c r="M563" s="89">
        <f>IF($K563="","",$K563-$L563)</f>
        <v/>
      </c>
      <c r="N563" s="89">
        <f>IF(OR($M563="",$D563=""),"",ROUND($M563*IFERROR(IF(VLOOKUP($D563,Setup!$A$76:$C$87,3,FALSE)="",Setup!$B$14,VLOOKUP($D563,Setup!$A$76:$C$87,3,FALSE)),Setup!$B$14),2))</f>
        <v/>
      </c>
      <c r="O563" s="89">
        <f>IF(OR($M563="",$E563=""),"",ROUND($M563*IFERROR(IF(VLOOKUP($E563,Setup!$A$76:$C$87,3,FALSE)="",Setup!$B$15,VLOOKUP($E563,Setup!$A$76:$C$87,3,FALSE)),Setup!$B$15),2))</f>
        <v/>
      </c>
      <c r="P563" s="91" t="n"/>
      <c r="Q563" s="91" t="n"/>
      <c r="R563" s="91" t="n"/>
      <c r="S563" s="91" t="n"/>
      <c r="T563" s="91" t="n"/>
      <c r="U563" s="89">
        <f>IF($K563="","",SUM($R563:$T563))</f>
        <v/>
      </c>
      <c r="V563" s="89">
        <f>IF($K563="","",$M563-(N($N563)+N($O563)+IF($P563="",Setup!$B$17,$P563)+N($Q563))-N($U563))</f>
        <v/>
      </c>
      <c r="W563" s="86" t="n"/>
      <c r="X563" s="87" t="n"/>
      <c r="Z563" s="92">
        <f>IF($A563="","",DATE(YEAR($A563),MONTH($A563),1))</f>
        <v/>
      </c>
    </row>
    <row r="564">
      <c r="A564" s="93" t="n"/>
      <c r="B564" s="94" t="n"/>
      <c r="C564" s="94" t="n"/>
      <c r="D564" s="95" t="n"/>
      <c r="E564" s="95" t="n"/>
      <c r="F564" s="95" t="n"/>
      <c r="G564" s="95" t="n"/>
      <c r="H564" s="96" t="n"/>
      <c r="I564" s="89">
        <f>IF($G564="","",IF($F564="",IFERROR(INDEX(Setup!$C$21:$C$60,MATCH("|"&amp;UPPER(TRIM($G564)),Setup!$Q$21:$Q$60,0)),"NO RATE"),IFERROR(INDEX(Setup!$C$21:$C$60,MATCH(UPPER(TRIM($F564))&amp;"|"&amp;UPPER(TRIM($G564)),Setup!$P$21:$P$60,0)),IFERROR(INDEX(Setup!$C$21:$C$60,MATCH(UPPER(TRIM($G564))&amp;"|"&amp;UPPER(TRIM($F564)),Setup!$P$21:$P$60,0)),"NO RATE"))))</f>
        <v/>
      </c>
      <c r="J564" s="97" t="n"/>
      <c r="K564" s="89">
        <f>IF(OR($G564="",$H564="",NOT(ISNUMBER($I564))),"",ROUND($H564*$I564*(1+IF($J564="",Setup!$B$16,$J564)),2))</f>
        <v/>
      </c>
      <c r="L564" s="89">
        <f>IF($K564="","",ROUND($K564*Setup!$B$13,2))</f>
        <v/>
      </c>
      <c r="M564" s="89">
        <f>IF($K564="","",$K564-$L564)</f>
        <v/>
      </c>
      <c r="N564" s="89">
        <f>IF(OR($M564="",$D564=""),"",ROUND($M564*IFERROR(IF(VLOOKUP($D564,Setup!$A$76:$C$87,3,FALSE)="",Setup!$B$14,VLOOKUP($D564,Setup!$A$76:$C$87,3,FALSE)),Setup!$B$14),2))</f>
        <v/>
      </c>
      <c r="O564" s="89">
        <f>IF(OR($M564="",$E564=""),"",ROUND($M564*IFERROR(IF(VLOOKUP($E564,Setup!$A$76:$C$87,3,FALSE)="",Setup!$B$15,VLOOKUP($E564,Setup!$A$76:$C$87,3,FALSE)),Setup!$B$15),2))</f>
        <v/>
      </c>
      <c r="P564" s="98" t="n"/>
      <c r="Q564" s="98" t="n"/>
      <c r="R564" s="98" t="n"/>
      <c r="S564" s="98" t="n"/>
      <c r="T564" s="98" t="n"/>
      <c r="U564" s="89">
        <f>IF($K564="","",SUM($R564:$T564))</f>
        <v/>
      </c>
      <c r="V564" s="89">
        <f>IF($K564="","",$M564-(N($N564)+N($O564)+IF($P564="",Setup!$B$17,$P564)+N($Q564))-N($U564))</f>
        <v/>
      </c>
      <c r="W564" s="94" t="n"/>
      <c r="X564" s="95" t="n"/>
      <c r="Z564" s="92">
        <f>IF($A564="","",DATE(YEAR($A564),MONTH($A564),1))</f>
        <v/>
      </c>
    </row>
    <row r="565">
      <c r="A565" s="85" t="n"/>
      <c r="B565" s="86" t="n"/>
      <c r="C565" s="86" t="n"/>
      <c r="D565" s="87" t="n"/>
      <c r="E565" s="87" t="n"/>
      <c r="F565" s="87" t="n"/>
      <c r="G565" s="87" t="n"/>
      <c r="H565" s="88" t="n"/>
      <c r="I565" s="89">
        <f>IF($G565="","",IF($F565="",IFERROR(INDEX(Setup!$C$21:$C$60,MATCH("|"&amp;UPPER(TRIM($G565)),Setup!$Q$21:$Q$60,0)),"NO RATE"),IFERROR(INDEX(Setup!$C$21:$C$60,MATCH(UPPER(TRIM($F565))&amp;"|"&amp;UPPER(TRIM($G565)),Setup!$P$21:$P$60,0)),IFERROR(INDEX(Setup!$C$21:$C$60,MATCH(UPPER(TRIM($G565))&amp;"|"&amp;UPPER(TRIM($F565)),Setup!$P$21:$P$60,0)),"NO RATE"))))</f>
        <v/>
      </c>
      <c r="J565" s="90" t="n"/>
      <c r="K565" s="89">
        <f>IF(OR($G565="",$H565="",NOT(ISNUMBER($I565))),"",ROUND($H565*$I565*(1+IF($J565="",Setup!$B$16,$J565)),2))</f>
        <v/>
      </c>
      <c r="L565" s="89">
        <f>IF($K565="","",ROUND($K565*Setup!$B$13,2))</f>
        <v/>
      </c>
      <c r="M565" s="89">
        <f>IF($K565="","",$K565-$L565)</f>
        <v/>
      </c>
      <c r="N565" s="89">
        <f>IF(OR($M565="",$D565=""),"",ROUND($M565*IFERROR(IF(VLOOKUP($D565,Setup!$A$76:$C$87,3,FALSE)="",Setup!$B$14,VLOOKUP($D565,Setup!$A$76:$C$87,3,FALSE)),Setup!$B$14),2))</f>
        <v/>
      </c>
      <c r="O565" s="89">
        <f>IF(OR($M565="",$E565=""),"",ROUND($M565*IFERROR(IF(VLOOKUP($E565,Setup!$A$76:$C$87,3,FALSE)="",Setup!$B$15,VLOOKUP($E565,Setup!$A$76:$C$87,3,FALSE)),Setup!$B$15),2))</f>
        <v/>
      </c>
      <c r="P565" s="91" t="n"/>
      <c r="Q565" s="91" t="n"/>
      <c r="R565" s="91" t="n"/>
      <c r="S565" s="91" t="n"/>
      <c r="T565" s="91" t="n"/>
      <c r="U565" s="89">
        <f>IF($K565="","",SUM($R565:$T565))</f>
        <v/>
      </c>
      <c r="V565" s="89">
        <f>IF($K565="","",$M565-(N($N565)+N($O565)+IF($P565="",Setup!$B$17,$P565)+N($Q565))-N($U565))</f>
        <v/>
      </c>
      <c r="W565" s="86" t="n"/>
      <c r="X565" s="87" t="n"/>
      <c r="Z565" s="92">
        <f>IF($A565="","",DATE(YEAR($A565),MONTH($A565),1))</f>
        <v/>
      </c>
    </row>
    <row r="566">
      <c r="A566" s="93" t="n"/>
      <c r="B566" s="94" t="n"/>
      <c r="C566" s="94" t="n"/>
      <c r="D566" s="95" t="n"/>
      <c r="E566" s="95" t="n"/>
      <c r="F566" s="95" t="n"/>
      <c r="G566" s="95" t="n"/>
      <c r="H566" s="96" t="n"/>
      <c r="I566" s="89">
        <f>IF($G566="","",IF($F566="",IFERROR(INDEX(Setup!$C$21:$C$60,MATCH("|"&amp;UPPER(TRIM($G566)),Setup!$Q$21:$Q$60,0)),"NO RATE"),IFERROR(INDEX(Setup!$C$21:$C$60,MATCH(UPPER(TRIM($F566))&amp;"|"&amp;UPPER(TRIM($G566)),Setup!$P$21:$P$60,0)),IFERROR(INDEX(Setup!$C$21:$C$60,MATCH(UPPER(TRIM($G566))&amp;"|"&amp;UPPER(TRIM($F566)),Setup!$P$21:$P$60,0)),"NO RATE"))))</f>
        <v/>
      </c>
      <c r="J566" s="97" t="n"/>
      <c r="K566" s="89">
        <f>IF(OR($G566="",$H566="",NOT(ISNUMBER($I566))),"",ROUND($H566*$I566*(1+IF($J566="",Setup!$B$16,$J566)),2))</f>
        <v/>
      </c>
      <c r="L566" s="89">
        <f>IF($K566="","",ROUND($K566*Setup!$B$13,2))</f>
        <v/>
      </c>
      <c r="M566" s="89">
        <f>IF($K566="","",$K566-$L566)</f>
        <v/>
      </c>
      <c r="N566" s="89">
        <f>IF(OR($M566="",$D566=""),"",ROUND($M566*IFERROR(IF(VLOOKUP($D566,Setup!$A$76:$C$87,3,FALSE)="",Setup!$B$14,VLOOKUP($D566,Setup!$A$76:$C$87,3,FALSE)),Setup!$B$14),2))</f>
        <v/>
      </c>
      <c r="O566" s="89">
        <f>IF(OR($M566="",$E566=""),"",ROUND($M566*IFERROR(IF(VLOOKUP($E566,Setup!$A$76:$C$87,3,FALSE)="",Setup!$B$15,VLOOKUP($E566,Setup!$A$76:$C$87,3,FALSE)),Setup!$B$15),2))</f>
        <v/>
      </c>
      <c r="P566" s="98" t="n"/>
      <c r="Q566" s="98" t="n"/>
      <c r="R566" s="98" t="n"/>
      <c r="S566" s="98" t="n"/>
      <c r="T566" s="98" t="n"/>
      <c r="U566" s="89">
        <f>IF($K566="","",SUM($R566:$T566))</f>
        <v/>
      </c>
      <c r="V566" s="89">
        <f>IF($K566="","",$M566-(N($N566)+N($O566)+IF($P566="",Setup!$B$17,$P566)+N($Q566))-N($U566))</f>
        <v/>
      </c>
      <c r="W566" s="94" t="n"/>
      <c r="X566" s="95" t="n"/>
      <c r="Z566" s="92">
        <f>IF($A566="","",DATE(YEAR($A566),MONTH($A566),1))</f>
        <v/>
      </c>
    </row>
    <row r="567">
      <c r="A567" s="85" t="n"/>
      <c r="B567" s="86" t="n"/>
      <c r="C567" s="86" t="n"/>
      <c r="D567" s="87" t="n"/>
      <c r="E567" s="87" t="n"/>
      <c r="F567" s="87" t="n"/>
      <c r="G567" s="87" t="n"/>
      <c r="H567" s="88" t="n"/>
      <c r="I567" s="89">
        <f>IF($G567="","",IF($F567="",IFERROR(INDEX(Setup!$C$21:$C$60,MATCH("|"&amp;UPPER(TRIM($G567)),Setup!$Q$21:$Q$60,0)),"NO RATE"),IFERROR(INDEX(Setup!$C$21:$C$60,MATCH(UPPER(TRIM($F567))&amp;"|"&amp;UPPER(TRIM($G567)),Setup!$P$21:$P$60,0)),IFERROR(INDEX(Setup!$C$21:$C$60,MATCH(UPPER(TRIM($G567))&amp;"|"&amp;UPPER(TRIM($F567)),Setup!$P$21:$P$60,0)),"NO RATE"))))</f>
        <v/>
      </c>
      <c r="J567" s="90" t="n"/>
      <c r="K567" s="89">
        <f>IF(OR($G567="",$H567="",NOT(ISNUMBER($I567))),"",ROUND($H567*$I567*(1+IF($J567="",Setup!$B$16,$J567)),2))</f>
        <v/>
      </c>
      <c r="L567" s="89">
        <f>IF($K567="","",ROUND($K567*Setup!$B$13,2))</f>
        <v/>
      </c>
      <c r="M567" s="89">
        <f>IF($K567="","",$K567-$L567)</f>
        <v/>
      </c>
      <c r="N567" s="89">
        <f>IF(OR($M567="",$D567=""),"",ROUND($M567*IFERROR(IF(VLOOKUP($D567,Setup!$A$76:$C$87,3,FALSE)="",Setup!$B$14,VLOOKUP($D567,Setup!$A$76:$C$87,3,FALSE)),Setup!$B$14),2))</f>
        <v/>
      </c>
      <c r="O567" s="89">
        <f>IF(OR($M567="",$E567=""),"",ROUND($M567*IFERROR(IF(VLOOKUP($E567,Setup!$A$76:$C$87,3,FALSE)="",Setup!$B$15,VLOOKUP($E567,Setup!$A$76:$C$87,3,FALSE)),Setup!$B$15),2))</f>
        <v/>
      </c>
      <c r="P567" s="91" t="n"/>
      <c r="Q567" s="91" t="n"/>
      <c r="R567" s="91" t="n"/>
      <c r="S567" s="91" t="n"/>
      <c r="T567" s="91" t="n"/>
      <c r="U567" s="89">
        <f>IF($K567="","",SUM($R567:$T567))</f>
        <v/>
      </c>
      <c r="V567" s="89">
        <f>IF($K567="","",$M567-(N($N567)+N($O567)+IF($P567="",Setup!$B$17,$P567)+N($Q567))-N($U567))</f>
        <v/>
      </c>
      <c r="W567" s="86" t="n"/>
      <c r="X567" s="87" t="n"/>
      <c r="Z567" s="92">
        <f>IF($A567="","",DATE(YEAR($A567),MONTH($A567),1))</f>
        <v/>
      </c>
    </row>
    <row r="568">
      <c r="A568" s="93" t="n"/>
      <c r="B568" s="94" t="n"/>
      <c r="C568" s="94" t="n"/>
      <c r="D568" s="95" t="n"/>
      <c r="E568" s="95" t="n"/>
      <c r="F568" s="95" t="n"/>
      <c r="G568" s="95" t="n"/>
      <c r="H568" s="96" t="n"/>
      <c r="I568" s="89">
        <f>IF($G568="","",IF($F568="",IFERROR(INDEX(Setup!$C$21:$C$60,MATCH("|"&amp;UPPER(TRIM($G568)),Setup!$Q$21:$Q$60,0)),"NO RATE"),IFERROR(INDEX(Setup!$C$21:$C$60,MATCH(UPPER(TRIM($F568))&amp;"|"&amp;UPPER(TRIM($G568)),Setup!$P$21:$P$60,0)),IFERROR(INDEX(Setup!$C$21:$C$60,MATCH(UPPER(TRIM($G568))&amp;"|"&amp;UPPER(TRIM($F568)),Setup!$P$21:$P$60,0)),"NO RATE"))))</f>
        <v/>
      </c>
      <c r="J568" s="97" t="n"/>
      <c r="K568" s="89">
        <f>IF(OR($G568="",$H568="",NOT(ISNUMBER($I568))),"",ROUND($H568*$I568*(1+IF($J568="",Setup!$B$16,$J568)),2))</f>
        <v/>
      </c>
      <c r="L568" s="89">
        <f>IF($K568="","",ROUND($K568*Setup!$B$13,2))</f>
        <v/>
      </c>
      <c r="M568" s="89">
        <f>IF($K568="","",$K568-$L568)</f>
        <v/>
      </c>
      <c r="N568" s="89">
        <f>IF(OR($M568="",$D568=""),"",ROUND($M568*IFERROR(IF(VLOOKUP($D568,Setup!$A$76:$C$87,3,FALSE)="",Setup!$B$14,VLOOKUP($D568,Setup!$A$76:$C$87,3,FALSE)),Setup!$B$14),2))</f>
        <v/>
      </c>
      <c r="O568" s="89">
        <f>IF(OR($M568="",$E568=""),"",ROUND($M568*IFERROR(IF(VLOOKUP($E568,Setup!$A$76:$C$87,3,FALSE)="",Setup!$B$15,VLOOKUP($E568,Setup!$A$76:$C$87,3,FALSE)),Setup!$B$15),2))</f>
        <v/>
      </c>
      <c r="P568" s="98" t="n"/>
      <c r="Q568" s="98" t="n"/>
      <c r="R568" s="98" t="n"/>
      <c r="S568" s="98" t="n"/>
      <c r="T568" s="98" t="n"/>
      <c r="U568" s="89">
        <f>IF($K568="","",SUM($R568:$T568))</f>
        <v/>
      </c>
      <c r="V568" s="89">
        <f>IF($K568="","",$M568-(N($N568)+N($O568)+IF($P568="",Setup!$B$17,$P568)+N($Q568))-N($U568))</f>
        <v/>
      </c>
      <c r="W568" s="94" t="n"/>
      <c r="X568" s="95" t="n"/>
      <c r="Z568" s="92">
        <f>IF($A568="","",DATE(YEAR($A568),MONTH($A568),1))</f>
        <v/>
      </c>
    </row>
    <row r="569">
      <c r="A569" s="85" t="n"/>
      <c r="B569" s="86" t="n"/>
      <c r="C569" s="86" t="n"/>
      <c r="D569" s="87" t="n"/>
      <c r="E569" s="87" t="n"/>
      <c r="F569" s="87" t="n"/>
      <c r="G569" s="87" t="n"/>
      <c r="H569" s="88" t="n"/>
      <c r="I569" s="89">
        <f>IF($G569="","",IF($F569="",IFERROR(INDEX(Setup!$C$21:$C$60,MATCH("|"&amp;UPPER(TRIM($G569)),Setup!$Q$21:$Q$60,0)),"NO RATE"),IFERROR(INDEX(Setup!$C$21:$C$60,MATCH(UPPER(TRIM($F569))&amp;"|"&amp;UPPER(TRIM($G569)),Setup!$P$21:$P$60,0)),IFERROR(INDEX(Setup!$C$21:$C$60,MATCH(UPPER(TRIM($G569))&amp;"|"&amp;UPPER(TRIM($F569)),Setup!$P$21:$P$60,0)),"NO RATE"))))</f>
        <v/>
      </c>
      <c r="J569" s="90" t="n"/>
      <c r="K569" s="89">
        <f>IF(OR($G569="",$H569="",NOT(ISNUMBER($I569))),"",ROUND($H569*$I569*(1+IF($J569="",Setup!$B$16,$J569)),2))</f>
        <v/>
      </c>
      <c r="L569" s="89">
        <f>IF($K569="","",ROUND($K569*Setup!$B$13,2))</f>
        <v/>
      </c>
      <c r="M569" s="89">
        <f>IF($K569="","",$K569-$L569)</f>
        <v/>
      </c>
      <c r="N569" s="89">
        <f>IF(OR($M569="",$D569=""),"",ROUND($M569*IFERROR(IF(VLOOKUP($D569,Setup!$A$76:$C$87,3,FALSE)="",Setup!$B$14,VLOOKUP($D569,Setup!$A$76:$C$87,3,FALSE)),Setup!$B$14),2))</f>
        <v/>
      </c>
      <c r="O569" s="89">
        <f>IF(OR($M569="",$E569=""),"",ROUND($M569*IFERROR(IF(VLOOKUP($E569,Setup!$A$76:$C$87,3,FALSE)="",Setup!$B$15,VLOOKUP($E569,Setup!$A$76:$C$87,3,FALSE)),Setup!$B$15),2))</f>
        <v/>
      </c>
      <c r="P569" s="91" t="n"/>
      <c r="Q569" s="91" t="n"/>
      <c r="R569" s="91" t="n"/>
      <c r="S569" s="91" t="n"/>
      <c r="T569" s="91" t="n"/>
      <c r="U569" s="89">
        <f>IF($K569="","",SUM($R569:$T569))</f>
        <v/>
      </c>
      <c r="V569" s="89">
        <f>IF($K569="","",$M569-(N($N569)+N($O569)+IF($P569="",Setup!$B$17,$P569)+N($Q569))-N($U569))</f>
        <v/>
      </c>
      <c r="W569" s="86" t="n"/>
      <c r="X569" s="87" t="n"/>
      <c r="Z569" s="92">
        <f>IF($A569="","",DATE(YEAR($A569),MONTH($A569),1))</f>
        <v/>
      </c>
    </row>
    <row r="570">
      <c r="A570" s="93" t="n"/>
      <c r="B570" s="94" t="n"/>
      <c r="C570" s="94" t="n"/>
      <c r="D570" s="95" t="n"/>
      <c r="E570" s="95" t="n"/>
      <c r="F570" s="95" t="n"/>
      <c r="G570" s="95" t="n"/>
      <c r="H570" s="96" t="n"/>
      <c r="I570" s="89">
        <f>IF($G570="","",IF($F570="",IFERROR(INDEX(Setup!$C$21:$C$60,MATCH("|"&amp;UPPER(TRIM($G570)),Setup!$Q$21:$Q$60,0)),"NO RATE"),IFERROR(INDEX(Setup!$C$21:$C$60,MATCH(UPPER(TRIM($F570))&amp;"|"&amp;UPPER(TRIM($G570)),Setup!$P$21:$P$60,0)),IFERROR(INDEX(Setup!$C$21:$C$60,MATCH(UPPER(TRIM($G570))&amp;"|"&amp;UPPER(TRIM($F570)),Setup!$P$21:$P$60,0)),"NO RATE"))))</f>
        <v/>
      </c>
      <c r="J570" s="97" t="n"/>
      <c r="K570" s="89">
        <f>IF(OR($G570="",$H570="",NOT(ISNUMBER($I570))),"",ROUND($H570*$I570*(1+IF($J570="",Setup!$B$16,$J570)),2))</f>
        <v/>
      </c>
      <c r="L570" s="89">
        <f>IF($K570="","",ROUND($K570*Setup!$B$13,2))</f>
        <v/>
      </c>
      <c r="M570" s="89">
        <f>IF($K570="","",$K570-$L570)</f>
        <v/>
      </c>
      <c r="N570" s="89">
        <f>IF(OR($M570="",$D570=""),"",ROUND($M570*IFERROR(IF(VLOOKUP($D570,Setup!$A$76:$C$87,3,FALSE)="",Setup!$B$14,VLOOKUP($D570,Setup!$A$76:$C$87,3,FALSE)),Setup!$B$14),2))</f>
        <v/>
      </c>
      <c r="O570" s="89">
        <f>IF(OR($M570="",$E570=""),"",ROUND($M570*IFERROR(IF(VLOOKUP($E570,Setup!$A$76:$C$87,3,FALSE)="",Setup!$B$15,VLOOKUP($E570,Setup!$A$76:$C$87,3,FALSE)),Setup!$B$15),2))</f>
        <v/>
      </c>
      <c r="P570" s="98" t="n"/>
      <c r="Q570" s="98" t="n"/>
      <c r="R570" s="98" t="n"/>
      <c r="S570" s="98" t="n"/>
      <c r="T570" s="98" t="n"/>
      <c r="U570" s="89">
        <f>IF($K570="","",SUM($R570:$T570))</f>
        <v/>
      </c>
      <c r="V570" s="89">
        <f>IF($K570="","",$M570-(N($N570)+N($O570)+IF($P570="",Setup!$B$17,$P570)+N($Q570))-N($U570))</f>
        <v/>
      </c>
      <c r="W570" s="94" t="n"/>
      <c r="X570" s="95" t="n"/>
      <c r="Z570" s="92">
        <f>IF($A570="","",DATE(YEAR($A570),MONTH($A570),1))</f>
        <v/>
      </c>
    </row>
    <row r="571">
      <c r="A571" s="85" t="n"/>
      <c r="B571" s="86" t="n"/>
      <c r="C571" s="86" t="n"/>
      <c r="D571" s="87" t="n"/>
      <c r="E571" s="87" t="n"/>
      <c r="F571" s="87" t="n"/>
      <c r="G571" s="87" t="n"/>
      <c r="H571" s="88" t="n"/>
      <c r="I571" s="89">
        <f>IF($G571="","",IF($F571="",IFERROR(INDEX(Setup!$C$21:$C$60,MATCH("|"&amp;UPPER(TRIM($G571)),Setup!$Q$21:$Q$60,0)),"NO RATE"),IFERROR(INDEX(Setup!$C$21:$C$60,MATCH(UPPER(TRIM($F571))&amp;"|"&amp;UPPER(TRIM($G571)),Setup!$P$21:$P$60,0)),IFERROR(INDEX(Setup!$C$21:$C$60,MATCH(UPPER(TRIM($G571))&amp;"|"&amp;UPPER(TRIM($F571)),Setup!$P$21:$P$60,0)),"NO RATE"))))</f>
        <v/>
      </c>
      <c r="J571" s="90" t="n"/>
      <c r="K571" s="89">
        <f>IF(OR($G571="",$H571="",NOT(ISNUMBER($I571))),"",ROUND($H571*$I571*(1+IF($J571="",Setup!$B$16,$J571)),2))</f>
        <v/>
      </c>
      <c r="L571" s="89">
        <f>IF($K571="","",ROUND($K571*Setup!$B$13,2))</f>
        <v/>
      </c>
      <c r="M571" s="89">
        <f>IF($K571="","",$K571-$L571)</f>
        <v/>
      </c>
      <c r="N571" s="89">
        <f>IF(OR($M571="",$D571=""),"",ROUND($M571*IFERROR(IF(VLOOKUP($D571,Setup!$A$76:$C$87,3,FALSE)="",Setup!$B$14,VLOOKUP($D571,Setup!$A$76:$C$87,3,FALSE)),Setup!$B$14),2))</f>
        <v/>
      </c>
      <c r="O571" s="89">
        <f>IF(OR($M571="",$E571=""),"",ROUND($M571*IFERROR(IF(VLOOKUP($E571,Setup!$A$76:$C$87,3,FALSE)="",Setup!$B$15,VLOOKUP($E571,Setup!$A$76:$C$87,3,FALSE)),Setup!$B$15),2))</f>
        <v/>
      </c>
      <c r="P571" s="91" t="n"/>
      <c r="Q571" s="91" t="n"/>
      <c r="R571" s="91" t="n"/>
      <c r="S571" s="91" t="n"/>
      <c r="T571" s="91" t="n"/>
      <c r="U571" s="89">
        <f>IF($K571="","",SUM($R571:$T571))</f>
        <v/>
      </c>
      <c r="V571" s="89">
        <f>IF($K571="","",$M571-(N($N571)+N($O571)+IF($P571="",Setup!$B$17,$P571)+N($Q571))-N($U571))</f>
        <v/>
      </c>
      <c r="W571" s="86" t="n"/>
      <c r="X571" s="87" t="n"/>
      <c r="Z571" s="92">
        <f>IF($A571="","",DATE(YEAR($A571),MONTH($A571),1))</f>
        <v/>
      </c>
    </row>
    <row r="572">
      <c r="A572" s="93" t="n"/>
      <c r="B572" s="94" t="n"/>
      <c r="C572" s="94" t="n"/>
      <c r="D572" s="95" t="n"/>
      <c r="E572" s="95" t="n"/>
      <c r="F572" s="95" t="n"/>
      <c r="G572" s="95" t="n"/>
      <c r="H572" s="96" t="n"/>
      <c r="I572" s="89">
        <f>IF($G572="","",IF($F572="",IFERROR(INDEX(Setup!$C$21:$C$60,MATCH("|"&amp;UPPER(TRIM($G572)),Setup!$Q$21:$Q$60,0)),"NO RATE"),IFERROR(INDEX(Setup!$C$21:$C$60,MATCH(UPPER(TRIM($F572))&amp;"|"&amp;UPPER(TRIM($G572)),Setup!$P$21:$P$60,0)),IFERROR(INDEX(Setup!$C$21:$C$60,MATCH(UPPER(TRIM($G572))&amp;"|"&amp;UPPER(TRIM($F572)),Setup!$P$21:$P$60,0)),"NO RATE"))))</f>
        <v/>
      </c>
      <c r="J572" s="97" t="n"/>
      <c r="K572" s="89">
        <f>IF(OR($G572="",$H572="",NOT(ISNUMBER($I572))),"",ROUND($H572*$I572*(1+IF($J572="",Setup!$B$16,$J572)),2))</f>
        <v/>
      </c>
      <c r="L572" s="89">
        <f>IF($K572="","",ROUND($K572*Setup!$B$13,2))</f>
        <v/>
      </c>
      <c r="M572" s="89">
        <f>IF($K572="","",$K572-$L572)</f>
        <v/>
      </c>
      <c r="N572" s="89">
        <f>IF(OR($M572="",$D572=""),"",ROUND($M572*IFERROR(IF(VLOOKUP($D572,Setup!$A$76:$C$87,3,FALSE)="",Setup!$B$14,VLOOKUP($D572,Setup!$A$76:$C$87,3,FALSE)),Setup!$B$14),2))</f>
        <v/>
      </c>
      <c r="O572" s="89">
        <f>IF(OR($M572="",$E572=""),"",ROUND($M572*IFERROR(IF(VLOOKUP($E572,Setup!$A$76:$C$87,3,FALSE)="",Setup!$B$15,VLOOKUP($E572,Setup!$A$76:$C$87,3,FALSE)),Setup!$B$15),2))</f>
        <v/>
      </c>
      <c r="P572" s="98" t="n"/>
      <c r="Q572" s="98" t="n"/>
      <c r="R572" s="98" t="n"/>
      <c r="S572" s="98" t="n"/>
      <c r="T572" s="98" t="n"/>
      <c r="U572" s="89">
        <f>IF($K572="","",SUM($R572:$T572))</f>
        <v/>
      </c>
      <c r="V572" s="89">
        <f>IF($K572="","",$M572-(N($N572)+N($O572)+IF($P572="",Setup!$B$17,$P572)+N($Q572))-N($U572))</f>
        <v/>
      </c>
      <c r="W572" s="94" t="n"/>
      <c r="X572" s="95" t="n"/>
      <c r="Z572" s="92">
        <f>IF($A572="","",DATE(YEAR($A572),MONTH($A572),1))</f>
        <v/>
      </c>
    </row>
    <row r="573">
      <c r="A573" s="85" t="n"/>
      <c r="B573" s="86" t="n"/>
      <c r="C573" s="86" t="n"/>
      <c r="D573" s="87" t="n"/>
      <c r="E573" s="87" t="n"/>
      <c r="F573" s="87" t="n"/>
      <c r="G573" s="87" t="n"/>
      <c r="H573" s="88" t="n"/>
      <c r="I573" s="89">
        <f>IF($G573="","",IF($F573="",IFERROR(INDEX(Setup!$C$21:$C$60,MATCH("|"&amp;UPPER(TRIM($G573)),Setup!$Q$21:$Q$60,0)),"NO RATE"),IFERROR(INDEX(Setup!$C$21:$C$60,MATCH(UPPER(TRIM($F573))&amp;"|"&amp;UPPER(TRIM($G573)),Setup!$P$21:$P$60,0)),IFERROR(INDEX(Setup!$C$21:$C$60,MATCH(UPPER(TRIM($G573))&amp;"|"&amp;UPPER(TRIM($F573)),Setup!$P$21:$P$60,0)),"NO RATE"))))</f>
        <v/>
      </c>
      <c r="J573" s="90" t="n"/>
      <c r="K573" s="89">
        <f>IF(OR($G573="",$H573="",NOT(ISNUMBER($I573))),"",ROUND($H573*$I573*(1+IF($J573="",Setup!$B$16,$J573)),2))</f>
        <v/>
      </c>
      <c r="L573" s="89">
        <f>IF($K573="","",ROUND($K573*Setup!$B$13,2))</f>
        <v/>
      </c>
      <c r="M573" s="89">
        <f>IF($K573="","",$K573-$L573)</f>
        <v/>
      </c>
      <c r="N573" s="89">
        <f>IF(OR($M573="",$D573=""),"",ROUND($M573*IFERROR(IF(VLOOKUP($D573,Setup!$A$76:$C$87,3,FALSE)="",Setup!$B$14,VLOOKUP($D573,Setup!$A$76:$C$87,3,FALSE)),Setup!$B$14),2))</f>
        <v/>
      </c>
      <c r="O573" s="89">
        <f>IF(OR($M573="",$E573=""),"",ROUND($M573*IFERROR(IF(VLOOKUP($E573,Setup!$A$76:$C$87,3,FALSE)="",Setup!$B$15,VLOOKUP($E573,Setup!$A$76:$C$87,3,FALSE)),Setup!$B$15),2))</f>
        <v/>
      </c>
      <c r="P573" s="91" t="n"/>
      <c r="Q573" s="91" t="n"/>
      <c r="R573" s="91" t="n"/>
      <c r="S573" s="91" t="n"/>
      <c r="T573" s="91" t="n"/>
      <c r="U573" s="89">
        <f>IF($K573="","",SUM($R573:$T573))</f>
        <v/>
      </c>
      <c r="V573" s="89">
        <f>IF($K573="","",$M573-(N($N573)+N($O573)+IF($P573="",Setup!$B$17,$P573)+N($Q573))-N($U573))</f>
        <v/>
      </c>
      <c r="W573" s="86" t="n"/>
      <c r="X573" s="87" t="n"/>
      <c r="Z573" s="92">
        <f>IF($A573="","",DATE(YEAR($A573),MONTH($A573),1))</f>
        <v/>
      </c>
    </row>
    <row r="574">
      <c r="A574" s="93" t="n"/>
      <c r="B574" s="94" t="n"/>
      <c r="C574" s="94" t="n"/>
      <c r="D574" s="95" t="n"/>
      <c r="E574" s="95" t="n"/>
      <c r="F574" s="95" t="n"/>
      <c r="G574" s="95" t="n"/>
      <c r="H574" s="96" t="n"/>
      <c r="I574" s="89">
        <f>IF($G574="","",IF($F574="",IFERROR(INDEX(Setup!$C$21:$C$60,MATCH("|"&amp;UPPER(TRIM($G574)),Setup!$Q$21:$Q$60,0)),"NO RATE"),IFERROR(INDEX(Setup!$C$21:$C$60,MATCH(UPPER(TRIM($F574))&amp;"|"&amp;UPPER(TRIM($G574)),Setup!$P$21:$P$60,0)),IFERROR(INDEX(Setup!$C$21:$C$60,MATCH(UPPER(TRIM($G574))&amp;"|"&amp;UPPER(TRIM($F574)),Setup!$P$21:$P$60,0)),"NO RATE"))))</f>
        <v/>
      </c>
      <c r="J574" s="97" t="n"/>
      <c r="K574" s="89">
        <f>IF(OR($G574="",$H574="",NOT(ISNUMBER($I574))),"",ROUND($H574*$I574*(1+IF($J574="",Setup!$B$16,$J574)),2))</f>
        <v/>
      </c>
      <c r="L574" s="89">
        <f>IF($K574="","",ROUND($K574*Setup!$B$13,2))</f>
        <v/>
      </c>
      <c r="M574" s="89">
        <f>IF($K574="","",$K574-$L574)</f>
        <v/>
      </c>
      <c r="N574" s="89">
        <f>IF(OR($M574="",$D574=""),"",ROUND($M574*IFERROR(IF(VLOOKUP($D574,Setup!$A$76:$C$87,3,FALSE)="",Setup!$B$14,VLOOKUP($D574,Setup!$A$76:$C$87,3,FALSE)),Setup!$B$14),2))</f>
        <v/>
      </c>
      <c r="O574" s="89">
        <f>IF(OR($M574="",$E574=""),"",ROUND($M574*IFERROR(IF(VLOOKUP($E574,Setup!$A$76:$C$87,3,FALSE)="",Setup!$B$15,VLOOKUP($E574,Setup!$A$76:$C$87,3,FALSE)),Setup!$B$15),2))</f>
        <v/>
      </c>
      <c r="P574" s="98" t="n"/>
      <c r="Q574" s="98" t="n"/>
      <c r="R574" s="98" t="n"/>
      <c r="S574" s="98" t="n"/>
      <c r="T574" s="98" t="n"/>
      <c r="U574" s="89">
        <f>IF($K574="","",SUM($R574:$T574))</f>
        <v/>
      </c>
      <c r="V574" s="89">
        <f>IF($K574="","",$M574-(N($N574)+N($O574)+IF($P574="",Setup!$B$17,$P574)+N($Q574))-N($U574))</f>
        <v/>
      </c>
      <c r="W574" s="94" t="n"/>
      <c r="X574" s="95" t="n"/>
      <c r="Z574" s="92">
        <f>IF($A574="","",DATE(YEAR($A574),MONTH($A574),1))</f>
        <v/>
      </c>
    </row>
    <row r="575">
      <c r="A575" s="85" t="n"/>
      <c r="B575" s="86" t="n"/>
      <c r="C575" s="86" t="n"/>
      <c r="D575" s="87" t="n"/>
      <c r="E575" s="87" t="n"/>
      <c r="F575" s="87" t="n"/>
      <c r="G575" s="87" t="n"/>
      <c r="H575" s="88" t="n"/>
      <c r="I575" s="89">
        <f>IF($G575="","",IF($F575="",IFERROR(INDEX(Setup!$C$21:$C$60,MATCH("|"&amp;UPPER(TRIM($G575)),Setup!$Q$21:$Q$60,0)),"NO RATE"),IFERROR(INDEX(Setup!$C$21:$C$60,MATCH(UPPER(TRIM($F575))&amp;"|"&amp;UPPER(TRIM($G575)),Setup!$P$21:$P$60,0)),IFERROR(INDEX(Setup!$C$21:$C$60,MATCH(UPPER(TRIM($G575))&amp;"|"&amp;UPPER(TRIM($F575)),Setup!$P$21:$P$60,0)),"NO RATE"))))</f>
        <v/>
      </c>
      <c r="J575" s="90" t="n"/>
      <c r="K575" s="89">
        <f>IF(OR($G575="",$H575="",NOT(ISNUMBER($I575))),"",ROUND($H575*$I575*(1+IF($J575="",Setup!$B$16,$J575)),2))</f>
        <v/>
      </c>
      <c r="L575" s="89">
        <f>IF($K575="","",ROUND($K575*Setup!$B$13,2))</f>
        <v/>
      </c>
      <c r="M575" s="89">
        <f>IF($K575="","",$K575-$L575)</f>
        <v/>
      </c>
      <c r="N575" s="89">
        <f>IF(OR($M575="",$D575=""),"",ROUND($M575*IFERROR(IF(VLOOKUP($D575,Setup!$A$76:$C$87,3,FALSE)="",Setup!$B$14,VLOOKUP($D575,Setup!$A$76:$C$87,3,FALSE)),Setup!$B$14),2))</f>
        <v/>
      </c>
      <c r="O575" s="89">
        <f>IF(OR($M575="",$E575=""),"",ROUND($M575*IFERROR(IF(VLOOKUP($E575,Setup!$A$76:$C$87,3,FALSE)="",Setup!$B$15,VLOOKUP($E575,Setup!$A$76:$C$87,3,FALSE)),Setup!$B$15),2))</f>
        <v/>
      </c>
      <c r="P575" s="91" t="n"/>
      <c r="Q575" s="91" t="n"/>
      <c r="R575" s="91" t="n"/>
      <c r="S575" s="91" t="n"/>
      <c r="T575" s="91" t="n"/>
      <c r="U575" s="89">
        <f>IF($K575="","",SUM($R575:$T575))</f>
        <v/>
      </c>
      <c r="V575" s="89">
        <f>IF($K575="","",$M575-(N($N575)+N($O575)+IF($P575="",Setup!$B$17,$P575)+N($Q575))-N($U575))</f>
        <v/>
      </c>
      <c r="W575" s="86" t="n"/>
      <c r="X575" s="87" t="n"/>
      <c r="Z575" s="92">
        <f>IF($A575="","",DATE(YEAR($A575),MONTH($A575),1))</f>
        <v/>
      </c>
    </row>
    <row r="576">
      <c r="A576" s="93" t="n"/>
      <c r="B576" s="94" t="n"/>
      <c r="C576" s="94" t="n"/>
      <c r="D576" s="95" t="n"/>
      <c r="E576" s="95" t="n"/>
      <c r="F576" s="95" t="n"/>
      <c r="G576" s="95" t="n"/>
      <c r="H576" s="96" t="n"/>
      <c r="I576" s="89">
        <f>IF($G576="","",IF($F576="",IFERROR(INDEX(Setup!$C$21:$C$60,MATCH("|"&amp;UPPER(TRIM($G576)),Setup!$Q$21:$Q$60,0)),"NO RATE"),IFERROR(INDEX(Setup!$C$21:$C$60,MATCH(UPPER(TRIM($F576))&amp;"|"&amp;UPPER(TRIM($G576)),Setup!$P$21:$P$60,0)),IFERROR(INDEX(Setup!$C$21:$C$60,MATCH(UPPER(TRIM($G576))&amp;"|"&amp;UPPER(TRIM($F576)),Setup!$P$21:$P$60,0)),"NO RATE"))))</f>
        <v/>
      </c>
      <c r="J576" s="97" t="n"/>
      <c r="K576" s="89">
        <f>IF(OR($G576="",$H576="",NOT(ISNUMBER($I576))),"",ROUND($H576*$I576*(1+IF($J576="",Setup!$B$16,$J576)),2))</f>
        <v/>
      </c>
      <c r="L576" s="89">
        <f>IF($K576="","",ROUND($K576*Setup!$B$13,2))</f>
        <v/>
      </c>
      <c r="M576" s="89">
        <f>IF($K576="","",$K576-$L576)</f>
        <v/>
      </c>
      <c r="N576" s="89">
        <f>IF(OR($M576="",$D576=""),"",ROUND($M576*IFERROR(IF(VLOOKUP($D576,Setup!$A$76:$C$87,3,FALSE)="",Setup!$B$14,VLOOKUP($D576,Setup!$A$76:$C$87,3,FALSE)),Setup!$B$14),2))</f>
        <v/>
      </c>
      <c r="O576" s="89">
        <f>IF(OR($M576="",$E576=""),"",ROUND($M576*IFERROR(IF(VLOOKUP($E576,Setup!$A$76:$C$87,3,FALSE)="",Setup!$B$15,VLOOKUP($E576,Setup!$A$76:$C$87,3,FALSE)),Setup!$B$15),2))</f>
        <v/>
      </c>
      <c r="P576" s="98" t="n"/>
      <c r="Q576" s="98" t="n"/>
      <c r="R576" s="98" t="n"/>
      <c r="S576" s="98" t="n"/>
      <c r="T576" s="98" t="n"/>
      <c r="U576" s="89">
        <f>IF($K576="","",SUM($R576:$T576))</f>
        <v/>
      </c>
      <c r="V576" s="89">
        <f>IF($K576="","",$M576-(N($N576)+N($O576)+IF($P576="",Setup!$B$17,$P576)+N($Q576))-N($U576))</f>
        <v/>
      </c>
      <c r="W576" s="94" t="n"/>
      <c r="X576" s="95" t="n"/>
      <c r="Z576" s="92">
        <f>IF($A576="","",DATE(YEAR($A576),MONTH($A576),1))</f>
        <v/>
      </c>
    </row>
    <row r="577">
      <c r="A577" s="85" t="n"/>
      <c r="B577" s="86" t="n"/>
      <c r="C577" s="86" t="n"/>
      <c r="D577" s="87" t="n"/>
      <c r="E577" s="87" t="n"/>
      <c r="F577" s="87" t="n"/>
      <c r="G577" s="87" t="n"/>
      <c r="H577" s="88" t="n"/>
      <c r="I577" s="89">
        <f>IF($G577="","",IF($F577="",IFERROR(INDEX(Setup!$C$21:$C$60,MATCH("|"&amp;UPPER(TRIM($G577)),Setup!$Q$21:$Q$60,0)),"NO RATE"),IFERROR(INDEX(Setup!$C$21:$C$60,MATCH(UPPER(TRIM($F577))&amp;"|"&amp;UPPER(TRIM($G577)),Setup!$P$21:$P$60,0)),IFERROR(INDEX(Setup!$C$21:$C$60,MATCH(UPPER(TRIM($G577))&amp;"|"&amp;UPPER(TRIM($F577)),Setup!$P$21:$P$60,0)),"NO RATE"))))</f>
        <v/>
      </c>
      <c r="J577" s="90" t="n"/>
      <c r="K577" s="89">
        <f>IF(OR($G577="",$H577="",NOT(ISNUMBER($I577))),"",ROUND($H577*$I577*(1+IF($J577="",Setup!$B$16,$J577)),2))</f>
        <v/>
      </c>
      <c r="L577" s="89">
        <f>IF($K577="","",ROUND($K577*Setup!$B$13,2))</f>
        <v/>
      </c>
      <c r="M577" s="89">
        <f>IF($K577="","",$K577-$L577)</f>
        <v/>
      </c>
      <c r="N577" s="89">
        <f>IF(OR($M577="",$D577=""),"",ROUND($M577*IFERROR(IF(VLOOKUP($D577,Setup!$A$76:$C$87,3,FALSE)="",Setup!$B$14,VLOOKUP($D577,Setup!$A$76:$C$87,3,FALSE)),Setup!$B$14),2))</f>
        <v/>
      </c>
      <c r="O577" s="89">
        <f>IF(OR($M577="",$E577=""),"",ROUND($M577*IFERROR(IF(VLOOKUP($E577,Setup!$A$76:$C$87,3,FALSE)="",Setup!$B$15,VLOOKUP($E577,Setup!$A$76:$C$87,3,FALSE)),Setup!$B$15),2))</f>
        <v/>
      </c>
      <c r="P577" s="91" t="n"/>
      <c r="Q577" s="91" t="n"/>
      <c r="R577" s="91" t="n"/>
      <c r="S577" s="91" t="n"/>
      <c r="T577" s="91" t="n"/>
      <c r="U577" s="89">
        <f>IF($K577="","",SUM($R577:$T577))</f>
        <v/>
      </c>
      <c r="V577" s="89">
        <f>IF($K577="","",$M577-(N($N577)+N($O577)+IF($P577="",Setup!$B$17,$P577)+N($Q577))-N($U577))</f>
        <v/>
      </c>
      <c r="W577" s="86" t="n"/>
      <c r="X577" s="87" t="n"/>
      <c r="Z577" s="92">
        <f>IF($A577="","",DATE(YEAR($A577),MONTH($A577),1))</f>
        <v/>
      </c>
    </row>
    <row r="578">
      <c r="A578" s="93" t="n"/>
      <c r="B578" s="94" t="n"/>
      <c r="C578" s="94" t="n"/>
      <c r="D578" s="95" t="n"/>
      <c r="E578" s="95" t="n"/>
      <c r="F578" s="95" t="n"/>
      <c r="G578" s="95" t="n"/>
      <c r="H578" s="96" t="n"/>
      <c r="I578" s="89">
        <f>IF($G578="","",IF($F578="",IFERROR(INDEX(Setup!$C$21:$C$60,MATCH("|"&amp;UPPER(TRIM($G578)),Setup!$Q$21:$Q$60,0)),"NO RATE"),IFERROR(INDEX(Setup!$C$21:$C$60,MATCH(UPPER(TRIM($F578))&amp;"|"&amp;UPPER(TRIM($G578)),Setup!$P$21:$P$60,0)),IFERROR(INDEX(Setup!$C$21:$C$60,MATCH(UPPER(TRIM($G578))&amp;"|"&amp;UPPER(TRIM($F578)),Setup!$P$21:$P$60,0)),"NO RATE"))))</f>
        <v/>
      </c>
      <c r="J578" s="97" t="n"/>
      <c r="K578" s="89">
        <f>IF(OR($G578="",$H578="",NOT(ISNUMBER($I578))),"",ROUND($H578*$I578*(1+IF($J578="",Setup!$B$16,$J578)),2))</f>
        <v/>
      </c>
      <c r="L578" s="89">
        <f>IF($K578="","",ROUND($K578*Setup!$B$13,2))</f>
        <v/>
      </c>
      <c r="M578" s="89">
        <f>IF($K578="","",$K578-$L578)</f>
        <v/>
      </c>
      <c r="N578" s="89">
        <f>IF(OR($M578="",$D578=""),"",ROUND($M578*IFERROR(IF(VLOOKUP($D578,Setup!$A$76:$C$87,3,FALSE)="",Setup!$B$14,VLOOKUP($D578,Setup!$A$76:$C$87,3,FALSE)),Setup!$B$14),2))</f>
        <v/>
      </c>
      <c r="O578" s="89">
        <f>IF(OR($M578="",$E578=""),"",ROUND($M578*IFERROR(IF(VLOOKUP($E578,Setup!$A$76:$C$87,3,FALSE)="",Setup!$B$15,VLOOKUP($E578,Setup!$A$76:$C$87,3,FALSE)),Setup!$B$15),2))</f>
        <v/>
      </c>
      <c r="P578" s="98" t="n"/>
      <c r="Q578" s="98" t="n"/>
      <c r="R578" s="98" t="n"/>
      <c r="S578" s="98" t="n"/>
      <c r="T578" s="98" t="n"/>
      <c r="U578" s="89">
        <f>IF($K578="","",SUM($R578:$T578))</f>
        <v/>
      </c>
      <c r="V578" s="89">
        <f>IF($K578="","",$M578-(N($N578)+N($O578)+IF($P578="",Setup!$B$17,$P578)+N($Q578))-N($U578))</f>
        <v/>
      </c>
      <c r="W578" s="94" t="n"/>
      <c r="X578" s="95" t="n"/>
      <c r="Z578" s="92">
        <f>IF($A578="","",DATE(YEAR($A578),MONTH($A578),1))</f>
        <v/>
      </c>
    </row>
    <row r="579">
      <c r="A579" s="85" t="n"/>
      <c r="B579" s="86" t="n"/>
      <c r="C579" s="86" t="n"/>
      <c r="D579" s="87" t="n"/>
      <c r="E579" s="87" t="n"/>
      <c r="F579" s="87" t="n"/>
      <c r="G579" s="87" t="n"/>
      <c r="H579" s="88" t="n"/>
      <c r="I579" s="89">
        <f>IF($G579="","",IF($F579="",IFERROR(INDEX(Setup!$C$21:$C$60,MATCH("|"&amp;UPPER(TRIM($G579)),Setup!$Q$21:$Q$60,0)),"NO RATE"),IFERROR(INDEX(Setup!$C$21:$C$60,MATCH(UPPER(TRIM($F579))&amp;"|"&amp;UPPER(TRIM($G579)),Setup!$P$21:$P$60,0)),IFERROR(INDEX(Setup!$C$21:$C$60,MATCH(UPPER(TRIM($G579))&amp;"|"&amp;UPPER(TRIM($F579)),Setup!$P$21:$P$60,0)),"NO RATE"))))</f>
        <v/>
      </c>
      <c r="J579" s="90" t="n"/>
      <c r="K579" s="89">
        <f>IF(OR($G579="",$H579="",NOT(ISNUMBER($I579))),"",ROUND($H579*$I579*(1+IF($J579="",Setup!$B$16,$J579)),2))</f>
        <v/>
      </c>
      <c r="L579" s="89">
        <f>IF($K579="","",ROUND($K579*Setup!$B$13,2))</f>
        <v/>
      </c>
      <c r="M579" s="89">
        <f>IF($K579="","",$K579-$L579)</f>
        <v/>
      </c>
      <c r="N579" s="89">
        <f>IF(OR($M579="",$D579=""),"",ROUND($M579*IFERROR(IF(VLOOKUP($D579,Setup!$A$76:$C$87,3,FALSE)="",Setup!$B$14,VLOOKUP($D579,Setup!$A$76:$C$87,3,FALSE)),Setup!$B$14),2))</f>
        <v/>
      </c>
      <c r="O579" s="89">
        <f>IF(OR($M579="",$E579=""),"",ROUND($M579*IFERROR(IF(VLOOKUP($E579,Setup!$A$76:$C$87,3,FALSE)="",Setup!$B$15,VLOOKUP($E579,Setup!$A$76:$C$87,3,FALSE)),Setup!$B$15),2))</f>
        <v/>
      </c>
      <c r="P579" s="91" t="n"/>
      <c r="Q579" s="91" t="n"/>
      <c r="R579" s="91" t="n"/>
      <c r="S579" s="91" t="n"/>
      <c r="T579" s="91" t="n"/>
      <c r="U579" s="89">
        <f>IF($K579="","",SUM($R579:$T579))</f>
        <v/>
      </c>
      <c r="V579" s="89">
        <f>IF($K579="","",$M579-(N($N579)+N($O579)+IF($P579="",Setup!$B$17,$P579)+N($Q579))-N($U579))</f>
        <v/>
      </c>
      <c r="W579" s="86" t="n"/>
      <c r="X579" s="87" t="n"/>
      <c r="Z579" s="92">
        <f>IF($A579="","",DATE(YEAR($A579),MONTH($A579),1))</f>
        <v/>
      </c>
    </row>
    <row r="580">
      <c r="A580" s="93" t="n"/>
      <c r="B580" s="94" t="n"/>
      <c r="C580" s="94" t="n"/>
      <c r="D580" s="95" t="n"/>
      <c r="E580" s="95" t="n"/>
      <c r="F580" s="95" t="n"/>
      <c r="G580" s="95" t="n"/>
      <c r="H580" s="96" t="n"/>
      <c r="I580" s="89">
        <f>IF($G580="","",IF($F580="",IFERROR(INDEX(Setup!$C$21:$C$60,MATCH("|"&amp;UPPER(TRIM($G580)),Setup!$Q$21:$Q$60,0)),"NO RATE"),IFERROR(INDEX(Setup!$C$21:$C$60,MATCH(UPPER(TRIM($F580))&amp;"|"&amp;UPPER(TRIM($G580)),Setup!$P$21:$P$60,0)),IFERROR(INDEX(Setup!$C$21:$C$60,MATCH(UPPER(TRIM($G580))&amp;"|"&amp;UPPER(TRIM($F580)),Setup!$P$21:$P$60,0)),"NO RATE"))))</f>
        <v/>
      </c>
      <c r="J580" s="97" t="n"/>
      <c r="K580" s="89">
        <f>IF(OR($G580="",$H580="",NOT(ISNUMBER($I580))),"",ROUND($H580*$I580*(1+IF($J580="",Setup!$B$16,$J580)),2))</f>
        <v/>
      </c>
      <c r="L580" s="89">
        <f>IF($K580="","",ROUND($K580*Setup!$B$13,2))</f>
        <v/>
      </c>
      <c r="M580" s="89">
        <f>IF($K580="","",$K580-$L580)</f>
        <v/>
      </c>
      <c r="N580" s="89">
        <f>IF(OR($M580="",$D580=""),"",ROUND($M580*IFERROR(IF(VLOOKUP($D580,Setup!$A$76:$C$87,3,FALSE)="",Setup!$B$14,VLOOKUP($D580,Setup!$A$76:$C$87,3,FALSE)),Setup!$B$14),2))</f>
        <v/>
      </c>
      <c r="O580" s="89">
        <f>IF(OR($M580="",$E580=""),"",ROUND($M580*IFERROR(IF(VLOOKUP($E580,Setup!$A$76:$C$87,3,FALSE)="",Setup!$B$15,VLOOKUP($E580,Setup!$A$76:$C$87,3,FALSE)),Setup!$B$15),2))</f>
        <v/>
      </c>
      <c r="P580" s="98" t="n"/>
      <c r="Q580" s="98" t="n"/>
      <c r="R580" s="98" t="n"/>
      <c r="S580" s="98" t="n"/>
      <c r="T580" s="98" t="n"/>
      <c r="U580" s="89">
        <f>IF($K580="","",SUM($R580:$T580))</f>
        <v/>
      </c>
      <c r="V580" s="89">
        <f>IF($K580="","",$M580-(N($N580)+N($O580)+IF($P580="",Setup!$B$17,$P580)+N($Q580))-N($U580))</f>
        <v/>
      </c>
      <c r="W580" s="94" t="n"/>
      <c r="X580" s="95" t="n"/>
      <c r="Z580" s="92">
        <f>IF($A580="","",DATE(YEAR($A580),MONTH($A580),1))</f>
        <v/>
      </c>
    </row>
    <row r="581">
      <c r="A581" s="85" t="n"/>
      <c r="B581" s="86" t="n"/>
      <c r="C581" s="86" t="n"/>
      <c r="D581" s="87" t="n"/>
      <c r="E581" s="87" t="n"/>
      <c r="F581" s="87" t="n"/>
      <c r="G581" s="87" t="n"/>
      <c r="H581" s="88" t="n"/>
      <c r="I581" s="89">
        <f>IF($G581="","",IF($F581="",IFERROR(INDEX(Setup!$C$21:$C$60,MATCH("|"&amp;UPPER(TRIM($G581)),Setup!$Q$21:$Q$60,0)),"NO RATE"),IFERROR(INDEX(Setup!$C$21:$C$60,MATCH(UPPER(TRIM($F581))&amp;"|"&amp;UPPER(TRIM($G581)),Setup!$P$21:$P$60,0)),IFERROR(INDEX(Setup!$C$21:$C$60,MATCH(UPPER(TRIM($G581))&amp;"|"&amp;UPPER(TRIM($F581)),Setup!$P$21:$P$60,0)),"NO RATE"))))</f>
        <v/>
      </c>
      <c r="J581" s="90" t="n"/>
      <c r="K581" s="89">
        <f>IF(OR($G581="",$H581="",NOT(ISNUMBER($I581))),"",ROUND($H581*$I581*(1+IF($J581="",Setup!$B$16,$J581)),2))</f>
        <v/>
      </c>
      <c r="L581" s="89">
        <f>IF($K581="","",ROUND($K581*Setup!$B$13,2))</f>
        <v/>
      </c>
      <c r="M581" s="89">
        <f>IF($K581="","",$K581-$L581)</f>
        <v/>
      </c>
      <c r="N581" s="89">
        <f>IF(OR($M581="",$D581=""),"",ROUND($M581*IFERROR(IF(VLOOKUP($D581,Setup!$A$76:$C$87,3,FALSE)="",Setup!$B$14,VLOOKUP($D581,Setup!$A$76:$C$87,3,FALSE)),Setup!$B$14),2))</f>
        <v/>
      </c>
      <c r="O581" s="89">
        <f>IF(OR($M581="",$E581=""),"",ROUND($M581*IFERROR(IF(VLOOKUP($E581,Setup!$A$76:$C$87,3,FALSE)="",Setup!$B$15,VLOOKUP($E581,Setup!$A$76:$C$87,3,FALSE)),Setup!$B$15),2))</f>
        <v/>
      </c>
      <c r="P581" s="91" t="n"/>
      <c r="Q581" s="91" t="n"/>
      <c r="R581" s="91" t="n"/>
      <c r="S581" s="91" t="n"/>
      <c r="T581" s="91" t="n"/>
      <c r="U581" s="89">
        <f>IF($K581="","",SUM($R581:$T581))</f>
        <v/>
      </c>
      <c r="V581" s="89">
        <f>IF($K581="","",$M581-(N($N581)+N($O581)+IF($P581="",Setup!$B$17,$P581)+N($Q581))-N($U581))</f>
        <v/>
      </c>
      <c r="W581" s="86" t="n"/>
      <c r="X581" s="87" t="n"/>
      <c r="Z581" s="92">
        <f>IF($A581="","",DATE(YEAR($A581),MONTH($A581),1))</f>
        <v/>
      </c>
    </row>
    <row r="582">
      <c r="A582" s="93" t="n"/>
      <c r="B582" s="94" t="n"/>
      <c r="C582" s="94" t="n"/>
      <c r="D582" s="95" t="n"/>
      <c r="E582" s="95" t="n"/>
      <c r="F582" s="95" t="n"/>
      <c r="G582" s="95" t="n"/>
      <c r="H582" s="96" t="n"/>
      <c r="I582" s="89">
        <f>IF($G582="","",IF($F582="",IFERROR(INDEX(Setup!$C$21:$C$60,MATCH("|"&amp;UPPER(TRIM($G582)),Setup!$Q$21:$Q$60,0)),"NO RATE"),IFERROR(INDEX(Setup!$C$21:$C$60,MATCH(UPPER(TRIM($F582))&amp;"|"&amp;UPPER(TRIM($G582)),Setup!$P$21:$P$60,0)),IFERROR(INDEX(Setup!$C$21:$C$60,MATCH(UPPER(TRIM($G582))&amp;"|"&amp;UPPER(TRIM($F582)),Setup!$P$21:$P$60,0)),"NO RATE"))))</f>
        <v/>
      </c>
      <c r="J582" s="97" t="n"/>
      <c r="K582" s="89">
        <f>IF(OR($G582="",$H582="",NOT(ISNUMBER($I582))),"",ROUND($H582*$I582*(1+IF($J582="",Setup!$B$16,$J582)),2))</f>
        <v/>
      </c>
      <c r="L582" s="89">
        <f>IF($K582="","",ROUND($K582*Setup!$B$13,2))</f>
        <v/>
      </c>
      <c r="M582" s="89">
        <f>IF($K582="","",$K582-$L582)</f>
        <v/>
      </c>
      <c r="N582" s="89">
        <f>IF(OR($M582="",$D582=""),"",ROUND($M582*IFERROR(IF(VLOOKUP($D582,Setup!$A$76:$C$87,3,FALSE)="",Setup!$B$14,VLOOKUP($D582,Setup!$A$76:$C$87,3,FALSE)),Setup!$B$14),2))</f>
        <v/>
      </c>
      <c r="O582" s="89">
        <f>IF(OR($M582="",$E582=""),"",ROUND($M582*IFERROR(IF(VLOOKUP($E582,Setup!$A$76:$C$87,3,FALSE)="",Setup!$B$15,VLOOKUP($E582,Setup!$A$76:$C$87,3,FALSE)),Setup!$B$15),2))</f>
        <v/>
      </c>
      <c r="P582" s="98" t="n"/>
      <c r="Q582" s="98" t="n"/>
      <c r="R582" s="98" t="n"/>
      <c r="S582" s="98" t="n"/>
      <c r="T582" s="98" t="n"/>
      <c r="U582" s="89">
        <f>IF($K582="","",SUM($R582:$T582))</f>
        <v/>
      </c>
      <c r="V582" s="89">
        <f>IF($K582="","",$M582-(N($N582)+N($O582)+IF($P582="",Setup!$B$17,$P582)+N($Q582))-N($U582))</f>
        <v/>
      </c>
      <c r="W582" s="94" t="n"/>
      <c r="X582" s="95" t="n"/>
      <c r="Z582" s="92">
        <f>IF($A582="","",DATE(YEAR($A582),MONTH($A582),1))</f>
        <v/>
      </c>
    </row>
    <row r="583">
      <c r="A583" s="85" t="n"/>
      <c r="B583" s="86" t="n"/>
      <c r="C583" s="86" t="n"/>
      <c r="D583" s="87" t="n"/>
      <c r="E583" s="87" t="n"/>
      <c r="F583" s="87" t="n"/>
      <c r="G583" s="87" t="n"/>
      <c r="H583" s="88" t="n"/>
      <c r="I583" s="89">
        <f>IF($G583="","",IF($F583="",IFERROR(INDEX(Setup!$C$21:$C$60,MATCH("|"&amp;UPPER(TRIM($G583)),Setup!$Q$21:$Q$60,0)),"NO RATE"),IFERROR(INDEX(Setup!$C$21:$C$60,MATCH(UPPER(TRIM($F583))&amp;"|"&amp;UPPER(TRIM($G583)),Setup!$P$21:$P$60,0)),IFERROR(INDEX(Setup!$C$21:$C$60,MATCH(UPPER(TRIM($G583))&amp;"|"&amp;UPPER(TRIM($F583)),Setup!$P$21:$P$60,0)),"NO RATE"))))</f>
        <v/>
      </c>
      <c r="J583" s="90" t="n"/>
      <c r="K583" s="89">
        <f>IF(OR($G583="",$H583="",NOT(ISNUMBER($I583))),"",ROUND($H583*$I583*(1+IF($J583="",Setup!$B$16,$J583)),2))</f>
        <v/>
      </c>
      <c r="L583" s="89">
        <f>IF($K583="","",ROUND($K583*Setup!$B$13,2))</f>
        <v/>
      </c>
      <c r="M583" s="89">
        <f>IF($K583="","",$K583-$L583)</f>
        <v/>
      </c>
      <c r="N583" s="89">
        <f>IF(OR($M583="",$D583=""),"",ROUND($M583*IFERROR(IF(VLOOKUP($D583,Setup!$A$76:$C$87,3,FALSE)="",Setup!$B$14,VLOOKUP($D583,Setup!$A$76:$C$87,3,FALSE)),Setup!$B$14),2))</f>
        <v/>
      </c>
      <c r="O583" s="89">
        <f>IF(OR($M583="",$E583=""),"",ROUND($M583*IFERROR(IF(VLOOKUP($E583,Setup!$A$76:$C$87,3,FALSE)="",Setup!$B$15,VLOOKUP($E583,Setup!$A$76:$C$87,3,FALSE)),Setup!$B$15),2))</f>
        <v/>
      </c>
      <c r="P583" s="91" t="n"/>
      <c r="Q583" s="91" t="n"/>
      <c r="R583" s="91" t="n"/>
      <c r="S583" s="91" t="n"/>
      <c r="T583" s="91" t="n"/>
      <c r="U583" s="89">
        <f>IF($K583="","",SUM($R583:$T583))</f>
        <v/>
      </c>
      <c r="V583" s="89">
        <f>IF($K583="","",$M583-(N($N583)+N($O583)+IF($P583="",Setup!$B$17,$P583)+N($Q583))-N($U583))</f>
        <v/>
      </c>
      <c r="W583" s="86" t="n"/>
      <c r="X583" s="87" t="n"/>
      <c r="Z583" s="92">
        <f>IF($A583="","",DATE(YEAR($A583),MONTH($A583),1))</f>
        <v/>
      </c>
    </row>
    <row r="584">
      <c r="A584" s="93" t="n"/>
      <c r="B584" s="94" t="n"/>
      <c r="C584" s="94" t="n"/>
      <c r="D584" s="95" t="n"/>
      <c r="E584" s="95" t="n"/>
      <c r="F584" s="95" t="n"/>
      <c r="G584" s="95" t="n"/>
      <c r="H584" s="96" t="n"/>
      <c r="I584" s="89">
        <f>IF($G584="","",IF($F584="",IFERROR(INDEX(Setup!$C$21:$C$60,MATCH("|"&amp;UPPER(TRIM($G584)),Setup!$Q$21:$Q$60,0)),"NO RATE"),IFERROR(INDEX(Setup!$C$21:$C$60,MATCH(UPPER(TRIM($F584))&amp;"|"&amp;UPPER(TRIM($G584)),Setup!$P$21:$P$60,0)),IFERROR(INDEX(Setup!$C$21:$C$60,MATCH(UPPER(TRIM($G584))&amp;"|"&amp;UPPER(TRIM($F584)),Setup!$P$21:$P$60,0)),"NO RATE"))))</f>
        <v/>
      </c>
      <c r="J584" s="97" t="n"/>
      <c r="K584" s="89">
        <f>IF(OR($G584="",$H584="",NOT(ISNUMBER($I584))),"",ROUND($H584*$I584*(1+IF($J584="",Setup!$B$16,$J584)),2))</f>
        <v/>
      </c>
      <c r="L584" s="89">
        <f>IF($K584="","",ROUND($K584*Setup!$B$13,2))</f>
        <v/>
      </c>
      <c r="M584" s="89">
        <f>IF($K584="","",$K584-$L584)</f>
        <v/>
      </c>
      <c r="N584" s="89">
        <f>IF(OR($M584="",$D584=""),"",ROUND($M584*IFERROR(IF(VLOOKUP($D584,Setup!$A$76:$C$87,3,FALSE)="",Setup!$B$14,VLOOKUP($D584,Setup!$A$76:$C$87,3,FALSE)),Setup!$B$14),2))</f>
        <v/>
      </c>
      <c r="O584" s="89">
        <f>IF(OR($M584="",$E584=""),"",ROUND($M584*IFERROR(IF(VLOOKUP($E584,Setup!$A$76:$C$87,3,FALSE)="",Setup!$B$15,VLOOKUP($E584,Setup!$A$76:$C$87,3,FALSE)),Setup!$B$15),2))</f>
        <v/>
      </c>
      <c r="P584" s="98" t="n"/>
      <c r="Q584" s="98" t="n"/>
      <c r="R584" s="98" t="n"/>
      <c r="S584" s="98" t="n"/>
      <c r="T584" s="98" t="n"/>
      <c r="U584" s="89">
        <f>IF($K584="","",SUM($R584:$T584))</f>
        <v/>
      </c>
      <c r="V584" s="89">
        <f>IF($K584="","",$M584-(N($N584)+N($O584)+IF($P584="",Setup!$B$17,$P584)+N($Q584))-N($U584))</f>
        <v/>
      </c>
      <c r="W584" s="94" t="n"/>
      <c r="X584" s="95" t="n"/>
      <c r="Z584" s="92">
        <f>IF($A584="","",DATE(YEAR($A584),MONTH($A584),1))</f>
        <v/>
      </c>
    </row>
    <row r="585">
      <c r="A585" s="85" t="n"/>
      <c r="B585" s="86" t="n"/>
      <c r="C585" s="86" t="n"/>
      <c r="D585" s="87" t="n"/>
      <c r="E585" s="87" t="n"/>
      <c r="F585" s="87" t="n"/>
      <c r="G585" s="87" t="n"/>
      <c r="H585" s="88" t="n"/>
      <c r="I585" s="89">
        <f>IF($G585="","",IF($F585="",IFERROR(INDEX(Setup!$C$21:$C$60,MATCH("|"&amp;UPPER(TRIM($G585)),Setup!$Q$21:$Q$60,0)),"NO RATE"),IFERROR(INDEX(Setup!$C$21:$C$60,MATCH(UPPER(TRIM($F585))&amp;"|"&amp;UPPER(TRIM($G585)),Setup!$P$21:$P$60,0)),IFERROR(INDEX(Setup!$C$21:$C$60,MATCH(UPPER(TRIM($G585))&amp;"|"&amp;UPPER(TRIM($F585)),Setup!$P$21:$P$60,0)),"NO RATE"))))</f>
        <v/>
      </c>
      <c r="J585" s="90" t="n"/>
      <c r="K585" s="89">
        <f>IF(OR($G585="",$H585="",NOT(ISNUMBER($I585))),"",ROUND($H585*$I585*(1+IF($J585="",Setup!$B$16,$J585)),2))</f>
        <v/>
      </c>
      <c r="L585" s="89">
        <f>IF($K585="","",ROUND($K585*Setup!$B$13,2))</f>
        <v/>
      </c>
      <c r="M585" s="89">
        <f>IF($K585="","",$K585-$L585)</f>
        <v/>
      </c>
      <c r="N585" s="89">
        <f>IF(OR($M585="",$D585=""),"",ROUND($M585*IFERROR(IF(VLOOKUP($D585,Setup!$A$76:$C$87,3,FALSE)="",Setup!$B$14,VLOOKUP($D585,Setup!$A$76:$C$87,3,FALSE)),Setup!$B$14),2))</f>
        <v/>
      </c>
      <c r="O585" s="89">
        <f>IF(OR($M585="",$E585=""),"",ROUND($M585*IFERROR(IF(VLOOKUP($E585,Setup!$A$76:$C$87,3,FALSE)="",Setup!$B$15,VLOOKUP($E585,Setup!$A$76:$C$87,3,FALSE)),Setup!$B$15),2))</f>
        <v/>
      </c>
      <c r="P585" s="91" t="n"/>
      <c r="Q585" s="91" t="n"/>
      <c r="R585" s="91" t="n"/>
      <c r="S585" s="91" t="n"/>
      <c r="T585" s="91" t="n"/>
      <c r="U585" s="89">
        <f>IF($K585="","",SUM($R585:$T585))</f>
        <v/>
      </c>
      <c r="V585" s="89">
        <f>IF($K585="","",$M585-(N($N585)+N($O585)+IF($P585="",Setup!$B$17,$P585)+N($Q585))-N($U585))</f>
        <v/>
      </c>
      <c r="W585" s="86" t="n"/>
      <c r="X585" s="87" t="n"/>
      <c r="Z585" s="92">
        <f>IF($A585="","",DATE(YEAR($A585),MONTH($A585),1))</f>
        <v/>
      </c>
    </row>
    <row r="586">
      <c r="A586" s="93" t="n"/>
      <c r="B586" s="94" t="n"/>
      <c r="C586" s="94" t="n"/>
      <c r="D586" s="95" t="n"/>
      <c r="E586" s="95" t="n"/>
      <c r="F586" s="95" t="n"/>
      <c r="G586" s="95" t="n"/>
      <c r="H586" s="96" t="n"/>
      <c r="I586" s="89">
        <f>IF($G586="","",IF($F586="",IFERROR(INDEX(Setup!$C$21:$C$60,MATCH("|"&amp;UPPER(TRIM($G586)),Setup!$Q$21:$Q$60,0)),"NO RATE"),IFERROR(INDEX(Setup!$C$21:$C$60,MATCH(UPPER(TRIM($F586))&amp;"|"&amp;UPPER(TRIM($G586)),Setup!$P$21:$P$60,0)),IFERROR(INDEX(Setup!$C$21:$C$60,MATCH(UPPER(TRIM($G586))&amp;"|"&amp;UPPER(TRIM($F586)),Setup!$P$21:$P$60,0)),"NO RATE"))))</f>
        <v/>
      </c>
      <c r="J586" s="97" t="n"/>
      <c r="K586" s="89">
        <f>IF(OR($G586="",$H586="",NOT(ISNUMBER($I586))),"",ROUND($H586*$I586*(1+IF($J586="",Setup!$B$16,$J586)),2))</f>
        <v/>
      </c>
      <c r="L586" s="89">
        <f>IF($K586="","",ROUND($K586*Setup!$B$13,2))</f>
        <v/>
      </c>
      <c r="M586" s="89">
        <f>IF($K586="","",$K586-$L586)</f>
        <v/>
      </c>
      <c r="N586" s="89">
        <f>IF(OR($M586="",$D586=""),"",ROUND($M586*IFERROR(IF(VLOOKUP($D586,Setup!$A$76:$C$87,3,FALSE)="",Setup!$B$14,VLOOKUP($D586,Setup!$A$76:$C$87,3,FALSE)),Setup!$B$14),2))</f>
        <v/>
      </c>
      <c r="O586" s="89">
        <f>IF(OR($M586="",$E586=""),"",ROUND($M586*IFERROR(IF(VLOOKUP($E586,Setup!$A$76:$C$87,3,FALSE)="",Setup!$B$15,VLOOKUP($E586,Setup!$A$76:$C$87,3,FALSE)),Setup!$B$15),2))</f>
        <v/>
      </c>
      <c r="P586" s="98" t="n"/>
      <c r="Q586" s="98" t="n"/>
      <c r="R586" s="98" t="n"/>
      <c r="S586" s="98" t="n"/>
      <c r="T586" s="98" t="n"/>
      <c r="U586" s="89">
        <f>IF($K586="","",SUM($R586:$T586))</f>
        <v/>
      </c>
      <c r="V586" s="89">
        <f>IF($K586="","",$M586-(N($N586)+N($O586)+IF($P586="",Setup!$B$17,$P586)+N($Q586))-N($U586))</f>
        <v/>
      </c>
      <c r="W586" s="94" t="n"/>
      <c r="X586" s="95" t="n"/>
      <c r="Z586" s="92">
        <f>IF($A586="","",DATE(YEAR($A586),MONTH($A586),1))</f>
        <v/>
      </c>
    </row>
    <row r="587">
      <c r="A587" s="85" t="n"/>
      <c r="B587" s="86" t="n"/>
      <c r="C587" s="86" t="n"/>
      <c r="D587" s="87" t="n"/>
      <c r="E587" s="87" t="n"/>
      <c r="F587" s="87" t="n"/>
      <c r="G587" s="87" t="n"/>
      <c r="H587" s="88" t="n"/>
      <c r="I587" s="89">
        <f>IF($G587="","",IF($F587="",IFERROR(INDEX(Setup!$C$21:$C$60,MATCH("|"&amp;UPPER(TRIM($G587)),Setup!$Q$21:$Q$60,0)),"NO RATE"),IFERROR(INDEX(Setup!$C$21:$C$60,MATCH(UPPER(TRIM($F587))&amp;"|"&amp;UPPER(TRIM($G587)),Setup!$P$21:$P$60,0)),IFERROR(INDEX(Setup!$C$21:$C$60,MATCH(UPPER(TRIM($G587))&amp;"|"&amp;UPPER(TRIM($F587)),Setup!$P$21:$P$60,0)),"NO RATE"))))</f>
        <v/>
      </c>
      <c r="J587" s="90" t="n"/>
      <c r="K587" s="89">
        <f>IF(OR($G587="",$H587="",NOT(ISNUMBER($I587))),"",ROUND($H587*$I587*(1+IF($J587="",Setup!$B$16,$J587)),2))</f>
        <v/>
      </c>
      <c r="L587" s="89">
        <f>IF($K587="","",ROUND($K587*Setup!$B$13,2))</f>
        <v/>
      </c>
      <c r="M587" s="89">
        <f>IF($K587="","",$K587-$L587)</f>
        <v/>
      </c>
      <c r="N587" s="89">
        <f>IF(OR($M587="",$D587=""),"",ROUND($M587*IFERROR(IF(VLOOKUP($D587,Setup!$A$76:$C$87,3,FALSE)="",Setup!$B$14,VLOOKUP($D587,Setup!$A$76:$C$87,3,FALSE)),Setup!$B$14),2))</f>
        <v/>
      </c>
      <c r="O587" s="89">
        <f>IF(OR($M587="",$E587=""),"",ROUND($M587*IFERROR(IF(VLOOKUP($E587,Setup!$A$76:$C$87,3,FALSE)="",Setup!$B$15,VLOOKUP($E587,Setup!$A$76:$C$87,3,FALSE)),Setup!$B$15),2))</f>
        <v/>
      </c>
      <c r="P587" s="91" t="n"/>
      <c r="Q587" s="91" t="n"/>
      <c r="R587" s="91" t="n"/>
      <c r="S587" s="91" t="n"/>
      <c r="T587" s="91" t="n"/>
      <c r="U587" s="89">
        <f>IF($K587="","",SUM($R587:$T587))</f>
        <v/>
      </c>
      <c r="V587" s="89">
        <f>IF($K587="","",$M587-(N($N587)+N($O587)+IF($P587="",Setup!$B$17,$P587)+N($Q587))-N($U587))</f>
        <v/>
      </c>
      <c r="W587" s="86" t="n"/>
      <c r="X587" s="87" t="n"/>
      <c r="Z587" s="92">
        <f>IF($A587="","",DATE(YEAR($A587),MONTH($A587),1))</f>
        <v/>
      </c>
    </row>
    <row r="588">
      <c r="A588" s="93" t="n"/>
      <c r="B588" s="94" t="n"/>
      <c r="C588" s="94" t="n"/>
      <c r="D588" s="95" t="n"/>
      <c r="E588" s="95" t="n"/>
      <c r="F588" s="95" t="n"/>
      <c r="G588" s="95" t="n"/>
      <c r="H588" s="96" t="n"/>
      <c r="I588" s="89">
        <f>IF($G588="","",IF($F588="",IFERROR(INDEX(Setup!$C$21:$C$60,MATCH("|"&amp;UPPER(TRIM($G588)),Setup!$Q$21:$Q$60,0)),"NO RATE"),IFERROR(INDEX(Setup!$C$21:$C$60,MATCH(UPPER(TRIM($F588))&amp;"|"&amp;UPPER(TRIM($G588)),Setup!$P$21:$P$60,0)),IFERROR(INDEX(Setup!$C$21:$C$60,MATCH(UPPER(TRIM($G588))&amp;"|"&amp;UPPER(TRIM($F588)),Setup!$P$21:$P$60,0)),"NO RATE"))))</f>
        <v/>
      </c>
      <c r="J588" s="97" t="n"/>
      <c r="K588" s="89">
        <f>IF(OR($G588="",$H588="",NOT(ISNUMBER($I588))),"",ROUND($H588*$I588*(1+IF($J588="",Setup!$B$16,$J588)),2))</f>
        <v/>
      </c>
      <c r="L588" s="89">
        <f>IF($K588="","",ROUND($K588*Setup!$B$13,2))</f>
        <v/>
      </c>
      <c r="M588" s="89">
        <f>IF($K588="","",$K588-$L588)</f>
        <v/>
      </c>
      <c r="N588" s="89">
        <f>IF(OR($M588="",$D588=""),"",ROUND($M588*IFERROR(IF(VLOOKUP($D588,Setup!$A$76:$C$87,3,FALSE)="",Setup!$B$14,VLOOKUP($D588,Setup!$A$76:$C$87,3,FALSE)),Setup!$B$14),2))</f>
        <v/>
      </c>
      <c r="O588" s="89">
        <f>IF(OR($M588="",$E588=""),"",ROUND($M588*IFERROR(IF(VLOOKUP($E588,Setup!$A$76:$C$87,3,FALSE)="",Setup!$B$15,VLOOKUP($E588,Setup!$A$76:$C$87,3,FALSE)),Setup!$B$15),2))</f>
        <v/>
      </c>
      <c r="P588" s="98" t="n"/>
      <c r="Q588" s="98" t="n"/>
      <c r="R588" s="98" t="n"/>
      <c r="S588" s="98" t="n"/>
      <c r="T588" s="98" t="n"/>
      <c r="U588" s="89">
        <f>IF($K588="","",SUM($R588:$T588))</f>
        <v/>
      </c>
      <c r="V588" s="89">
        <f>IF($K588="","",$M588-(N($N588)+N($O588)+IF($P588="",Setup!$B$17,$P588)+N($Q588))-N($U588))</f>
        <v/>
      </c>
      <c r="W588" s="94" t="n"/>
      <c r="X588" s="95" t="n"/>
      <c r="Z588" s="92">
        <f>IF($A588="","",DATE(YEAR($A588),MONTH($A588),1))</f>
        <v/>
      </c>
    </row>
    <row r="589">
      <c r="A589" s="85" t="n"/>
      <c r="B589" s="86" t="n"/>
      <c r="C589" s="86" t="n"/>
      <c r="D589" s="87" t="n"/>
      <c r="E589" s="87" t="n"/>
      <c r="F589" s="87" t="n"/>
      <c r="G589" s="87" t="n"/>
      <c r="H589" s="88" t="n"/>
      <c r="I589" s="89">
        <f>IF($G589="","",IF($F589="",IFERROR(INDEX(Setup!$C$21:$C$60,MATCH("|"&amp;UPPER(TRIM($G589)),Setup!$Q$21:$Q$60,0)),"NO RATE"),IFERROR(INDEX(Setup!$C$21:$C$60,MATCH(UPPER(TRIM($F589))&amp;"|"&amp;UPPER(TRIM($G589)),Setup!$P$21:$P$60,0)),IFERROR(INDEX(Setup!$C$21:$C$60,MATCH(UPPER(TRIM($G589))&amp;"|"&amp;UPPER(TRIM($F589)),Setup!$P$21:$P$60,0)),"NO RATE"))))</f>
        <v/>
      </c>
      <c r="J589" s="90" t="n"/>
      <c r="K589" s="89">
        <f>IF(OR($G589="",$H589="",NOT(ISNUMBER($I589))),"",ROUND($H589*$I589*(1+IF($J589="",Setup!$B$16,$J589)),2))</f>
        <v/>
      </c>
      <c r="L589" s="89">
        <f>IF($K589="","",ROUND($K589*Setup!$B$13,2))</f>
        <v/>
      </c>
      <c r="M589" s="89">
        <f>IF($K589="","",$K589-$L589)</f>
        <v/>
      </c>
      <c r="N589" s="89">
        <f>IF(OR($M589="",$D589=""),"",ROUND($M589*IFERROR(IF(VLOOKUP($D589,Setup!$A$76:$C$87,3,FALSE)="",Setup!$B$14,VLOOKUP($D589,Setup!$A$76:$C$87,3,FALSE)),Setup!$B$14),2))</f>
        <v/>
      </c>
      <c r="O589" s="89">
        <f>IF(OR($M589="",$E589=""),"",ROUND($M589*IFERROR(IF(VLOOKUP($E589,Setup!$A$76:$C$87,3,FALSE)="",Setup!$B$15,VLOOKUP($E589,Setup!$A$76:$C$87,3,FALSE)),Setup!$B$15),2))</f>
        <v/>
      </c>
      <c r="P589" s="91" t="n"/>
      <c r="Q589" s="91" t="n"/>
      <c r="R589" s="91" t="n"/>
      <c r="S589" s="91" t="n"/>
      <c r="T589" s="91" t="n"/>
      <c r="U589" s="89">
        <f>IF($K589="","",SUM($R589:$T589))</f>
        <v/>
      </c>
      <c r="V589" s="89">
        <f>IF($K589="","",$M589-(N($N589)+N($O589)+IF($P589="",Setup!$B$17,$P589)+N($Q589))-N($U589))</f>
        <v/>
      </c>
      <c r="W589" s="86" t="n"/>
      <c r="X589" s="87" t="n"/>
      <c r="Z589" s="92">
        <f>IF($A589="","",DATE(YEAR($A589),MONTH($A589),1))</f>
        <v/>
      </c>
    </row>
    <row r="590">
      <c r="A590" s="93" t="n"/>
      <c r="B590" s="94" t="n"/>
      <c r="C590" s="94" t="n"/>
      <c r="D590" s="95" t="n"/>
      <c r="E590" s="95" t="n"/>
      <c r="F590" s="95" t="n"/>
      <c r="G590" s="95" t="n"/>
      <c r="H590" s="96" t="n"/>
      <c r="I590" s="89">
        <f>IF($G590="","",IF($F590="",IFERROR(INDEX(Setup!$C$21:$C$60,MATCH("|"&amp;UPPER(TRIM($G590)),Setup!$Q$21:$Q$60,0)),"NO RATE"),IFERROR(INDEX(Setup!$C$21:$C$60,MATCH(UPPER(TRIM($F590))&amp;"|"&amp;UPPER(TRIM($G590)),Setup!$P$21:$P$60,0)),IFERROR(INDEX(Setup!$C$21:$C$60,MATCH(UPPER(TRIM($G590))&amp;"|"&amp;UPPER(TRIM($F590)),Setup!$P$21:$P$60,0)),"NO RATE"))))</f>
        <v/>
      </c>
      <c r="J590" s="97" t="n"/>
      <c r="K590" s="89">
        <f>IF(OR($G590="",$H590="",NOT(ISNUMBER($I590))),"",ROUND($H590*$I590*(1+IF($J590="",Setup!$B$16,$J590)),2))</f>
        <v/>
      </c>
      <c r="L590" s="89">
        <f>IF($K590="","",ROUND($K590*Setup!$B$13,2))</f>
        <v/>
      </c>
      <c r="M590" s="89">
        <f>IF($K590="","",$K590-$L590)</f>
        <v/>
      </c>
      <c r="N590" s="89">
        <f>IF(OR($M590="",$D590=""),"",ROUND($M590*IFERROR(IF(VLOOKUP($D590,Setup!$A$76:$C$87,3,FALSE)="",Setup!$B$14,VLOOKUP($D590,Setup!$A$76:$C$87,3,FALSE)),Setup!$B$14),2))</f>
        <v/>
      </c>
      <c r="O590" s="89">
        <f>IF(OR($M590="",$E590=""),"",ROUND($M590*IFERROR(IF(VLOOKUP($E590,Setup!$A$76:$C$87,3,FALSE)="",Setup!$B$15,VLOOKUP($E590,Setup!$A$76:$C$87,3,FALSE)),Setup!$B$15),2))</f>
        <v/>
      </c>
      <c r="P590" s="98" t="n"/>
      <c r="Q590" s="98" t="n"/>
      <c r="R590" s="98" t="n"/>
      <c r="S590" s="98" t="n"/>
      <c r="T590" s="98" t="n"/>
      <c r="U590" s="89">
        <f>IF($K590="","",SUM($R590:$T590))</f>
        <v/>
      </c>
      <c r="V590" s="89">
        <f>IF($K590="","",$M590-(N($N590)+N($O590)+IF($P590="",Setup!$B$17,$P590)+N($Q590))-N($U590))</f>
        <v/>
      </c>
      <c r="W590" s="94" t="n"/>
      <c r="X590" s="95" t="n"/>
      <c r="Z590" s="92">
        <f>IF($A590="","",DATE(YEAR($A590),MONTH($A590),1))</f>
        <v/>
      </c>
    </row>
    <row r="591">
      <c r="A591" s="85" t="n"/>
      <c r="B591" s="86" t="n"/>
      <c r="C591" s="86" t="n"/>
      <c r="D591" s="87" t="n"/>
      <c r="E591" s="87" t="n"/>
      <c r="F591" s="87" t="n"/>
      <c r="G591" s="87" t="n"/>
      <c r="H591" s="88" t="n"/>
      <c r="I591" s="89">
        <f>IF($G591="","",IF($F591="",IFERROR(INDEX(Setup!$C$21:$C$60,MATCH("|"&amp;UPPER(TRIM($G591)),Setup!$Q$21:$Q$60,0)),"NO RATE"),IFERROR(INDEX(Setup!$C$21:$C$60,MATCH(UPPER(TRIM($F591))&amp;"|"&amp;UPPER(TRIM($G591)),Setup!$P$21:$P$60,0)),IFERROR(INDEX(Setup!$C$21:$C$60,MATCH(UPPER(TRIM($G591))&amp;"|"&amp;UPPER(TRIM($F591)),Setup!$P$21:$P$60,0)),"NO RATE"))))</f>
        <v/>
      </c>
      <c r="J591" s="90" t="n"/>
      <c r="K591" s="89">
        <f>IF(OR($G591="",$H591="",NOT(ISNUMBER($I591))),"",ROUND($H591*$I591*(1+IF($J591="",Setup!$B$16,$J591)),2))</f>
        <v/>
      </c>
      <c r="L591" s="89">
        <f>IF($K591="","",ROUND($K591*Setup!$B$13,2))</f>
        <v/>
      </c>
      <c r="M591" s="89">
        <f>IF($K591="","",$K591-$L591)</f>
        <v/>
      </c>
      <c r="N591" s="89">
        <f>IF(OR($M591="",$D591=""),"",ROUND($M591*IFERROR(IF(VLOOKUP($D591,Setup!$A$76:$C$87,3,FALSE)="",Setup!$B$14,VLOOKUP($D591,Setup!$A$76:$C$87,3,FALSE)),Setup!$B$14),2))</f>
        <v/>
      </c>
      <c r="O591" s="89">
        <f>IF(OR($M591="",$E591=""),"",ROUND($M591*IFERROR(IF(VLOOKUP($E591,Setup!$A$76:$C$87,3,FALSE)="",Setup!$B$15,VLOOKUP($E591,Setup!$A$76:$C$87,3,FALSE)),Setup!$B$15),2))</f>
        <v/>
      </c>
      <c r="P591" s="91" t="n"/>
      <c r="Q591" s="91" t="n"/>
      <c r="R591" s="91" t="n"/>
      <c r="S591" s="91" t="n"/>
      <c r="T591" s="91" t="n"/>
      <c r="U591" s="89">
        <f>IF($K591="","",SUM($R591:$T591))</f>
        <v/>
      </c>
      <c r="V591" s="89">
        <f>IF($K591="","",$M591-(N($N591)+N($O591)+IF($P591="",Setup!$B$17,$P591)+N($Q591))-N($U591))</f>
        <v/>
      </c>
      <c r="W591" s="86" t="n"/>
      <c r="X591" s="87" t="n"/>
      <c r="Z591" s="92">
        <f>IF($A591="","",DATE(YEAR($A591),MONTH($A591),1))</f>
        <v/>
      </c>
    </row>
    <row r="592">
      <c r="A592" s="93" t="n"/>
      <c r="B592" s="94" t="n"/>
      <c r="C592" s="94" t="n"/>
      <c r="D592" s="95" t="n"/>
      <c r="E592" s="95" t="n"/>
      <c r="F592" s="95" t="n"/>
      <c r="G592" s="95" t="n"/>
      <c r="H592" s="96" t="n"/>
      <c r="I592" s="89">
        <f>IF($G592="","",IF($F592="",IFERROR(INDEX(Setup!$C$21:$C$60,MATCH("|"&amp;UPPER(TRIM($G592)),Setup!$Q$21:$Q$60,0)),"NO RATE"),IFERROR(INDEX(Setup!$C$21:$C$60,MATCH(UPPER(TRIM($F592))&amp;"|"&amp;UPPER(TRIM($G592)),Setup!$P$21:$P$60,0)),IFERROR(INDEX(Setup!$C$21:$C$60,MATCH(UPPER(TRIM($G592))&amp;"|"&amp;UPPER(TRIM($F592)),Setup!$P$21:$P$60,0)),"NO RATE"))))</f>
        <v/>
      </c>
      <c r="J592" s="97" t="n"/>
      <c r="K592" s="89">
        <f>IF(OR($G592="",$H592="",NOT(ISNUMBER($I592))),"",ROUND($H592*$I592*(1+IF($J592="",Setup!$B$16,$J592)),2))</f>
        <v/>
      </c>
      <c r="L592" s="89">
        <f>IF($K592="","",ROUND($K592*Setup!$B$13,2))</f>
        <v/>
      </c>
      <c r="M592" s="89">
        <f>IF($K592="","",$K592-$L592)</f>
        <v/>
      </c>
      <c r="N592" s="89">
        <f>IF(OR($M592="",$D592=""),"",ROUND($M592*IFERROR(IF(VLOOKUP($D592,Setup!$A$76:$C$87,3,FALSE)="",Setup!$B$14,VLOOKUP($D592,Setup!$A$76:$C$87,3,FALSE)),Setup!$B$14),2))</f>
        <v/>
      </c>
      <c r="O592" s="89">
        <f>IF(OR($M592="",$E592=""),"",ROUND($M592*IFERROR(IF(VLOOKUP($E592,Setup!$A$76:$C$87,3,FALSE)="",Setup!$B$15,VLOOKUP($E592,Setup!$A$76:$C$87,3,FALSE)),Setup!$B$15),2))</f>
        <v/>
      </c>
      <c r="P592" s="98" t="n"/>
      <c r="Q592" s="98" t="n"/>
      <c r="R592" s="98" t="n"/>
      <c r="S592" s="98" t="n"/>
      <c r="T592" s="98" t="n"/>
      <c r="U592" s="89">
        <f>IF($K592="","",SUM($R592:$T592))</f>
        <v/>
      </c>
      <c r="V592" s="89">
        <f>IF($K592="","",$M592-(N($N592)+N($O592)+IF($P592="",Setup!$B$17,$P592)+N($Q592))-N($U592))</f>
        <v/>
      </c>
      <c r="W592" s="94" t="n"/>
      <c r="X592" s="95" t="n"/>
      <c r="Z592" s="92">
        <f>IF($A592="","",DATE(YEAR($A592),MONTH($A592),1))</f>
        <v/>
      </c>
    </row>
    <row r="593">
      <c r="A593" s="85" t="n"/>
      <c r="B593" s="86" t="n"/>
      <c r="C593" s="86" t="n"/>
      <c r="D593" s="87" t="n"/>
      <c r="E593" s="87" t="n"/>
      <c r="F593" s="87" t="n"/>
      <c r="G593" s="87" t="n"/>
      <c r="H593" s="88" t="n"/>
      <c r="I593" s="89">
        <f>IF($G593="","",IF($F593="",IFERROR(INDEX(Setup!$C$21:$C$60,MATCH("|"&amp;UPPER(TRIM($G593)),Setup!$Q$21:$Q$60,0)),"NO RATE"),IFERROR(INDEX(Setup!$C$21:$C$60,MATCH(UPPER(TRIM($F593))&amp;"|"&amp;UPPER(TRIM($G593)),Setup!$P$21:$P$60,0)),IFERROR(INDEX(Setup!$C$21:$C$60,MATCH(UPPER(TRIM($G593))&amp;"|"&amp;UPPER(TRIM($F593)),Setup!$P$21:$P$60,0)),"NO RATE"))))</f>
        <v/>
      </c>
      <c r="J593" s="90" t="n"/>
      <c r="K593" s="89">
        <f>IF(OR($G593="",$H593="",NOT(ISNUMBER($I593))),"",ROUND($H593*$I593*(1+IF($J593="",Setup!$B$16,$J593)),2))</f>
        <v/>
      </c>
      <c r="L593" s="89">
        <f>IF($K593="","",ROUND($K593*Setup!$B$13,2))</f>
        <v/>
      </c>
      <c r="M593" s="89">
        <f>IF($K593="","",$K593-$L593)</f>
        <v/>
      </c>
      <c r="N593" s="89">
        <f>IF(OR($M593="",$D593=""),"",ROUND($M593*IFERROR(IF(VLOOKUP($D593,Setup!$A$76:$C$87,3,FALSE)="",Setup!$B$14,VLOOKUP($D593,Setup!$A$76:$C$87,3,FALSE)),Setup!$B$14),2))</f>
        <v/>
      </c>
      <c r="O593" s="89">
        <f>IF(OR($M593="",$E593=""),"",ROUND($M593*IFERROR(IF(VLOOKUP($E593,Setup!$A$76:$C$87,3,FALSE)="",Setup!$B$15,VLOOKUP($E593,Setup!$A$76:$C$87,3,FALSE)),Setup!$B$15),2))</f>
        <v/>
      </c>
      <c r="P593" s="91" t="n"/>
      <c r="Q593" s="91" t="n"/>
      <c r="R593" s="91" t="n"/>
      <c r="S593" s="91" t="n"/>
      <c r="T593" s="91" t="n"/>
      <c r="U593" s="89">
        <f>IF($K593="","",SUM($R593:$T593))</f>
        <v/>
      </c>
      <c r="V593" s="89">
        <f>IF($K593="","",$M593-(N($N593)+N($O593)+IF($P593="",Setup!$B$17,$P593)+N($Q593))-N($U593))</f>
        <v/>
      </c>
      <c r="W593" s="86" t="n"/>
      <c r="X593" s="87" t="n"/>
      <c r="Z593" s="92">
        <f>IF($A593="","",DATE(YEAR($A593),MONTH($A593),1))</f>
        <v/>
      </c>
    </row>
    <row r="594">
      <c r="A594" s="93" t="n"/>
      <c r="B594" s="94" t="n"/>
      <c r="C594" s="94" t="n"/>
      <c r="D594" s="95" t="n"/>
      <c r="E594" s="95" t="n"/>
      <c r="F594" s="95" t="n"/>
      <c r="G594" s="95" t="n"/>
      <c r="H594" s="96" t="n"/>
      <c r="I594" s="89">
        <f>IF($G594="","",IF($F594="",IFERROR(INDEX(Setup!$C$21:$C$60,MATCH("|"&amp;UPPER(TRIM($G594)),Setup!$Q$21:$Q$60,0)),"NO RATE"),IFERROR(INDEX(Setup!$C$21:$C$60,MATCH(UPPER(TRIM($F594))&amp;"|"&amp;UPPER(TRIM($G594)),Setup!$P$21:$P$60,0)),IFERROR(INDEX(Setup!$C$21:$C$60,MATCH(UPPER(TRIM($G594))&amp;"|"&amp;UPPER(TRIM($F594)),Setup!$P$21:$P$60,0)),"NO RATE"))))</f>
        <v/>
      </c>
      <c r="J594" s="97" t="n"/>
      <c r="K594" s="89">
        <f>IF(OR($G594="",$H594="",NOT(ISNUMBER($I594))),"",ROUND($H594*$I594*(1+IF($J594="",Setup!$B$16,$J594)),2))</f>
        <v/>
      </c>
      <c r="L594" s="89">
        <f>IF($K594="","",ROUND($K594*Setup!$B$13,2))</f>
        <v/>
      </c>
      <c r="M594" s="89">
        <f>IF($K594="","",$K594-$L594)</f>
        <v/>
      </c>
      <c r="N594" s="89">
        <f>IF(OR($M594="",$D594=""),"",ROUND($M594*IFERROR(IF(VLOOKUP($D594,Setup!$A$76:$C$87,3,FALSE)="",Setup!$B$14,VLOOKUP($D594,Setup!$A$76:$C$87,3,FALSE)),Setup!$B$14),2))</f>
        <v/>
      </c>
      <c r="O594" s="89">
        <f>IF(OR($M594="",$E594=""),"",ROUND($M594*IFERROR(IF(VLOOKUP($E594,Setup!$A$76:$C$87,3,FALSE)="",Setup!$B$15,VLOOKUP($E594,Setup!$A$76:$C$87,3,FALSE)),Setup!$B$15),2))</f>
        <v/>
      </c>
      <c r="P594" s="98" t="n"/>
      <c r="Q594" s="98" t="n"/>
      <c r="R594" s="98" t="n"/>
      <c r="S594" s="98" t="n"/>
      <c r="T594" s="98" t="n"/>
      <c r="U594" s="89">
        <f>IF($K594="","",SUM($R594:$T594))</f>
        <v/>
      </c>
      <c r="V594" s="89">
        <f>IF($K594="","",$M594-(N($N594)+N($O594)+IF($P594="",Setup!$B$17,$P594)+N($Q594))-N($U594))</f>
        <v/>
      </c>
      <c r="W594" s="94" t="n"/>
      <c r="X594" s="95" t="n"/>
      <c r="Z594" s="92">
        <f>IF($A594="","",DATE(YEAR($A594),MONTH($A594),1))</f>
        <v/>
      </c>
    </row>
    <row r="595">
      <c r="A595" s="85" t="n"/>
      <c r="B595" s="86" t="n"/>
      <c r="C595" s="86" t="n"/>
      <c r="D595" s="87" t="n"/>
      <c r="E595" s="87" t="n"/>
      <c r="F595" s="87" t="n"/>
      <c r="G595" s="87" t="n"/>
      <c r="H595" s="88" t="n"/>
      <c r="I595" s="89">
        <f>IF($G595="","",IF($F595="",IFERROR(INDEX(Setup!$C$21:$C$60,MATCH("|"&amp;UPPER(TRIM($G595)),Setup!$Q$21:$Q$60,0)),"NO RATE"),IFERROR(INDEX(Setup!$C$21:$C$60,MATCH(UPPER(TRIM($F595))&amp;"|"&amp;UPPER(TRIM($G595)),Setup!$P$21:$P$60,0)),IFERROR(INDEX(Setup!$C$21:$C$60,MATCH(UPPER(TRIM($G595))&amp;"|"&amp;UPPER(TRIM($F595)),Setup!$P$21:$P$60,0)),"NO RATE"))))</f>
        <v/>
      </c>
      <c r="J595" s="90" t="n"/>
      <c r="K595" s="89">
        <f>IF(OR($G595="",$H595="",NOT(ISNUMBER($I595))),"",ROUND($H595*$I595*(1+IF($J595="",Setup!$B$16,$J595)),2))</f>
        <v/>
      </c>
      <c r="L595" s="89">
        <f>IF($K595="","",ROUND($K595*Setup!$B$13,2))</f>
        <v/>
      </c>
      <c r="M595" s="89">
        <f>IF($K595="","",$K595-$L595)</f>
        <v/>
      </c>
      <c r="N595" s="89">
        <f>IF(OR($M595="",$D595=""),"",ROUND($M595*IFERROR(IF(VLOOKUP($D595,Setup!$A$76:$C$87,3,FALSE)="",Setup!$B$14,VLOOKUP($D595,Setup!$A$76:$C$87,3,FALSE)),Setup!$B$14),2))</f>
        <v/>
      </c>
      <c r="O595" s="89">
        <f>IF(OR($M595="",$E595=""),"",ROUND($M595*IFERROR(IF(VLOOKUP($E595,Setup!$A$76:$C$87,3,FALSE)="",Setup!$B$15,VLOOKUP($E595,Setup!$A$76:$C$87,3,FALSE)),Setup!$B$15),2))</f>
        <v/>
      </c>
      <c r="P595" s="91" t="n"/>
      <c r="Q595" s="91" t="n"/>
      <c r="R595" s="91" t="n"/>
      <c r="S595" s="91" t="n"/>
      <c r="T595" s="91" t="n"/>
      <c r="U595" s="89">
        <f>IF($K595="","",SUM($R595:$T595))</f>
        <v/>
      </c>
      <c r="V595" s="89">
        <f>IF($K595="","",$M595-(N($N595)+N($O595)+IF($P595="",Setup!$B$17,$P595)+N($Q595))-N($U595))</f>
        <v/>
      </c>
      <c r="W595" s="86" t="n"/>
      <c r="X595" s="87" t="n"/>
      <c r="Z595" s="92">
        <f>IF($A595="","",DATE(YEAR($A595),MONTH($A595),1))</f>
        <v/>
      </c>
    </row>
    <row r="596">
      <c r="A596" s="93" t="n"/>
      <c r="B596" s="94" t="n"/>
      <c r="C596" s="94" t="n"/>
      <c r="D596" s="95" t="n"/>
      <c r="E596" s="95" t="n"/>
      <c r="F596" s="95" t="n"/>
      <c r="G596" s="95" t="n"/>
      <c r="H596" s="96" t="n"/>
      <c r="I596" s="89">
        <f>IF($G596="","",IF($F596="",IFERROR(INDEX(Setup!$C$21:$C$60,MATCH("|"&amp;UPPER(TRIM($G596)),Setup!$Q$21:$Q$60,0)),"NO RATE"),IFERROR(INDEX(Setup!$C$21:$C$60,MATCH(UPPER(TRIM($F596))&amp;"|"&amp;UPPER(TRIM($G596)),Setup!$P$21:$P$60,0)),IFERROR(INDEX(Setup!$C$21:$C$60,MATCH(UPPER(TRIM($G596))&amp;"|"&amp;UPPER(TRIM($F596)),Setup!$P$21:$P$60,0)),"NO RATE"))))</f>
        <v/>
      </c>
      <c r="J596" s="97" t="n"/>
      <c r="K596" s="89">
        <f>IF(OR($G596="",$H596="",NOT(ISNUMBER($I596))),"",ROUND($H596*$I596*(1+IF($J596="",Setup!$B$16,$J596)),2))</f>
        <v/>
      </c>
      <c r="L596" s="89">
        <f>IF($K596="","",ROUND($K596*Setup!$B$13,2))</f>
        <v/>
      </c>
      <c r="M596" s="89">
        <f>IF($K596="","",$K596-$L596)</f>
        <v/>
      </c>
      <c r="N596" s="89">
        <f>IF(OR($M596="",$D596=""),"",ROUND($M596*IFERROR(IF(VLOOKUP($D596,Setup!$A$76:$C$87,3,FALSE)="",Setup!$B$14,VLOOKUP($D596,Setup!$A$76:$C$87,3,FALSE)),Setup!$B$14),2))</f>
        <v/>
      </c>
      <c r="O596" s="89">
        <f>IF(OR($M596="",$E596=""),"",ROUND($M596*IFERROR(IF(VLOOKUP($E596,Setup!$A$76:$C$87,3,FALSE)="",Setup!$B$15,VLOOKUP($E596,Setup!$A$76:$C$87,3,FALSE)),Setup!$B$15),2))</f>
        <v/>
      </c>
      <c r="P596" s="98" t="n"/>
      <c r="Q596" s="98" t="n"/>
      <c r="R596" s="98" t="n"/>
      <c r="S596" s="98" t="n"/>
      <c r="T596" s="98" t="n"/>
      <c r="U596" s="89">
        <f>IF($K596="","",SUM($R596:$T596))</f>
        <v/>
      </c>
      <c r="V596" s="89">
        <f>IF($K596="","",$M596-(N($N596)+N($O596)+IF($P596="",Setup!$B$17,$P596)+N($Q596))-N($U596))</f>
        <v/>
      </c>
      <c r="W596" s="94" t="n"/>
      <c r="X596" s="95" t="n"/>
      <c r="Z596" s="92">
        <f>IF($A596="","",DATE(YEAR($A596),MONTH($A596),1))</f>
        <v/>
      </c>
    </row>
    <row r="597">
      <c r="A597" s="85" t="n"/>
      <c r="B597" s="86" t="n"/>
      <c r="C597" s="86" t="n"/>
      <c r="D597" s="87" t="n"/>
      <c r="E597" s="87" t="n"/>
      <c r="F597" s="87" t="n"/>
      <c r="G597" s="87" t="n"/>
      <c r="H597" s="88" t="n"/>
      <c r="I597" s="89">
        <f>IF($G597="","",IF($F597="",IFERROR(INDEX(Setup!$C$21:$C$60,MATCH("|"&amp;UPPER(TRIM($G597)),Setup!$Q$21:$Q$60,0)),"NO RATE"),IFERROR(INDEX(Setup!$C$21:$C$60,MATCH(UPPER(TRIM($F597))&amp;"|"&amp;UPPER(TRIM($G597)),Setup!$P$21:$P$60,0)),IFERROR(INDEX(Setup!$C$21:$C$60,MATCH(UPPER(TRIM($G597))&amp;"|"&amp;UPPER(TRIM($F597)),Setup!$P$21:$P$60,0)),"NO RATE"))))</f>
        <v/>
      </c>
      <c r="J597" s="90" t="n"/>
      <c r="K597" s="89">
        <f>IF(OR($G597="",$H597="",NOT(ISNUMBER($I597))),"",ROUND($H597*$I597*(1+IF($J597="",Setup!$B$16,$J597)),2))</f>
        <v/>
      </c>
      <c r="L597" s="89">
        <f>IF($K597="","",ROUND($K597*Setup!$B$13,2))</f>
        <v/>
      </c>
      <c r="M597" s="89">
        <f>IF($K597="","",$K597-$L597)</f>
        <v/>
      </c>
      <c r="N597" s="89">
        <f>IF(OR($M597="",$D597=""),"",ROUND($M597*IFERROR(IF(VLOOKUP($D597,Setup!$A$76:$C$87,3,FALSE)="",Setup!$B$14,VLOOKUP($D597,Setup!$A$76:$C$87,3,FALSE)),Setup!$B$14),2))</f>
        <v/>
      </c>
      <c r="O597" s="89">
        <f>IF(OR($M597="",$E597=""),"",ROUND($M597*IFERROR(IF(VLOOKUP($E597,Setup!$A$76:$C$87,3,FALSE)="",Setup!$B$15,VLOOKUP($E597,Setup!$A$76:$C$87,3,FALSE)),Setup!$B$15),2))</f>
        <v/>
      </c>
      <c r="P597" s="91" t="n"/>
      <c r="Q597" s="91" t="n"/>
      <c r="R597" s="91" t="n"/>
      <c r="S597" s="91" t="n"/>
      <c r="T597" s="91" t="n"/>
      <c r="U597" s="89">
        <f>IF($K597="","",SUM($R597:$T597))</f>
        <v/>
      </c>
      <c r="V597" s="89">
        <f>IF($K597="","",$M597-(N($N597)+N($O597)+IF($P597="",Setup!$B$17,$P597)+N($Q597))-N($U597))</f>
        <v/>
      </c>
      <c r="W597" s="86" t="n"/>
      <c r="X597" s="87" t="n"/>
      <c r="Z597" s="92">
        <f>IF($A597="","",DATE(YEAR($A597),MONTH($A597),1))</f>
        <v/>
      </c>
    </row>
    <row r="598">
      <c r="A598" s="93" t="n"/>
      <c r="B598" s="94" t="n"/>
      <c r="C598" s="94" t="n"/>
      <c r="D598" s="95" t="n"/>
      <c r="E598" s="95" t="n"/>
      <c r="F598" s="95" t="n"/>
      <c r="G598" s="95" t="n"/>
      <c r="H598" s="96" t="n"/>
      <c r="I598" s="89">
        <f>IF($G598="","",IF($F598="",IFERROR(INDEX(Setup!$C$21:$C$60,MATCH("|"&amp;UPPER(TRIM($G598)),Setup!$Q$21:$Q$60,0)),"NO RATE"),IFERROR(INDEX(Setup!$C$21:$C$60,MATCH(UPPER(TRIM($F598))&amp;"|"&amp;UPPER(TRIM($G598)),Setup!$P$21:$P$60,0)),IFERROR(INDEX(Setup!$C$21:$C$60,MATCH(UPPER(TRIM($G598))&amp;"|"&amp;UPPER(TRIM($F598)),Setup!$P$21:$P$60,0)),"NO RATE"))))</f>
        <v/>
      </c>
      <c r="J598" s="97" t="n"/>
      <c r="K598" s="89">
        <f>IF(OR($G598="",$H598="",NOT(ISNUMBER($I598))),"",ROUND($H598*$I598*(1+IF($J598="",Setup!$B$16,$J598)),2))</f>
        <v/>
      </c>
      <c r="L598" s="89">
        <f>IF($K598="","",ROUND($K598*Setup!$B$13,2))</f>
        <v/>
      </c>
      <c r="M598" s="89">
        <f>IF($K598="","",$K598-$L598)</f>
        <v/>
      </c>
      <c r="N598" s="89">
        <f>IF(OR($M598="",$D598=""),"",ROUND($M598*IFERROR(IF(VLOOKUP($D598,Setup!$A$76:$C$87,3,FALSE)="",Setup!$B$14,VLOOKUP($D598,Setup!$A$76:$C$87,3,FALSE)),Setup!$B$14),2))</f>
        <v/>
      </c>
      <c r="O598" s="89">
        <f>IF(OR($M598="",$E598=""),"",ROUND($M598*IFERROR(IF(VLOOKUP($E598,Setup!$A$76:$C$87,3,FALSE)="",Setup!$B$15,VLOOKUP($E598,Setup!$A$76:$C$87,3,FALSE)),Setup!$B$15),2))</f>
        <v/>
      </c>
      <c r="P598" s="98" t="n"/>
      <c r="Q598" s="98" t="n"/>
      <c r="R598" s="98" t="n"/>
      <c r="S598" s="98" t="n"/>
      <c r="T598" s="98" t="n"/>
      <c r="U598" s="89">
        <f>IF($K598="","",SUM($R598:$T598))</f>
        <v/>
      </c>
      <c r="V598" s="89">
        <f>IF($K598="","",$M598-(N($N598)+N($O598)+IF($P598="",Setup!$B$17,$P598)+N($Q598))-N($U598))</f>
        <v/>
      </c>
      <c r="W598" s="94" t="n"/>
      <c r="X598" s="95" t="n"/>
      <c r="Z598" s="92">
        <f>IF($A598="","",DATE(YEAR($A598),MONTH($A598),1))</f>
        <v/>
      </c>
    </row>
    <row r="599">
      <c r="A599" s="85" t="n"/>
      <c r="B599" s="86" t="n"/>
      <c r="C599" s="86" t="n"/>
      <c r="D599" s="87" t="n"/>
      <c r="E599" s="87" t="n"/>
      <c r="F599" s="87" t="n"/>
      <c r="G599" s="87" t="n"/>
      <c r="H599" s="88" t="n"/>
      <c r="I599" s="89">
        <f>IF($G599="","",IF($F599="",IFERROR(INDEX(Setup!$C$21:$C$60,MATCH("|"&amp;UPPER(TRIM($G599)),Setup!$Q$21:$Q$60,0)),"NO RATE"),IFERROR(INDEX(Setup!$C$21:$C$60,MATCH(UPPER(TRIM($F599))&amp;"|"&amp;UPPER(TRIM($G599)),Setup!$P$21:$P$60,0)),IFERROR(INDEX(Setup!$C$21:$C$60,MATCH(UPPER(TRIM($G599))&amp;"|"&amp;UPPER(TRIM($F599)),Setup!$P$21:$P$60,0)),"NO RATE"))))</f>
        <v/>
      </c>
      <c r="J599" s="90" t="n"/>
      <c r="K599" s="89">
        <f>IF(OR($G599="",$H599="",NOT(ISNUMBER($I599))),"",ROUND($H599*$I599*(1+IF($J599="",Setup!$B$16,$J599)),2))</f>
        <v/>
      </c>
      <c r="L599" s="89">
        <f>IF($K599="","",ROUND($K599*Setup!$B$13,2))</f>
        <v/>
      </c>
      <c r="M599" s="89">
        <f>IF($K599="","",$K599-$L599)</f>
        <v/>
      </c>
      <c r="N599" s="89">
        <f>IF(OR($M599="",$D599=""),"",ROUND($M599*IFERROR(IF(VLOOKUP($D599,Setup!$A$76:$C$87,3,FALSE)="",Setup!$B$14,VLOOKUP($D599,Setup!$A$76:$C$87,3,FALSE)),Setup!$B$14),2))</f>
        <v/>
      </c>
      <c r="O599" s="89">
        <f>IF(OR($M599="",$E599=""),"",ROUND($M599*IFERROR(IF(VLOOKUP($E599,Setup!$A$76:$C$87,3,FALSE)="",Setup!$B$15,VLOOKUP($E599,Setup!$A$76:$C$87,3,FALSE)),Setup!$B$15),2))</f>
        <v/>
      </c>
      <c r="P599" s="91" t="n"/>
      <c r="Q599" s="91" t="n"/>
      <c r="R599" s="91" t="n"/>
      <c r="S599" s="91" t="n"/>
      <c r="T599" s="91" t="n"/>
      <c r="U599" s="89">
        <f>IF($K599="","",SUM($R599:$T599))</f>
        <v/>
      </c>
      <c r="V599" s="89">
        <f>IF($K599="","",$M599-(N($N599)+N($O599)+IF($P599="",Setup!$B$17,$P599)+N($Q599))-N($U599))</f>
        <v/>
      </c>
      <c r="W599" s="86" t="n"/>
      <c r="X599" s="87" t="n"/>
      <c r="Z599" s="92">
        <f>IF($A599="","",DATE(YEAR($A599),MONTH($A599),1))</f>
        <v/>
      </c>
    </row>
    <row r="600">
      <c r="A600" s="93" t="n"/>
      <c r="B600" s="94" t="n"/>
      <c r="C600" s="94" t="n"/>
      <c r="D600" s="95" t="n"/>
      <c r="E600" s="95" t="n"/>
      <c r="F600" s="95" t="n"/>
      <c r="G600" s="95" t="n"/>
      <c r="H600" s="96" t="n"/>
      <c r="I600" s="89">
        <f>IF($G600="","",IF($F600="",IFERROR(INDEX(Setup!$C$21:$C$60,MATCH("|"&amp;UPPER(TRIM($G600)),Setup!$Q$21:$Q$60,0)),"NO RATE"),IFERROR(INDEX(Setup!$C$21:$C$60,MATCH(UPPER(TRIM($F600))&amp;"|"&amp;UPPER(TRIM($G600)),Setup!$P$21:$P$60,0)),IFERROR(INDEX(Setup!$C$21:$C$60,MATCH(UPPER(TRIM($G600))&amp;"|"&amp;UPPER(TRIM($F600)),Setup!$P$21:$P$60,0)),"NO RATE"))))</f>
        <v/>
      </c>
      <c r="J600" s="97" t="n"/>
      <c r="K600" s="89">
        <f>IF(OR($G600="",$H600="",NOT(ISNUMBER($I600))),"",ROUND($H600*$I600*(1+IF($J600="",Setup!$B$16,$J600)),2))</f>
        <v/>
      </c>
      <c r="L600" s="89">
        <f>IF($K600="","",ROUND($K600*Setup!$B$13,2))</f>
        <v/>
      </c>
      <c r="M600" s="89">
        <f>IF($K600="","",$K600-$L600)</f>
        <v/>
      </c>
      <c r="N600" s="89">
        <f>IF(OR($M600="",$D600=""),"",ROUND($M600*IFERROR(IF(VLOOKUP($D600,Setup!$A$76:$C$87,3,FALSE)="",Setup!$B$14,VLOOKUP($D600,Setup!$A$76:$C$87,3,FALSE)),Setup!$B$14),2))</f>
        <v/>
      </c>
      <c r="O600" s="89">
        <f>IF(OR($M600="",$E600=""),"",ROUND($M600*IFERROR(IF(VLOOKUP($E600,Setup!$A$76:$C$87,3,FALSE)="",Setup!$B$15,VLOOKUP($E600,Setup!$A$76:$C$87,3,FALSE)),Setup!$B$15),2))</f>
        <v/>
      </c>
      <c r="P600" s="98" t="n"/>
      <c r="Q600" s="98" t="n"/>
      <c r="R600" s="98" t="n"/>
      <c r="S600" s="98" t="n"/>
      <c r="T600" s="98" t="n"/>
      <c r="U600" s="89">
        <f>IF($K600="","",SUM($R600:$T600))</f>
        <v/>
      </c>
      <c r="V600" s="89">
        <f>IF($K600="","",$M600-(N($N600)+N($O600)+IF($P600="",Setup!$B$17,$P600)+N($Q600))-N($U600))</f>
        <v/>
      </c>
      <c r="W600" s="94" t="n"/>
      <c r="X600" s="95" t="n"/>
      <c r="Z600" s="92">
        <f>IF($A600="","",DATE(YEAR($A600),MONTH($A600),1))</f>
        <v/>
      </c>
    </row>
    <row r="601">
      <c r="A601" s="85" t="n"/>
      <c r="B601" s="86" t="n"/>
      <c r="C601" s="86" t="n"/>
      <c r="D601" s="87" t="n"/>
      <c r="E601" s="87" t="n"/>
      <c r="F601" s="87" t="n"/>
      <c r="G601" s="87" t="n"/>
      <c r="H601" s="88" t="n"/>
      <c r="I601" s="89">
        <f>IF($G601="","",IF($F601="",IFERROR(INDEX(Setup!$C$21:$C$60,MATCH("|"&amp;UPPER(TRIM($G601)),Setup!$Q$21:$Q$60,0)),"NO RATE"),IFERROR(INDEX(Setup!$C$21:$C$60,MATCH(UPPER(TRIM($F601))&amp;"|"&amp;UPPER(TRIM($G601)),Setup!$P$21:$P$60,0)),IFERROR(INDEX(Setup!$C$21:$C$60,MATCH(UPPER(TRIM($G601))&amp;"|"&amp;UPPER(TRIM($F601)),Setup!$P$21:$P$60,0)),"NO RATE"))))</f>
        <v/>
      </c>
      <c r="J601" s="90" t="n"/>
      <c r="K601" s="89">
        <f>IF(OR($G601="",$H601="",NOT(ISNUMBER($I601))),"",ROUND($H601*$I601*(1+IF($J601="",Setup!$B$16,$J601)),2))</f>
        <v/>
      </c>
      <c r="L601" s="89">
        <f>IF($K601="","",ROUND($K601*Setup!$B$13,2))</f>
        <v/>
      </c>
      <c r="M601" s="89">
        <f>IF($K601="","",$K601-$L601)</f>
        <v/>
      </c>
      <c r="N601" s="89">
        <f>IF(OR($M601="",$D601=""),"",ROUND($M601*IFERROR(IF(VLOOKUP($D601,Setup!$A$76:$C$87,3,FALSE)="",Setup!$B$14,VLOOKUP($D601,Setup!$A$76:$C$87,3,FALSE)),Setup!$B$14),2))</f>
        <v/>
      </c>
      <c r="O601" s="89">
        <f>IF(OR($M601="",$E601=""),"",ROUND($M601*IFERROR(IF(VLOOKUP($E601,Setup!$A$76:$C$87,3,FALSE)="",Setup!$B$15,VLOOKUP($E601,Setup!$A$76:$C$87,3,FALSE)),Setup!$B$15),2))</f>
        <v/>
      </c>
      <c r="P601" s="91" t="n"/>
      <c r="Q601" s="91" t="n"/>
      <c r="R601" s="91" t="n"/>
      <c r="S601" s="91" t="n"/>
      <c r="T601" s="91" t="n"/>
      <c r="U601" s="89">
        <f>IF($K601="","",SUM($R601:$T601))</f>
        <v/>
      </c>
      <c r="V601" s="89">
        <f>IF($K601="","",$M601-(N($N601)+N($O601)+IF($P601="",Setup!$B$17,$P601)+N($Q601))-N($U601))</f>
        <v/>
      </c>
      <c r="W601" s="86" t="n"/>
      <c r="X601" s="87" t="n"/>
      <c r="Z601" s="92">
        <f>IF($A601="","",DATE(YEAR($A601),MONTH($A601),1))</f>
        <v/>
      </c>
    </row>
    <row r="602">
      <c r="A602" s="93" t="n"/>
      <c r="B602" s="94" t="n"/>
      <c r="C602" s="94" t="n"/>
      <c r="D602" s="95" t="n"/>
      <c r="E602" s="95" t="n"/>
      <c r="F602" s="95" t="n"/>
      <c r="G602" s="95" t="n"/>
      <c r="H602" s="96" t="n"/>
      <c r="I602" s="89">
        <f>IF($G602="","",IF($F602="",IFERROR(INDEX(Setup!$C$21:$C$60,MATCH("|"&amp;UPPER(TRIM($G602)),Setup!$Q$21:$Q$60,0)),"NO RATE"),IFERROR(INDEX(Setup!$C$21:$C$60,MATCH(UPPER(TRIM($F602))&amp;"|"&amp;UPPER(TRIM($G602)),Setup!$P$21:$P$60,0)),IFERROR(INDEX(Setup!$C$21:$C$60,MATCH(UPPER(TRIM($G602))&amp;"|"&amp;UPPER(TRIM($F602)),Setup!$P$21:$P$60,0)),"NO RATE"))))</f>
        <v/>
      </c>
      <c r="J602" s="97" t="n"/>
      <c r="K602" s="89">
        <f>IF(OR($G602="",$H602="",NOT(ISNUMBER($I602))),"",ROUND($H602*$I602*(1+IF($J602="",Setup!$B$16,$J602)),2))</f>
        <v/>
      </c>
      <c r="L602" s="89">
        <f>IF($K602="","",ROUND($K602*Setup!$B$13,2))</f>
        <v/>
      </c>
      <c r="M602" s="89">
        <f>IF($K602="","",$K602-$L602)</f>
        <v/>
      </c>
      <c r="N602" s="89">
        <f>IF(OR($M602="",$D602=""),"",ROUND($M602*IFERROR(IF(VLOOKUP($D602,Setup!$A$76:$C$87,3,FALSE)="",Setup!$B$14,VLOOKUP($D602,Setup!$A$76:$C$87,3,FALSE)),Setup!$B$14),2))</f>
        <v/>
      </c>
      <c r="O602" s="89">
        <f>IF(OR($M602="",$E602=""),"",ROUND($M602*IFERROR(IF(VLOOKUP($E602,Setup!$A$76:$C$87,3,FALSE)="",Setup!$B$15,VLOOKUP($E602,Setup!$A$76:$C$87,3,FALSE)),Setup!$B$15),2))</f>
        <v/>
      </c>
      <c r="P602" s="98" t="n"/>
      <c r="Q602" s="98" t="n"/>
      <c r="R602" s="98" t="n"/>
      <c r="S602" s="98" t="n"/>
      <c r="T602" s="98" t="n"/>
      <c r="U602" s="89">
        <f>IF($K602="","",SUM($R602:$T602))</f>
        <v/>
      </c>
      <c r="V602" s="89">
        <f>IF($K602="","",$M602-(N($N602)+N($O602)+IF($P602="",Setup!$B$17,$P602)+N($Q602))-N($U602))</f>
        <v/>
      </c>
      <c r="W602" s="94" t="n"/>
      <c r="X602" s="95" t="n"/>
      <c r="Z602" s="92">
        <f>IF($A602="","",DATE(YEAR($A602),MONTH($A602),1))</f>
        <v/>
      </c>
    </row>
    <row r="603">
      <c r="A603" s="85" t="n"/>
      <c r="B603" s="86" t="n"/>
      <c r="C603" s="86" t="n"/>
      <c r="D603" s="87" t="n"/>
      <c r="E603" s="87" t="n"/>
      <c r="F603" s="87" t="n"/>
      <c r="G603" s="87" t="n"/>
      <c r="H603" s="88" t="n"/>
      <c r="I603" s="89">
        <f>IF($G603="","",IF($F603="",IFERROR(INDEX(Setup!$C$21:$C$60,MATCH("|"&amp;UPPER(TRIM($G603)),Setup!$Q$21:$Q$60,0)),"NO RATE"),IFERROR(INDEX(Setup!$C$21:$C$60,MATCH(UPPER(TRIM($F603))&amp;"|"&amp;UPPER(TRIM($G603)),Setup!$P$21:$P$60,0)),IFERROR(INDEX(Setup!$C$21:$C$60,MATCH(UPPER(TRIM($G603))&amp;"|"&amp;UPPER(TRIM($F603)),Setup!$P$21:$P$60,0)),"NO RATE"))))</f>
        <v/>
      </c>
      <c r="J603" s="90" t="n"/>
      <c r="K603" s="89">
        <f>IF(OR($G603="",$H603="",NOT(ISNUMBER($I603))),"",ROUND($H603*$I603*(1+IF($J603="",Setup!$B$16,$J603)),2))</f>
        <v/>
      </c>
      <c r="L603" s="89">
        <f>IF($K603="","",ROUND($K603*Setup!$B$13,2))</f>
        <v/>
      </c>
      <c r="M603" s="89">
        <f>IF($K603="","",$K603-$L603)</f>
        <v/>
      </c>
      <c r="N603" s="89">
        <f>IF(OR($M603="",$D603=""),"",ROUND($M603*IFERROR(IF(VLOOKUP($D603,Setup!$A$76:$C$87,3,FALSE)="",Setup!$B$14,VLOOKUP($D603,Setup!$A$76:$C$87,3,FALSE)),Setup!$B$14),2))</f>
        <v/>
      </c>
      <c r="O603" s="89">
        <f>IF(OR($M603="",$E603=""),"",ROUND($M603*IFERROR(IF(VLOOKUP($E603,Setup!$A$76:$C$87,3,FALSE)="",Setup!$B$15,VLOOKUP($E603,Setup!$A$76:$C$87,3,FALSE)),Setup!$B$15),2))</f>
        <v/>
      </c>
      <c r="P603" s="91" t="n"/>
      <c r="Q603" s="91" t="n"/>
      <c r="R603" s="91" t="n"/>
      <c r="S603" s="91" t="n"/>
      <c r="T603" s="91" t="n"/>
      <c r="U603" s="89">
        <f>IF($K603="","",SUM($R603:$T603))</f>
        <v/>
      </c>
      <c r="V603" s="89">
        <f>IF($K603="","",$M603-(N($N603)+N($O603)+IF($P603="",Setup!$B$17,$P603)+N($Q603))-N($U603))</f>
        <v/>
      </c>
      <c r="W603" s="86" t="n"/>
      <c r="X603" s="87" t="n"/>
      <c r="Z603" s="92">
        <f>IF($A603="","",DATE(YEAR($A603),MONTH($A603),1))</f>
        <v/>
      </c>
    </row>
    <row r="604">
      <c r="A604" s="93" t="n"/>
      <c r="B604" s="94" t="n"/>
      <c r="C604" s="94" t="n"/>
      <c r="D604" s="95" t="n"/>
      <c r="E604" s="95" t="n"/>
      <c r="F604" s="95" t="n"/>
      <c r="G604" s="95" t="n"/>
      <c r="H604" s="96" t="n"/>
      <c r="I604" s="89">
        <f>IF($G604="","",IF($F604="",IFERROR(INDEX(Setup!$C$21:$C$60,MATCH("|"&amp;UPPER(TRIM($G604)),Setup!$Q$21:$Q$60,0)),"NO RATE"),IFERROR(INDEX(Setup!$C$21:$C$60,MATCH(UPPER(TRIM($F604))&amp;"|"&amp;UPPER(TRIM($G604)),Setup!$P$21:$P$60,0)),IFERROR(INDEX(Setup!$C$21:$C$60,MATCH(UPPER(TRIM($G604))&amp;"|"&amp;UPPER(TRIM($F604)),Setup!$P$21:$P$60,0)),"NO RATE"))))</f>
        <v/>
      </c>
      <c r="J604" s="97" t="n"/>
      <c r="K604" s="89">
        <f>IF(OR($G604="",$H604="",NOT(ISNUMBER($I604))),"",ROUND($H604*$I604*(1+IF($J604="",Setup!$B$16,$J604)),2))</f>
        <v/>
      </c>
      <c r="L604" s="89">
        <f>IF($K604="","",ROUND($K604*Setup!$B$13,2))</f>
        <v/>
      </c>
      <c r="M604" s="89">
        <f>IF($K604="","",$K604-$L604)</f>
        <v/>
      </c>
      <c r="N604" s="89">
        <f>IF(OR($M604="",$D604=""),"",ROUND($M604*IFERROR(IF(VLOOKUP($D604,Setup!$A$76:$C$87,3,FALSE)="",Setup!$B$14,VLOOKUP($D604,Setup!$A$76:$C$87,3,FALSE)),Setup!$B$14),2))</f>
        <v/>
      </c>
      <c r="O604" s="89">
        <f>IF(OR($M604="",$E604=""),"",ROUND($M604*IFERROR(IF(VLOOKUP($E604,Setup!$A$76:$C$87,3,FALSE)="",Setup!$B$15,VLOOKUP($E604,Setup!$A$76:$C$87,3,FALSE)),Setup!$B$15),2))</f>
        <v/>
      </c>
      <c r="P604" s="98" t="n"/>
      <c r="Q604" s="98" t="n"/>
      <c r="R604" s="98" t="n"/>
      <c r="S604" s="98" t="n"/>
      <c r="T604" s="98" t="n"/>
      <c r="U604" s="89">
        <f>IF($K604="","",SUM($R604:$T604))</f>
        <v/>
      </c>
      <c r="V604" s="89">
        <f>IF($K604="","",$M604-(N($N604)+N($O604)+IF($P604="",Setup!$B$17,$P604)+N($Q604))-N($U604))</f>
        <v/>
      </c>
      <c r="W604" s="94" t="n"/>
      <c r="X604" s="95" t="n"/>
      <c r="Z604" s="92">
        <f>IF($A604="","",DATE(YEAR($A604),MONTH($A604),1))</f>
        <v/>
      </c>
    </row>
    <row r="605">
      <c r="A605" s="85" t="n"/>
      <c r="B605" s="86" t="n"/>
      <c r="C605" s="86" t="n"/>
      <c r="D605" s="87" t="n"/>
      <c r="E605" s="87" t="n"/>
      <c r="F605" s="87" t="n"/>
      <c r="G605" s="87" t="n"/>
      <c r="H605" s="88" t="n"/>
      <c r="I605" s="89">
        <f>IF($G605="","",IF($F605="",IFERROR(INDEX(Setup!$C$21:$C$60,MATCH("|"&amp;UPPER(TRIM($G605)),Setup!$Q$21:$Q$60,0)),"NO RATE"),IFERROR(INDEX(Setup!$C$21:$C$60,MATCH(UPPER(TRIM($F605))&amp;"|"&amp;UPPER(TRIM($G605)),Setup!$P$21:$P$60,0)),IFERROR(INDEX(Setup!$C$21:$C$60,MATCH(UPPER(TRIM($G605))&amp;"|"&amp;UPPER(TRIM($F605)),Setup!$P$21:$P$60,0)),"NO RATE"))))</f>
        <v/>
      </c>
      <c r="J605" s="90" t="n"/>
      <c r="K605" s="89">
        <f>IF(OR($G605="",$H605="",NOT(ISNUMBER($I605))),"",ROUND($H605*$I605*(1+IF($J605="",Setup!$B$16,$J605)),2))</f>
        <v/>
      </c>
      <c r="L605" s="89">
        <f>IF($K605="","",ROUND($K605*Setup!$B$13,2))</f>
        <v/>
      </c>
      <c r="M605" s="89">
        <f>IF($K605="","",$K605-$L605)</f>
        <v/>
      </c>
      <c r="N605" s="89">
        <f>IF(OR($M605="",$D605=""),"",ROUND($M605*IFERROR(IF(VLOOKUP($D605,Setup!$A$76:$C$87,3,FALSE)="",Setup!$B$14,VLOOKUP($D605,Setup!$A$76:$C$87,3,FALSE)),Setup!$B$14),2))</f>
        <v/>
      </c>
      <c r="O605" s="89">
        <f>IF(OR($M605="",$E605=""),"",ROUND($M605*IFERROR(IF(VLOOKUP($E605,Setup!$A$76:$C$87,3,FALSE)="",Setup!$B$15,VLOOKUP($E605,Setup!$A$76:$C$87,3,FALSE)),Setup!$B$15),2))</f>
        <v/>
      </c>
      <c r="P605" s="91" t="n"/>
      <c r="Q605" s="91" t="n"/>
      <c r="R605" s="91" t="n"/>
      <c r="S605" s="91" t="n"/>
      <c r="T605" s="91" t="n"/>
      <c r="U605" s="89">
        <f>IF($K605="","",SUM($R605:$T605))</f>
        <v/>
      </c>
      <c r="V605" s="89">
        <f>IF($K605="","",$M605-(N($N605)+N($O605)+IF($P605="",Setup!$B$17,$P605)+N($Q605))-N($U605))</f>
        <v/>
      </c>
      <c r="W605" s="86" t="n"/>
      <c r="X605" s="87" t="n"/>
      <c r="Z605" s="92">
        <f>IF($A605="","",DATE(YEAR($A605),MONTH($A605),1))</f>
        <v/>
      </c>
    </row>
    <row r="606">
      <c r="A606" s="93" t="n"/>
      <c r="B606" s="94" t="n"/>
      <c r="C606" s="94" t="n"/>
      <c r="D606" s="95" t="n"/>
      <c r="E606" s="95" t="n"/>
      <c r="F606" s="95" t="n"/>
      <c r="G606" s="95" t="n"/>
      <c r="H606" s="96" t="n"/>
      <c r="I606" s="89">
        <f>IF($G606="","",IF($F606="",IFERROR(INDEX(Setup!$C$21:$C$60,MATCH("|"&amp;UPPER(TRIM($G606)),Setup!$Q$21:$Q$60,0)),"NO RATE"),IFERROR(INDEX(Setup!$C$21:$C$60,MATCH(UPPER(TRIM($F606))&amp;"|"&amp;UPPER(TRIM($G606)),Setup!$P$21:$P$60,0)),IFERROR(INDEX(Setup!$C$21:$C$60,MATCH(UPPER(TRIM($G606))&amp;"|"&amp;UPPER(TRIM($F606)),Setup!$P$21:$P$60,0)),"NO RATE"))))</f>
        <v/>
      </c>
      <c r="J606" s="97" t="n"/>
      <c r="K606" s="89">
        <f>IF(OR($G606="",$H606="",NOT(ISNUMBER($I606))),"",ROUND($H606*$I606*(1+IF($J606="",Setup!$B$16,$J606)),2))</f>
        <v/>
      </c>
      <c r="L606" s="89">
        <f>IF($K606="","",ROUND($K606*Setup!$B$13,2))</f>
        <v/>
      </c>
      <c r="M606" s="89">
        <f>IF($K606="","",$K606-$L606)</f>
        <v/>
      </c>
      <c r="N606" s="89">
        <f>IF(OR($M606="",$D606=""),"",ROUND($M606*IFERROR(IF(VLOOKUP($D606,Setup!$A$76:$C$87,3,FALSE)="",Setup!$B$14,VLOOKUP($D606,Setup!$A$76:$C$87,3,FALSE)),Setup!$B$14),2))</f>
        <v/>
      </c>
      <c r="O606" s="89">
        <f>IF(OR($M606="",$E606=""),"",ROUND($M606*IFERROR(IF(VLOOKUP($E606,Setup!$A$76:$C$87,3,FALSE)="",Setup!$B$15,VLOOKUP($E606,Setup!$A$76:$C$87,3,FALSE)),Setup!$B$15),2))</f>
        <v/>
      </c>
      <c r="P606" s="98" t="n"/>
      <c r="Q606" s="98" t="n"/>
      <c r="R606" s="98" t="n"/>
      <c r="S606" s="98" t="n"/>
      <c r="T606" s="98" t="n"/>
      <c r="U606" s="89">
        <f>IF($K606="","",SUM($R606:$T606))</f>
        <v/>
      </c>
      <c r="V606" s="89">
        <f>IF($K606="","",$M606-(N($N606)+N($O606)+IF($P606="",Setup!$B$17,$P606)+N($Q606))-N($U606))</f>
        <v/>
      </c>
      <c r="W606" s="94" t="n"/>
      <c r="X606" s="95" t="n"/>
      <c r="Z606" s="92">
        <f>IF($A606="","",DATE(YEAR($A606),MONTH($A606),1))</f>
        <v/>
      </c>
    </row>
    <row r="607">
      <c r="A607" s="85" t="n"/>
      <c r="B607" s="86" t="n"/>
      <c r="C607" s="86" t="n"/>
      <c r="D607" s="87" t="n"/>
      <c r="E607" s="87" t="n"/>
      <c r="F607" s="87" t="n"/>
      <c r="G607" s="87" t="n"/>
      <c r="H607" s="88" t="n"/>
      <c r="I607" s="89">
        <f>IF($G607="","",IF($F607="",IFERROR(INDEX(Setup!$C$21:$C$60,MATCH("|"&amp;UPPER(TRIM($G607)),Setup!$Q$21:$Q$60,0)),"NO RATE"),IFERROR(INDEX(Setup!$C$21:$C$60,MATCH(UPPER(TRIM($F607))&amp;"|"&amp;UPPER(TRIM($G607)),Setup!$P$21:$P$60,0)),IFERROR(INDEX(Setup!$C$21:$C$60,MATCH(UPPER(TRIM($G607))&amp;"|"&amp;UPPER(TRIM($F607)),Setup!$P$21:$P$60,0)),"NO RATE"))))</f>
        <v/>
      </c>
      <c r="J607" s="90" t="n"/>
      <c r="K607" s="89">
        <f>IF(OR($G607="",$H607="",NOT(ISNUMBER($I607))),"",ROUND($H607*$I607*(1+IF($J607="",Setup!$B$16,$J607)),2))</f>
        <v/>
      </c>
      <c r="L607" s="89">
        <f>IF($K607="","",ROUND($K607*Setup!$B$13,2))</f>
        <v/>
      </c>
      <c r="M607" s="89">
        <f>IF($K607="","",$K607-$L607)</f>
        <v/>
      </c>
      <c r="N607" s="89">
        <f>IF(OR($M607="",$D607=""),"",ROUND($M607*IFERROR(IF(VLOOKUP($D607,Setup!$A$76:$C$87,3,FALSE)="",Setup!$B$14,VLOOKUP($D607,Setup!$A$76:$C$87,3,FALSE)),Setup!$B$14),2))</f>
        <v/>
      </c>
      <c r="O607" s="89">
        <f>IF(OR($M607="",$E607=""),"",ROUND($M607*IFERROR(IF(VLOOKUP($E607,Setup!$A$76:$C$87,3,FALSE)="",Setup!$B$15,VLOOKUP($E607,Setup!$A$76:$C$87,3,FALSE)),Setup!$B$15),2))</f>
        <v/>
      </c>
      <c r="P607" s="91" t="n"/>
      <c r="Q607" s="91" t="n"/>
      <c r="R607" s="91" t="n"/>
      <c r="S607" s="91" t="n"/>
      <c r="T607" s="91" t="n"/>
      <c r="U607" s="89">
        <f>IF($K607="","",SUM($R607:$T607))</f>
        <v/>
      </c>
      <c r="V607" s="89">
        <f>IF($K607="","",$M607-(N($N607)+N($O607)+IF($P607="",Setup!$B$17,$P607)+N($Q607))-N($U607))</f>
        <v/>
      </c>
      <c r="W607" s="86" t="n"/>
      <c r="X607" s="87" t="n"/>
      <c r="Z607" s="92">
        <f>IF($A607="","",DATE(YEAR($A607),MONTH($A607),1))</f>
        <v/>
      </c>
    </row>
    <row r="608">
      <c r="A608" s="93" t="n"/>
      <c r="B608" s="94" t="n"/>
      <c r="C608" s="94" t="n"/>
      <c r="D608" s="95" t="n"/>
      <c r="E608" s="95" t="n"/>
      <c r="F608" s="95" t="n"/>
      <c r="G608" s="95" t="n"/>
      <c r="H608" s="96" t="n"/>
      <c r="I608" s="89">
        <f>IF($G608="","",IF($F608="",IFERROR(INDEX(Setup!$C$21:$C$60,MATCH("|"&amp;UPPER(TRIM($G608)),Setup!$Q$21:$Q$60,0)),"NO RATE"),IFERROR(INDEX(Setup!$C$21:$C$60,MATCH(UPPER(TRIM($F608))&amp;"|"&amp;UPPER(TRIM($G608)),Setup!$P$21:$P$60,0)),IFERROR(INDEX(Setup!$C$21:$C$60,MATCH(UPPER(TRIM($G608))&amp;"|"&amp;UPPER(TRIM($F608)),Setup!$P$21:$P$60,0)),"NO RATE"))))</f>
        <v/>
      </c>
      <c r="J608" s="97" t="n"/>
      <c r="K608" s="89">
        <f>IF(OR($G608="",$H608="",NOT(ISNUMBER($I608))),"",ROUND($H608*$I608*(1+IF($J608="",Setup!$B$16,$J608)),2))</f>
        <v/>
      </c>
      <c r="L608" s="89">
        <f>IF($K608="","",ROUND($K608*Setup!$B$13,2))</f>
        <v/>
      </c>
      <c r="M608" s="89">
        <f>IF($K608="","",$K608-$L608)</f>
        <v/>
      </c>
      <c r="N608" s="89">
        <f>IF(OR($M608="",$D608=""),"",ROUND($M608*IFERROR(IF(VLOOKUP($D608,Setup!$A$76:$C$87,3,FALSE)="",Setup!$B$14,VLOOKUP($D608,Setup!$A$76:$C$87,3,FALSE)),Setup!$B$14),2))</f>
        <v/>
      </c>
      <c r="O608" s="89">
        <f>IF(OR($M608="",$E608=""),"",ROUND($M608*IFERROR(IF(VLOOKUP($E608,Setup!$A$76:$C$87,3,FALSE)="",Setup!$B$15,VLOOKUP($E608,Setup!$A$76:$C$87,3,FALSE)),Setup!$B$15),2))</f>
        <v/>
      </c>
      <c r="P608" s="98" t="n"/>
      <c r="Q608" s="98" t="n"/>
      <c r="R608" s="98" t="n"/>
      <c r="S608" s="98" t="n"/>
      <c r="T608" s="98" t="n"/>
      <c r="U608" s="89">
        <f>IF($K608="","",SUM($R608:$T608))</f>
        <v/>
      </c>
      <c r="V608" s="89">
        <f>IF($K608="","",$M608-(N($N608)+N($O608)+IF($P608="",Setup!$B$17,$P608)+N($Q608))-N($U608))</f>
        <v/>
      </c>
      <c r="W608" s="94" t="n"/>
      <c r="X608" s="95" t="n"/>
      <c r="Z608" s="92">
        <f>IF($A608="","",DATE(YEAR($A608),MONTH($A608),1))</f>
        <v/>
      </c>
    </row>
    <row r="609">
      <c r="A609" s="85" t="n"/>
      <c r="B609" s="86" t="n"/>
      <c r="C609" s="86" t="n"/>
      <c r="D609" s="87" t="n"/>
      <c r="E609" s="87" t="n"/>
      <c r="F609" s="87" t="n"/>
      <c r="G609" s="87" t="n"/>
      <c r="H609" s="88" t="n"/>
      <c r="I609" s="89">
        <f>IF($G609="","",IF($F609="",IFERROR(INDEX(Setup!$C$21:$C$60,MATCH("|"&amp;UPPER(TRIM($G609)),Setup!$Q$21:$Q$60,0)),"NO RATE"),IFERROR(INDEX(Setup!$C$21:$C$60,MATCH(UPPER(TRIM($F609))&amp;"|"&amp;UPPER(TRIM($G609)),Setup!$P$21:$P$60,0)),IFERROR(INDEX(Setup!$C$21:$C$60,MATCH(UPPER(TRIM($G609))&amp;"|"&amp;UPPER(TRIM($F609)),Setup!$P$21:$P$60,0)),"NO RATE"))))</f>
        <v/>
      </c>
      <c r="J609" s="90" t="n"/>
      <c r="K609" s="89">
        <f>IF(OR($G609="",$H609="",NOT(ISNUMBER($I609))),"",ROUND($H609*$I609*(1+IF($J609="",Setup!$B$16,$J609)),2))</f>
        <v/>
      </c>
      <c r="L609" s="89">
        <f>IF($K609="","",ROUND($K609*Setup!$B$13,2))</f>
        <v/>
      </c>
      <c r="M609" s="89">
        <f>IF($K609="","",$K609-$L609)</f>
        <v/>
      </c>
      <c r="N609" s="89">
        <f>IF(OR($M609="",$D609=""),"",ROUND($M609*IFERROR(IF(VLOOKUP($D609,Setup!$A$76:$C$87,3,FALSE)="",Setup!$B$14,VLOOKUP($D609,Setup!$A$76:$C$87,3,FALSE)),Setup!$B$14),2))</f>
        <v/>
      </c>
      <c r="O609" s="89">
        <f>IF(OR($M609="",$E609=""),"",ROUND($M609*IFERROR(IF(VLOOKUP($E609,Setup!$A$76:$C$87,3,FALSE)="",Setup!$B$15,VLOOKUP($E609,Setup!$A$76:$C$87,3,FALSE)),Setup!$B$15),2))</f>
        <v/>
      </c>
      <c r="P609" s="91" t="n"/>
      <c r="Q609" s="91" t="n"/>
      <c r="R609" s="91" t="n"/>
      <c r="S609" s="91" t="n"/>
      <c r="T609" s="91" t="n"/>
      <c r="U609" s="89">
        <f>IF($K609="","",SUM($R609:$T609))</f>
        <v/>
      </c>
      <c r="V609" s="89">
        <f>IF($K609="","",$M609-(N($N609)+N($O609)+IF($P609="",Setup!$B$17,$P609)+N($Q609))-N($U609))</f>
        <v/>
      </c>
      <c r="W609" s="86" t="n"/>
      <c r="X609" s="87" t="n"/>
      <c r="Z609" s="92">
        <f>IF($A609="","",DATE(YEAR($A609),MONTH($A609),1))</f>
        <v/>
      </c>
    </row>
    <row r="610">
      <c r="A610" s="93" t="n"/>
      <c r="B610" s="94" t="n"/>
      <c r="C610" s="94" t="n"/>
      <c r="D610" s="95" t="n"/>
      <c r="E610" s="95" t="n"/>
      <c r="F610" s="95" t="n"/>
      <c r="G610" s="95" t="n"/>
      <c r="H610" s="96" t="n"/>
      <c r="I610" s="89">
        <f>IF($G610="","",IF($F610="",IFERROR(INDEX(Setup!$C$21:$C$60,MATCH("|"&amp;UPPER(TRIM($G610)),Setup!$Q$21:$Q$60,0)),"NO RATE"),IFERROR(INDEX(Setup!$C$21:$C$60,MATCH(UPPER(TRIM($F610))&amp;"|"&amp;UPPER(TRIM($G610)),Setup!$P$21:$P$60,0)),IFERROR(INDEX(Setup!$C$21:$C$60,MATCH(UPPER(TRIM($G610))&amp;"|"&amp;UPPER(TRIM($F610)),Setup!$P$21:$P$60,0)),"NO RATE"))))</f>
        <v/>
      </c>
      <c r="J610" s="97" t="n"/>
      <c r="K610" s="89">
        <f>IF(OR($G610="",$H610="",NOT(ISNUMBER($I610))),"",ROUND($H610*$I610*(1+IF($J610="",Setup!$B$16,$J610)),2))</f>
        <v/>
      </c>
      <c r="L610" s="89">
        <f>IF($K610="","",ROUND($K610*Setup!$B$13,2))</f>
        <v/>
      </c>
      <c r="M610" s="89">
        <f>IF($K610="","",$K610-$L610)</f>
        <v/>
      </c>
      <c r="N610" s="89">
        <f>IF(OR($M610="",$D610=""),"",ROUND($M610*IFERROR(IF(VLOOKUP($D610,Setup!$A$76:$C$87,3,FALSE)="",Setup!$B$14,VLOOKUP($D610,Setup!$A$76:$C$87,3,FALSE)),Setup!$B$14),2))</f>
        <v/>
      </c>
      <c r="O610" s="89">
        <f>IF(OR($M610="",$E610=""),"",ROUND($M610*IFERROR(IF(VLOOKUP($E610,Setup!$A$76:$C$87,3,FALSE)="",Setup!$B$15,VLOOKUP($E610,Setup!$A$76:$C$87,3,FALSE)),Setup!$B$15),2))</f>
        <v/>
      </c>
      <c r="P610" s="98" t="n"/>
      <c r="Q610" s="98" t="n"/>
      <c r="R610" s="98" t="n"/>
      <c r="S610" s="98" t="n"/>
      <c r="T610" s="98" t="n"/>
      <c r="U610" s="89">
        <f>IF($K610="","",SUM($R610:$T610))</f>
        <v/>
      </c>
      <c r="V610" s="89">
        <f>IF($K610="","",$M610-(N($N610)+N($O610)+IF($P610="",Setup!$B$17,$P610)+N($Q610))-N($U610))</f>
        <v/>
      </c>
      <c r="W610" s="94" t="n"/>
      <c r="X610" s="95" t="n"/>
      <c r="Z610" s="92">
        <f>IF($A610="","",DATE(YEAR($A610),MONTH($A610),1))</f>
        <v/>
      </c>
    </row>
    <row r="611">
      <c r="A611" s="85" t="n"/>
      <c r="B611" s="86" t="n"/>
      <c r="C611" s="86" t="n"/>
      <c r="D611" s="87" t="n"/>
      <c r="E611" s="87" t="n"/>
      <c r="F611" s="87" t="n"/>
      <c r="G611" s="87" t="n"/>
      <c r="H611" s="88" t="n"/>
      <c r="I611" s="89">
        <f>IF($G611="","",IF($F611="",IFERROR(INDEX(Setup!$C$21:$C$60,MATCH("|"&amp;UPPER(TRIM($G611)),Setup!$Q$21:$Q$60,0)),"NO RATE"),IFERROR(INDEX(Setup!$C$21:$C$60,MATCH(UPPER(TRIM($F611))&amp;"|"&amp;UPPER(TRIM($G611)),Setup!$P$21:$P$60,0)),IFERROR(INDEX(Setup!$C$21:$C$60,MATCH(UPPER(TRIM($G611))&amp;"|"&amp;UPPER(TRIM($F611)),Setup!$P$21:$P$60,0)),"NO RATE"))))</f>
        <v/>
      </c>
      <c r="J611" s="90" t="n"/>
      <c r="K611" s="89">
        <f>IF(OR($G611="",$H611="",NOT(ISNUMBER($I611))),"",ROUND($H611*$I611*(1+IF($J611="",Setup!$B$16,$J611)),2))</f>
        <v/>
      </c>
      <c r="L611" s="89">
        <f>IF($K611="","",ROUND($K611*Setup!$B$13,2))</f>
        <v/>
      </c>
      <c r="M611" s="89">
        <f>IF($K611="","",$K611-$L611)</f>
        <v/>
      </c>
      <c r="N611" s="89">
        <f>IF(OR($M611="",$D611=""),"",ROUND($M611*IFERROR(IF(VLOOKUP($D611,Setup!$A$76:$C$87,3,FALSE)="",Setup!$B$14,VLOOKUP($D611,Setup!$A$76:$C$87,3,FALSE)),Setup!$B$14),2))</f>
        <v/>
      </c>
      <c r="O611" s="89">
        <f>IF(OR($M611="",$E611=""),"",ROUND($M611*IFERROR(IF(VLOOKUP($E611,Setup!$A$76:$C$87,3,FALSE)="",Setup!$B$15,VLOOKUP($E611,Setup!$A$76:$C$87,3,FALSE)),Setup!$B$15),2))</f>
        <v/>
      </c>
      <c r="P611" s="91" t="n"/>
      <c r="Q611" s="91" t="n"/>
      <c r="R611" s="91" t="n"/>
      <c r="S611" s="91" t="n"/>
      <c r="T611" s="91" t="n"/>
      <c r="U611" s="89">
        <f>IF($K611="","",SUM($R611:$T611))</f>
        <v/>
      </c>
      <c r="V611" s="89">
        <f>IF($K611="","",$M611-(N($N611)+N($O611)+IF($P611="",Setup!$B$17,$P611)+N($Q611))-N($U611))</f>
        <v/>
      </c>
      <c r="W611" s="86" t="n"/>
      <c r="X611" s="87" t="n"/>
      <c r="Z611" s="92">
        <f>IF($A611="","",DATE(YEAR($A611),MONTH($A611),1))</f>
        <v/>
      </c>
    </row>
    <row r="612">
      <c r="A612" s="93" t="n"/>
      <c r="B612" s="94" t="n"/>
      <c r="C612" s="94" t="n"/>
      <c r="D612" s="95" t="n"/>
      <c r="E612" s="95" t="n"/>
      <c r="F612" s="95" t="n"/>
      <c r="G612" s="95" t="n"/>
      <c r="H612" s="96" t="n"/>
      <c r="I612" s="89">
        <f>IF($G612="","",IF($F612="",IFERROR(INDEX(Setup!$C$21:$C$60,MATCH("|"&amp;UPPER(TRIM($G612)),Setup!$Q$21:$Q$60,0)),"NO RATE"),IFERROR(INDEX(Setup!$C$21:$C$60,MATCH(UPPER(TRIM($F612))&amp;"|"&amp;UPPER(TRIM($G612)),Setup!$P$21:$P$60,0)),IFERROR(INDEX(Setup!$C$21:$C$60,MATCH(UPPER(TRIM($G612))&amp;"|"&amp;UPPER(TRIM($F612)),Setup!$P$21:$P$60,0)),"NO RATE"))))</f>
        <v/>
      </c>
      <c r="J612" s="97" t="n"/>
      <c r="K612" s="89">
        <f>IF(OR($G612="",$H612="",NOT(ISNUMBER($I612))),"",ROUND($H612*$I612*(1+IF($J612="",Setup!$B$16,$J612)),2))</f>
        <v/>
      </c>
      <c r="L612" s="89">
        <f>IF($K612="","",ROUND($K612*Setup!$B$13,2))</f>
        <v/>
      </c>
      <c r="M612" s="89">
        <f>IF($K612="","",$K612-$L612)</f>
        <v/>
      </c>
      <c r="N612" s="89">
        <f>IF(OR($M612="",$D612=""),"",ROUND($M612*IFERROR(IF(VLOOKUP($D612,Setup!$A$76:$C$87,3,FALSE)="",Setup!$B$14,VLOOKUP($D612,Setup!$A$76:$C$87,3,FALSE)),Setup!$B$14),2))</f>
        <v/>
      </c>
      <c r="O612" s="89">
        <f>IF(OR($M612="",$E612=""),"",ROUND($M612*IFERROR(IF(VLOOKUP($E612,Setup!$A$76:$C$87,3,FALSE)="",Setup!$B$15,VLOOKUP($E612,Setup!$A$76:$C$87,3,FALSE)),Setup!$B$15),2))</f>
        <v/>
      </c>
      <c r="P612" s="98" t="n"/>
      <c r="Q612" s="98" t="n"/>
      <c r="R612" s="98" t="n"/>
      <c r="S612" s="98" t="n"/>
      <c r="T612" s="98" t="n"/>
      <c r="U612" s="89">
        <f>IF($K612="","",SUM($R612:$T612))</f>
        <v/>
      </c>
      <c r="V612" s="89">
        <f>IF($K612="","",$M612-(N($N612)+N($O612)+IF($P612="",Setup!$B$17,$P612)+N($Q612))-N($U612))</f>
        <v/>
      </c>
      <c r="W612" s="94" t="n"/>
      <c r="X612" s="95" t="n"/>
      <c r="Z612" s="92">
        <f>IF($A612="","",DATE(YEAR($A612),MONTH($A612),1))</f>
        <v/>
      </c>
    </row>
    <row r="613">
      <c r="A613" s="85" t="n"/>
      <c r="B613" s="86" t="n"/>
      <c r="C613" s="86" t="n"/>
      <c r="D613" s="87" t="n"/>
      <c r="E613" s="87" t="n"/>
      <c r="F613" s="87" t="n"/>
      <c r="G613" s="87" t="n"/>
      <c r="H613" s="88" t="n"/>
      <c r="I613" s="89">
        <f>IF($G613="","",IF($F613="",IFERROR(INDEX(Setup!$C$21:$C$60,MATCH("|"&amp;UPPER(TRIM($G613)),Setup!$Q$21:$Q$60,0)),"NO RATE"),IFERROR(INDEX(Setup!$C$21:$C$60,MATCH(UPPER(TRIM($F613))&amp;"|"&amp;UPPER(TRIM($G613)),Setup!$P$21:$P$60,0)),IFERROR(INDEX(Setup!$C$21:$C$60,MATCH(UPPER(TRIM($G613))&amp;"|"&amp;UPPER(TRIM($F613)),Setup!$P$21:$P$60,0)),"NO RATE"))))</f>
        <v/>
      </c>
      <c r="J613" s="90" t="n"/>
      <c r="K613" s="89">
        <f>IF(OR($G613="",$H613="",NOT(ISNUMBER($I613))),"",ROUND($H613*$I613*(1+IF($J613="",Setup!$B$16,$J613)),2))</f>
        <v/>
      </c>
      <c r="L613" s="89">
        <f>IF($K613="","",ROUND($K613*Setup!$B$13,2))</f>
        <v/>
      </c>
      <c r="M613" s="89">
        <f>IF($K613="","",$K613-$L613)</f>
        <v/>
      </c>
      <c r="N613" s="89">
        <f>IF(OR($M613="",$D613=""),"",ROUND($M613*IFERROR(IF(VLOOKUP($D613,Setup!$A$76:$C$87,3,FALSE)="",Setup!$B$14,VLOOKUP($D613,Setup!$A$76:$C$87,3,FALSE)),Setup!$B$14),2))</f>
        <v/>
      </c>
      <c r="O613" s="89">
        <f>IF(OR($M613="",$E613=""),"",ROUND($M613*IFERROR(IF(VLOOKUP($E613,Setup!$A$76:$C$87,3,FALSE)="",Setup!$B$15,VLOOKUP($E613,Setup!$A$76:$C$87,3,FALSE)),Setup!$B$15),2))</f>
        <v/>
      </c>
      <c r="P613" s="91" t="n"/>
      <c r="Q613" s="91" t="n"/>
      <c r="R613" s="91" t="n"/>
      <c r="S613" s="91" t="n"/>
      <c r="T613" s="91" t="n"/>
      <c r="U613" s="89">
        <f>IF($K613="","",SUM($R613:$T613))</f>
        <v/>
      </c>
      <c r="V613" s="89">
        <f>IF($K613="","",$M613-(N($N613)+N($O613)+IF($P613="",Setup!$B$17,$P613)+N($Q613))-N($U613))</f>
        <v/>
      </c>
      <c r="W613" s="86" t="n"/>
      <c r="X613" s="87" t="n"/>
      <c r="Z613" s="92">
        <f>IF($A613="","",DATE(YEAR($A613),MONTH($A613),1))</f>
        <v/>
      </c>
    </row>
    <row r="614">
      <c r="A614" s="93" t="n"/>
      <c r="B614" s="94" t="n"/>
      <c r="C614" s="94" t="n"/>
      <c r="D614" s="95" t="n"/>
      <c r="E614" s="95" t="n"/>
      <c r="F614" s="95" t="n"/>
      <c r="G614" s="95" t="n"/>
      <c r="H614" s="96" t="n"/>
      <c r="I614" s="89">
        <f>IF($G614="","",IF($F614="",IFERROR(INDEX(Setup!$C$21:$C$60,MATCH("|"&amp;UPPER(TRIM($G614)),Setup!$Q$21:$Q$60,0)),"NO RATE"),IFERROR(INDEX(Setup!$C$21:$C$60,MATCH(UPPER(TRIM($F614))&amp;"|"&amp;UPPER(TRIM($G614)),Setup!$P$21:$P$60,0)),IFERROR(INDEX(Setup!$C$21:$C$60,MATCH(UPPER(TRIM($G614))&amp;"|"&amp;UPPER(TRIM($F614)),Setup!$P$21:$P$60,0)),"NO RATE"))))</f>
        <v/>
      </c>
      <c r="J614" s="97" t="n"/>
      <c r="K614" s="89">
        <f>IF(OR($G614="",$H614="",NOT(ISNUMBER($I614))),"",ROUND($H614*$I614*(1+IF($J614="",Setup!$B$16,$J614)),2))</f>
        <v/>
      </c>
      <c r="L614" s="89">
        <f>IF($K614="","",ROUND($K614*Setup!$B$13,2))</f>
        <v/>
      </c>
      <c r="M614" s="89">
        <f>IF($K614="","",$K614-$L614)</f>
        <v/>
      </c>
      <c r="N614" s="89">
        <f>IF(OR($M614="",$D614=""),"",ROUND($M614*IFERROR(IF(VLOOKUP($D614,Setup!$A$76:$C$87,3,FALSE)="",Setup!$B$14,VLOOKUP($D614,Setup!$A$76:$C$87,3,FALSE)),Setup!$B$14),2))</f>
        <v/>
      </c>
      <c r="O614" s="89">
        <f>IF(OR($M614="",$E614=""),"",ROUND($M614*IFERROR(IF(VLOOKUP($E614,Setup!$A$76:$C$87,3,FALSE)="",Setup!$B$15,VLOOKUP($E614,Setup!$A$76:$C$87,3,FALSE)),Setup!$B$15),2))</f>
        <v/>
      </c>
      <c r="P614" s="98" t="n"/>
      <c r="Q614" s="98" t="n"/>
      <c r="R614" s="98" t="n"/>
      <c r="S614" s="98" t="n"/>
      <c r="T614" s="98" t="n"/>
      <c r="U614" s="89">
        <f>IF($K614="","",SUM($R614:$T614))</f>
        <v/>
      </c>
      <c r="V614" s="89">
        <f>IF($K614="","",$M614-(N($N614)+N($O614)+IF($P614="",Setup!$B$17,$P614)+N($Q614))-N($U614))</f>
        <v/>
      </c>
      <c r="W614" s="94" t="n"/>
      <c r="X614" s="95" t="n"/>
      <c r="Z614" s="92">
        <f>IF($A614="","",DATE(YEAR($A614),MONTH($A614),1))</f>
        <v/>
      </c>
    </row>
    <row r="615">
      <c r="A615" s="85" t="n"/>
      <c r="B615" s="86" t="n"/>
      <c r="C615" s="86" t="n"/>
      <c r="D615" s="87" t="n"/>
      <c r="E615" s="87" t="n"/>
      <c r="F615" s="87" t="n"/>
      <c r="G615" s="87" t="n"/>
      <c r="H615" s="88" t="n"/>
      <c r="I615" s="89">
        <f>IF($G615="","",IF($F615="",IFERROR(INDEX(Setup!$C$21:$C$60,MATCH("|"&amp;UPPER(TRIM($G615)),Setup!$Q$21:$Q$60,0)),"NO RATE"),IFERROR(INDEX(Setup!$C$21:$C$60,MATCH(UPPER(TRIM($F615))&amp;"|"&amp;UPPER(TRIM($G615)),Setup!$P$21:$P$60,0)),IFERROR(INDEX(Setup!$C$21:$C$60,MATCH(UPPER(TRIM($G615))&amp;"|"&amp;UPPER(TRIM($F615)),Setup!$P$21:$P$60,0)),"NO RATE"))))</f>
        <v/>
      </c>
      <c r="J615" s="90" t="n"/>
      <c r="K615" s="89">
        <f>IF(OR($G615="",$H615="",NOT(ISNUMBER($I615))),"",ROUND($H615*$I615*(1+IF($J615="",Setup!$B$16,$J615)),2))</f>
        <v/>
      </c>
      <c r="L615" s="89">
        <f>IF($K615="","",ROUND($K615*Setup!$B$13,2))</f>
        <v/>
      </c>
      <c r="M615" s="89">
        <f>IF($K615="","",$K615-$L615)</f>
        <v/>
      </c>
      <c r="N615" s="89">
        <f>IF(OR($M615="",$D615=""),"",ROUND($M615*IFERROR(IF(VLOOKUP($D615,Setup!$A$76:$C$87,3,FALSE)="",Setup!$B$14,VLOOKUP($D615,Setup!$A$76:$C$87,3,FALSE)),Setup!$B$14),2))</f>
        <v/>
      </c>
      <c r="O615" s="89">
        <f>IF(OR($M615="",$E615=""),"",ROUND($M615*IFERROR(IF(VLOOKUP($E615,Setup!$A$76:$C$87,3,FALSE)="",Setup!$B$15,VLOOKUP($E615,Setup!$A$76:$C$87,3,FALSE)),Setup!$B$15),2))</f>
        <v/>
      </c>
      <c r="P615" s="91" t="n"/>
      <c r="Q615" s="91" t="n"/>
      <c r="R615" s="91" t="n"/>
      <c r="S615" s="91" t="n"/>
      <c r="T615" s="91" t="n"/>
      <c r="U615" s="89">
        <f>IF($K615="","",SUM($R615:$T615))</f>
        <v/>
      </c>
      <c r="V615" s="89">
        <f>IF($K615="","",$M615-(N($N615)+N($O615)+IF($P615="",Setup!$B$17,$P615)+N($Q615))-N($U615))</f>
        <v/>
      </c>
      <c r="W615" s="86" t="n"/>
      <c r="X615" s="87" t="n"/>
      <c r="Z615" s="92">
        <f>IF($A615="","",DATE(YEAR($A615),MONTH($A615),1))</f>
        <v/>
      </c>
    </row>
    <row r="616">
      <c r="A616" s="93" t="n"/>
      <c r="B616" s="94" t="n"/>
      <c r="C616" s="94" t="n"/>
      <c r="D616" s="95" t="n"/>
      <c r="E616" s="95" t="n"/>
      <c r="F616" s="95" t="n"/>
      <c r="G616" s="95" t="n"/>
      <c r="H616" s="96" t="n"/>
      <c r="I616" s="89">
        <f>IF($G616="","",IF($F616="",IFERROR(INDEX(Setup!$C$21:$C$60,MATCH("|"&amp;UPPER(TRIM($G616)),Setup!$Q$21:$Q$60,0)),"NO RATE"),IFERROR(INDEX(Setup!$C$21:$C$60,MATCH(UPPER(TRIM($F616))&amp;"|"&amp;UPPER(TRIM($G616)),Setup!$P$21:$P$60,0)),IFERROR(INDEX(Setup!$C$21:$C$60,MATCH(UPPER(TRIM($G616))&amp;"|"&amp;UPPER(TRIM($F616)),Setup!$P$21:$P$60,0)),"NO RATE"))))</f>
        <v/>
      </c>
      <c r="J616" s="97" t="n"/>
      <c r="K616" s="89">
        <f>IF(OR($G616="",$H616="",NOT(ISNUMBER($I616))),"",ROUND($H616*$I616*(1+IF($J616="",Setup!$B$16,$J616)),2))</f>
        <v/>
      </c>
      <c r="L616" s="89">
        <f>IF($K616="","",ROUND($K616*Setup!$B$13,2))</f>
        <v/>
      </c>
      <c r="M616" s="89">
        <f>IF($K616="","",$K616-$L616)</f>
        <v/>
      </c>
      <c r="N616" s="89">
        <f>IF(OR($M616="",$D616=""),"",ROUND($M616*IFERROR(IF(VLOOKUP($D616,Setup!$A$76:$C$87,3,FALSE)="",Setup!$B$14,VLOOKUP($D616,Setup!$A$76:$C$87,3,FALSE)),Setup!$B$14),2))</f>
        <v/>
      </c>
      <c r="O616" s="89">
        <f>IF(OR($M616="",$E616=""),"",ROUND($M616*IFERROR(IF(VLOOKUP($E616,Setup!$A$76:$C$87,3,FALSE)="",Setup!$B$15,VLOOKUP($E616,Setup!$A$76:$C$87,3,FALSE)),Setup!$B$15),2))</f>
        <v/>
      </c>
      <c r="P616" s="98" t="n"/>
      <c r="Q616" s="98" t="n"/>
      <c r="R616" s="98" t="n"/>
      <c r="S616" s="98" t="n"/>
      <c r="T616" s="98" t="n"/>
      <c r="U616" s="89">
        <f>IF($K616="","",SUM($R616:$T616))</f>
        <v/>
      </c>
      <c r="V616" s="89">
        <f>IF($K616="","",$M616-(N($N616)+N($O616)+IF($P616="",Setup!$B$17,$P616)+N($Q616))-N($U616))</f>
        <v/>
      </c>
      <c r="W616" s="94" t="n"/>
      <c r="X616" s="95" t="n"/>
      <c r="Z616" s="92">
        <f>IF($A616="","",DATE(YEAR($A616),MONTH($A616),1))</f>
        <v/>
      </c>
    </row>
    <row r="617">
      <c r="A617" s="85" t="n"/>
      <c r="B617" s="86" t="n"/>
      <c r="C617" s="86" t="n"/>
      <c r="D617" s="87" t="n"/>
      <c r="E617" s="87" t="n"/>
      <c r="F617" s="87" t="n"/>
      <c r="G617" s="87" t="n"/>
      <c r="H617" s="88" t="n"/>
      <c r="I617" s="89">
        <f>IF($G617="","",IF($F617="",IFERROR(INDEX(Setup!$C$21:$C$60,MATCH("|"&amp;UPPER(TRIM($G617)),Setup!$Q$21:$Q$60,0)),"NO RATE"),IFERROR(INDEX(Setup!$C$21:$C$60,MATCH(UPPER(TRIM($F617))&amp;"|"&amp;UPPER(TRIM($G617)),Setup!$P$21:$P$60,0)),IFERROR(INDEX(Setup!$C$21:$C$60,MATCH(UPPER(TRIM($G617))&amp;"|"&amp;UPPER(TRIM($F617)),Setup!$P$21:$P$60,0)),"NO RATE"))))</f>
        <v/>
      </c>
      <c r="J617" s="90" t="n"/>
      <c r="K617" s="89">
        <f>IF(OR($G617="",$H617="",NOT(ISNUMBER($I617))),"",ROUND($H617*$I617*(1+IF($J617="",Setup!$B$16,$J617)),2))</f>
        <v/>
      </c>
      <c r="L617" s="89">
        <f>IF($K617="","",ROUND($K617*Setup!$B$13,2))</f>
        <v/>
      </c>
      <c r="M617" s="89">
        <f>IF($K617="","",$K617-$L617)</f>
        <v/>
      </c>
      <c r="N617" s="89">
        <f>IF(OR($M617="",$D617=""),"",ROUND($M617*IFERROR(IF(VLOOKUP($D617,Setup!$A$76:$C$87,3,FALSE)="",Setup!$B$14,VLOOKUP($D617,Setup!$A$76:$C$87,3,FALSE)),Setup!$B$14),2))</f>
        <v/>
      </c>
      <c r="O617" s="89">
        <f>IF(OR($M617="",$E617=""),"",ROUND($M617*IFERROR(IF(VLOOKUP($E617,Setup!$A$76:$C$87,3,FALSE)="",Setup!$B$15,VLOOKUP($E617,Setup!$A$76:$C$87,3,FALSE)),Setup!$B$15),2))</f>
        <v/>
      </c>
      <c r="P617" s="91" t="n"/>
      <c r="Q617" s="91" t="n"/>
      <c r="R617" s="91" t="n"/>
      <c r="S617" s="91" t="n"/>
      <c r="T617" s="91" t="n"/>
      <c r="U617" s="89">
        <f>IF($K617="","",SUM($R617:$T617))</f>
        <v/>
      </c>
      <c r="V617" s="89">
        <f>IF($K617="","",$M617-(N($N617)+N($O617)+IF($P617="",Setup!$B$17,$P617)+N($Q617))-N($U617))</f>
        <v/>
      </c>
      <c r="W617" s="86" t="n"/>
      <c r="X617" s="87" t="n"/>
      <c r="Z617" s="92">
        <f>IF($A617="","",DATE(YEAR($A617),MONTH($A617),1))</f>
        <v/>
      </c>
    </row>
    <row r="618">
      <c r="A618" s="93" t="n"/>
      <c r="B618" s="94" t="n"/>
      <c r="C618" s="94" t="n"/>
      <c r="D618" s="95" t="n"/>
      <c r="E618" s="95" t="n"/>
      <c r="F618" s="95" t="n"/>
      <c r="G618" s="95" t="n"/>
      <c r="H618" s="96" t="n"/>
      <c r="I618" s="89">
        <f>IF($G618="","",IF($F618="",IFERROR(INDEX(Setup!$C$21:$C$60,MATCH("|"&amp;UPPER(TRIM($G618)),Setup!$Q$21:$Q$60,0)),"NO RATE"),IFERROR(INDEX(Setup!$C$21:$C$60,MATCH(UPPER(TRIM($F618))&amp;"|"&amp;UPPER(TRIM($G618)),Setup!$P$21:$P$60,0)),IFERROR(INDEX(Setup!$C$21:$C$60,MATCH(UPPER(TRIM($G618))&amp;"|"&amp;UPPER(TRIM($F618)),Setup!$P$21:$P$60,0)),"NO RATE"))))</f>
        <v/>
      </c>
      <c r="J618" s="97" t="n"/>
      <c r="K618" s="89">
        <f>IF(OR($G618="",$H618="",NOT(ISNUMBER($I618))),"",ROUND($H618*$I618*(1+IF($J618="",Setup!$B$16,$J618)),2))</f>
        <v/>
      </c>
      <c r="L618" s="89">
        <f>IF($K618="","",ROUND($K618*Setup!$B$13,2))</f>
        <v/>
      </c>
      <c r="M618" s="89">
        <f>IF($K618="","",$K618-$L618)</f>
        <v/>
      </c>
      <c r="N618" s="89">
        <f>IF(OR($M618="",$D618=""),"",ROUND($M618*IFERROR(IF(VLOOKUP($D618,Setup!$A$76:$C$87,3,FALSE)="",Setup!$B$14,VLOOKUP($D618,Setup!$A$76:$C$87,3,FALSE)),Setup!$B$14),2))</f>
        <v/>
      </c>
      <c r="O618" s="89">
        <f>IF(OR($M618="",$E618=""),"",ROUND($M618*IFERROR(IF(VLOOKUP($E618,Setup!$A$76:$C$87,3,FALSE)="",Setup!$B$15,VLOOKUP($E618,Setup!$A$76:$C$87,3,FALSE)),Setup!$B$15),2))</f>
        <v/>
      </c>
      <c r="P618" s="98" t="n"/>
      <c r="Q618" s="98" t="n"/>
      <c r="R618" s="98" t="n"/>
      <c r="S618" s="98" t="n"/>
      <c r="T618" s="98" t="n"/>
      <c r="U618" s="89">
        <f>IF($K618="","",SUM($R618:$T618))</f>
        <v/>
      </c>
      <c r="V618" s="89">
        <f>IF($K618="","",$M618-(N($N618)+N($O618)+IF($P618="",Setup!$B$17,$P618)+N($Q618))-N($U618))</f>
        <v/>
      </c>
      <c r="W618" s="94" t="n"/>
      <c r="X618" s="95" t="n"/>
      <c r="Z618" s="92">
        <f>IF($A618="","",DATE(YEAR($A618),MONTH($A618),1))</f>
        <v/>
      </c>
    </row>
    <row r="619">
      <c r="A619" s="85" t="n"/>
      <c r="B619" s="86" t="n"/>
      <c r="C619" s="86" t="n"/>
      <c r="D619" s="87" t="n"/>
      <c r="E619" s="87" t="n"/>
      <c r="F619" s="87" t="n"/>
      <c r="G619" s="87" t="n"/>
      <c r="H619" s="88" t="n"/>
      <c r="I619" s="89">
        <f>IF($G619="","",IF($F619="",IFERROR(INDEX(Setup!$C$21:$C$60,MATCH("|"&amp;UPPER(TRIM($G619)),Setup!$Q$21:$Q$60,0)),"NO RATE"),IFERROR(INDEX(Setup!$C$21:$C$60,MATCH(UPPER(TRIM($F619))&amp;"|"&amp;UPPER(TRIM($G619)),Setup!$P$21:$P$60,0)),IFERROR(INDEX(Setup!$C$21:$C$60,MATCH(UPPER(TRIM($G619))&amp;"|"&amp;UPPER(TRIM($F619)),Setup!$P$21:$P$60,0)),"NO RATE"))))</f>
        <v/>
      </c>
      <c r="J619" s="90" t="n"/>
      <c r="K619" s="89">
        <f>IF(OR($G619="",$H619="",NOT(ISNUMBER($I619))),"",ROUND($H619*$I619*(1+IF($J619="",Setup!$B$16,$J619)),2))</f>
        <v/>
      </c>
      <c r="L619" s="89">
        <f>IF($K619="","",ROUND($K619*Setup!$B$13,2))</f>
        <v/>
      </c>
      <c r="M619" s="89">
        <f>IF($K619="","",$K619-$L619)</f>
        <v/>
      </c>
      <c r="N619" s="89">
        <f>IF(OR($M619="",$D619=""),"",ROUND($M619*IFERROR(IF(VLOOKUP($D619,Setup!$A$76:$C$87,3,FALSE)="",Setup!$B$14,VLOOKUP($D619,Setup!$A$76:$C$87,3,FALSE)),Setup!$B$14),2))</f>
        <v/>
      </c>
      <c r="O619" s="89">
        <f>IF(OR($M619="",$E619=""),"",ROUND($M619*IFERROR(IF(VLOOKUP($E619,Setup!$A$76:$C$87,3,FALSE)="",Setup!$B$15,VLOOKUP($E619,Setup!$A$76:$C$87,3,FALSE)),Setup!$B$15),2))</f>
        <v/>
      </c>
      <c r="P619" s="91" t="n"/>
      <c r="Q619" s="91" t="n"/>
      <c r="R619" s="91" t="n"/>
      <c r="S619" s="91" t="n"/>
      <c r="T619" s="91" t="n"/>
      <c r="U619" s="89">
        <f>IF($K619="","",SUM($R619:$T619))</f>
        <v/>
      </c>
      <c r="V619" s="89">
        <f>IF($K619="","",$M619-(N($N619)+N($O619)+IF($P619="",Setup!$B$17,$P619)+N($Q619))-N($U619))</f>
        <v/>
      </c>
      <c r="W619" s="86" t="n"/>
      <c r="X619" s="87" t="n"/>
      <c r="Z619" s="92">
        <f>IF($A619="","",DATE(YEAR($A619),MONTH($A619),1))</f>
        <v/>
      </c>
    </row>
    <row r="620">
      <c r="A620" s="93" t="n"/>
      <c r="B620" s="94" t="n"/>
      <c r="C620" s="94" t="n"/>
      <c r="D620" s="95" t="n"/>
      <c r="E620" s="95" t="n"/>
      <c r="F620" s="95" t="n"/>
      <c r="G620" s="95" t="n"/>
      <c r="H620" s="96" t="n"/>
      <c r="I620" s="89">
        <f>IF($G620="","",IF($F620="",IFERROR(INDEX(Setup!$C$21:$C$60,MATCH("|"&amp;UPPER(TRIM($G620)),Setup!$Q$21:$Q$60,0)),"NO RATE"),IFERROR(INDEX(Setup!$C$21:$C$60,MATCH(UPPER(TRIM($F620))&amp;"|"&amp;UPPER(TRIM($G620)),Setup!$P$21:$P$60,0)),IFERROR(INDEX(Setup!$C$21:$C$60,MATCH(UPPER(TRIM($G620))&amp;"|"&amp;UPPER(TRIM($F620)),Setup!$P$21:$P$60,0)),"NO RATE"))))</f>
        <v/>
      </c>
      <c r="J620" s="97" t="n"/>
      <c r="K620" s="89">
        <f>IF(OR($G620="",$H620="",NOT(ISNUMBER($I620))),"",ROUND($H620*$I620*(1+IF($J620="",Setup!$B$16,$J620)),2))</f>
        <v/>
      </c>
      <c r="L620" s="89">
        <f>IF($K620="","",ROUND($K620*Setup!$B$13,2))</f>
        <v/>
      </c>
      <c r="M620" s="89">
        <f>IF($K620="","",$K620-$L620)</f>
        <v/>
      </c>
      <c r="N620" s="89">
        <f>IF(OR($M620="",$D620=""),"",ROUND($M620*IFERROR(IF(VLOOKUP($D620,Setup!$A$76:$C$87,3,FALSE)="",Setup!$B$14,VLOOKUP($D620,Setup!$A$76:$C$87,3,FALSE)),Setup!$B$14),2))</f>
        <v/>
      </c>
      <c r="O620" s="89">
        <f>IF(OR($M620="",$E620=""),"",ROUND($M620*IFERROR(IF(VLOOKUP($E620,Setup!$A$76:$C$87,3,FALSE)="",Setup!$B$15,VLOOKUP($E620,Setup!$A$76:$C$87,3,FALSE)),Setup!$B$15),2))</f>
        <v/>
      </c>
      <c r="P620" s="98" t="n"/>
      <c r="Q620" s="98" t="n"/>
      <c r="R620" s="98" t="n"/>
      <c r="S620" s="98" t="n"/>
      <c r="T620" s="98" t="n"/>
      <c r="U620" s="89">
        <f>IF($K620="","",SUM($R620:$T620))</f>
        <v/>
      </c>
      <c r="V620" s="89">
        <f>IF($K620="","",$M620-(N($N620)+N($O620)+IF($P620="",Setup!$B$17,$P620)+N($Q620))-N($U620))</f>
        <v/>
      </c>
      <c r="W620" s="94" t="n"/>
      <c r="X620" s="95" t="n"/>
      <c r="Z620" s="92">
        <f>IF($A620="","",DATE(YEAR($A620),MONTH($A620),1))</f>
        <v/>
      </c>
    </row>
    <row r="621">
      <c r="A621" s="85" t="n"/>
      <c r="B621" s="86" t="n"/>
      <c r="C621" s="86" t="n"/>
      <c r="D621" s="87" t="n"/>
      <c r="E621" s="87" t="n"/>
      <c r="F621" s="87" t="n"/>
      <c r="G621" s="87" t="n"/>
      <c r="H621" s="88" t="n"/>
      <c r="I621" s="89">
        <f>IF($G621="","",IF($F621="",IFERROR(INDEX(Setup!$C$21:$C$60,MATCH("|"&amp;UPPER(TRIM($G621)),Setup!$Q$21:$Q$60,0)),"NO RATE"),IFERROR(INDEX(Setup!$C$21:$C$60,MATCH(UPPER(TRIM($F621))&amp;"|"&amp;UPPER(TRIM($G621)),Setup!$P$21:$P$60,0)),IFERROR(INDEX(Setup!$C$21:$C$60,MATCH(UPPER(TRIM($G621))&amp;"|"&amp;UPPER(TRIM($F621)),Setup!$P$21:$P$60,0)),"NO RATE"))))</f>
        <v/>
      </c>
      <c r="J621" s="90" t="n"/>
      <c r="K621" s="89">
        <f>IF(OR($G621="",$H621="",NOT(ISNUMBER($I621))),"",ROUND($H621*$I621*(1+IF($J621="",Setup!$B$16,$J621)),2))</f>
        <v/>
      </c>
      <c r="L621" s="89">
        <f>IF($K621="","",ROUND($K621*Setup!$B$13,2))</f>
        <v/>
      </c>
      <c r="M621" s="89">
        <f>IF($K621="","",$K621-$L621)</f>
        <v/>
      </c>
      <c r="N621" s="89">
        <f>IF(OR($M621="",$D621=""),"",ROUND($M621*IFERROR(IF(VLOOKUP($D621,Setup!$A$76:$C$87,3,FALSE)="",Setup!$B$14,VLOOKUP($D621,Setup!$A$76:$C$87,3,FALSE)),Setup!$B$14),2))</f>
        <v/>
      </c>
      <c r="O621" s="89">
        <f>IF(OR($M621="",$E621=""),"",ROUND($M621*IFERROR(IF(VLOOKUP($E621,Setup!$A$76:$C$87,3,FALSE)="",Setup!$B$15,VLOOKUP($E621,Setup!$A$76:$C$87,3,FALSE)),Setup!$B$15),2))</f>
        <v/>
      </c>
      <c r="P621" s="91" t="n"/>
      <c r="Q621" s="91" t="n"/>
      <c r="R621" s="91" t="n"/>
      <c r="S621" s="91" t="n"/>
      <c r="T621" s="91" t="n"/>
      <c r="U621" s="89">
        <f>IF($K621="","",SUM($R621:$T621))</f>
        <v/>
      </c>
      <c r="V621" s="89">
        <f>IF($K621="","",$M621-(N($N621)+N($O621)+IF($P621="",Setup!$B$17,$P621)+N($Q621))-N($U621))</f>
        <v/>
      </c>
      <c r="W621" s="86" t="n"/>
      <c r="X621" s="87" t="n"/>
      <c r="Z621" s="92">
        <f>IF($A621="","",DATE(YEAR($A621),MONTH($A621),1))</f>
        <v/>
      </c>
    </row>
    <row r="622">
      <c r="A622" s="93" t="n"/>
      <c r="B622" s="94" t="n"/>
      <c r="C622" s="94" t="n"/>
      <c r="D622" s="95" t="n"/>
      <c r="E622" s="95" t="n"/>
      <c r="F622" s="95" t="n"/>
      <c r="G622" s="95" t="n"/>
      <c r="H622" s="96" t="n"/>
      <c r="I622" s="89">
        <f>IF($G622="","",IF($F622="",IFERROR(INDEX(Setup!$C$21:$C$60,MATCH("|"&amp;UPPER(TRIM($G622)),Setup!$Q$21:$Q$60,0)),"NO RATE"),IFERROR(INDEX(Setup!$C$21:$C$60,MATCH(UPPER(TRIM($F622))&amp;"|"&amp;UPPER(TRIM($G622)),Setup!$P$21:$P$60,0)),IFERROR(INDEX(Setup!$C$21:$C$60,MATCH(UPPER(TRIM($G622))&amp;"|"&amp;UPPER(TRIM($F622)),Setup!$P$21:$P$60,0)),"NO RATE"))))</f>
        <v/>
      </c>
      <c r="J622" s="97" t="n"/>
      <c r="K622" s="89">
        <f>IF(OR($G622="",$H622="",NOT(ISNUMBER($I622))),"",ROUND($H622*$I622*(1+IF($J622="",Setup!$B$16,$J622)),2))</f>
        <v/>
      </c>
      <c r="L622" s="89">
        <f>IF($K622="","",ROUND($K622*Setup!$B$13,2))</f>
        <v/>
      </c>
      <c r="M622" s="89">
        <f>IF($K622="","",$K622-$L622)</f>
        <v/>
      </c>
      <c r="N622" s="89">
        <f>IF(OR($M622="",$D622=""),"",ROUND($M622*IFERROR(IF(VLOOKUP($D622,Setup!$A$76:$C$87,3,FALSE)="",Setup!$B$14,VLOOKUP($D622,Setup!$A$76:$C$87,3,FALSE)),Setup!$B$14),2))</f>
        <v/>
      </c>
      <c r="O622" s="89">
        <f>IF(OR($M622="",$E622=""),"",ROUND($M622*IFERROR(IF(VLOOKUP($E622,Setup!$A$76:$C$87,3,FALSE)="",Setup!$B$15,VLOOKUP($E622,Setup!$A$76:$C$87,3,FALSE)),Setup!$B$15),2))</f>
        <v/>
      </c>
      <c r="P622" s="98" t="n"/>
      <c r="Q622" s="98" t="n"/>
      <c r="R622" s="98" t="n"/>
      <c r="S622" s="98" t="n"/>
      <c r="T622" s="98" t="n"/>
      <c r="U622" s="89">
        <f>IF($K622="","",SUM($R622:$T622))</f>
        <v/>
      </c>
      <c r="V622" s="89">
        <f>IF($K622="","",$M622-(N($N622)+N($O622)+IF($P622="",Setup!$B$17,$P622)+N($Q622))-N($U622))</f>
        <v/>
      </c>
      <c r="W622" s="94" t="n"/>
      <c r="X622" s="95" t="n"/>
      <c r="Z622" s="92">
        <f>IF($A622="","",DATE(YEAR($A622),MONTH($A622),1))</f>
        <v/>
      </c>
    </row>
    <row r="623">
      <c r="A623" s="85" t="n"/>
      <c r="B623" s="86" t="n"/>
      <c r="C623" s="86" t="n"/>
      <c r="D623" s="87" t="n"/>
      <c r="E623" s="87" t="n"/>
      <c r="F623" s="87" t="n"/>
      <c r="G623" s="87" t="n"/>
      <c r="H623" s="88" t="n"/>
      <c r="I623" s="89">
        <f>IF($G623="","",IF($F623="",IFERROR(INDEX(Setup!$C$21:$C$60,MATCH("|"&amp;UPPER(TRIM($G623)),Setup!$Q$21:$Q$60,0)),"NO RATE"),IFERROR(INDEX(Setup!$C$21:$C$60,MATCH(UPPER(TRIM($F623))&amp;"|"&amp;UPPER(TRIM($G623)),Setup!$P$21:$P$60,0)),IFERROR(INDEX(Setup!$C$21:$C$60,MATCH(UPPER(TRIM($G623))&amp;"|"&amp;UPPER(TRIM($F623)),Setup!$P$21:$P$60,0)),"NO RATE"))))</f>
        <v/>
      </c>
      <c r="J623" s="90" t="n"/>
      <c r="K623" s="89">
        <f>IF(OR($G623="",$H623="",NOT(ISNUMBER($I623))),"",ROUND($H623*$I623*(1+IF($J623="",Setup!$B$16,$J623)),2))</f>
        <v/>
      </c>
      <c r="L623" s="89">
        <f>IF($K623="","",ROUND($K623*Setup!$B$13,2))</f>
        <v/>
      </c>
      <c r="M623" s="89">
        <f>IF($K623="","",$K623-$L623)</f>
        <v/>
      </c>
      <c r="N623" s="89">
        <f>IF(OR($M623="",$D623=""),"",ROUND($M623*IFERROR(IF(VLOOKUP($D623,Setup!$A$76:$C$87,3,FALSE)="",Setup!$B$14,VLOOKUP($D623,Setup!$A$76:$C$87,3,FALSE)),Setup!$B$14),2))</f>
        <v/>
      </c>
      <c r="O623" s="89">
        <f>IF(OR($M623="",$E623=""),"",ROUND($M623*IFERROR(IF(VLOOKUP($E623,Setup!$A$76:$C$87,3,FALSE)="",Setup!$B$15,VLOOKUP($E623,Setup!$A$76:$C$87,3,FALSE)),Setup!$B$15),2))</f>
        <v/>
      </c>
      <c r="P623" s="91" t="n"/>
      <c r="Q623" s="91" t="n"/>
      <c r="R623" s="91" t="n"/>
      <c r="S623" s="91" t="n"/>
      <c r="T623" s="91" t="n"/>
      <c r="U623" s="89">
        <f>IF($K623="","",SUM($R623:$T623))</f>
        <v/>
      </c>
      <c r="V623" s="89">
        <f>IF($K623="","",$M623-(N($N623)+N($O623)+IF($P623="",Setup!$B$17,$P623)+N($Q623))-N($U623))</f>
        <v/>
      </c>
      <c r="W623" s="86" t="n"/>
      <c r="X623" s="87" t="n"/>
      <c r="Z623" s="92">
        <f>IF($A623="","",DATE(YEAR($A623),MONTH($A623),1))</f>
        <v/>
      </c>
    </row>
    <row r="624">
      <c r="A624" s="93" t="n"/>
      <c r="B624" s="94" t="n"/>
      <c r="C624" s="94" t="n"/>
      <c r="D624" s="95" t="n"/>
      <c r="E624" s="95" t="n"/>
      <c r="F624" s="95" t="n"/>
      <c r="G624" s="95" t="n"/>
      <c r="H624" s="96" t="n"/>
      <c r="I624" s="89">
        <f>IF($G624="","",IF($F624="",IFERROR(INDEX(Setup!$C$21:$C$60,MATCH("|"&amp;UPPER(TRIM($G624)),Setup!$Q$21:$Q$60,0)),"NO RATE"),IFERROR(INDEX(Setup!$C$21:$C$60,MATCH(UPPER(TRIM($F624))&amp;"|"&amp;UPPER(TRIM($G624)),Setup!$P$21:$P$60,0)),IFERROR(INDEX(Setup!$C$21:$C$60,MATCH(UPPER(TRIM($G624))&amp;"|"&amp;UPPER(TRIM($F624)),Setup!$P$21:$P$60,0)),"NO RATE"))))</f>
        <v/>
      </c>
      <c r="J624" s="97" t="n"/>
      <c r="K624" s="89">
        <f>IF(OR($G624="",$H624="",NOT(ISNUMBER($I624))),"",ROUND($H624*$I624*(1+IF($J624="",Setup!$B$16,$J624)),2))</f>
        <v/>
      </c>
      <c r="L624" s="89">
        <f>IF($K624="","",ROUND($K624*Setup!$B$13,2))</f>
        <v/>
      </c>
      <c r="M624" s="89">
        <f>IF($K624="","",$K624-$L624)</f>
        <v/>
      </c>
      <c r="N624" s="89">
        <f>IF(OR($M624="",$D624=""),"",ROUND($M624*IFERROR(IF(VLOOKUP($D624,Setup!$A$76:$C$87,3,FALSE)="",Setup!$B$14,VLOOKUP($D624,Setup!$A$76:$C$87,3,FALSE)),Setup!$B$14),2))</f>
        <v/>
      </c>
      <c r="O624" s="89">
        <f>IF(OR($M624="",$E624=""),"",ROUND($M624*IFERROR(IF(VLOOKUP($E624,Setup!$A$76:$C$87,3,FALSE)="",Setup!$B$15,VLOOKUP($E624,Setup!$A$76:$C$87,3,FALSE)),Setup!$B$15),2))</f>
        <v/>
      </c>
      <c r="P624" s="98" t="n"/>
      <c r="Q624" s="98" t="n"/>
      <c r="R624" s="98" t="n"/>
      <c r="S624" s="98" t="n"/>
      <c r="T624" s="98" t="n"/>
      <c r="U624" s="89">
        <f>IF($K624="","",SUM($R624:$T624))</f>
        <v/>
      </c>
      <c r="V624" s="89">
        <f>IF($K624="","",$M624-(N($N624)+N($O624)+IF($P624="",Setup!$B$17,$P624)+N($Q624))-N($U624))</f>
        <v/>
      </c>
      <c r="W624" s="94" t="n"/>
      <c r="X624" s="95" t="n"/>
      <c r="Z624" s="92">
        <f>IF($A624="","",DATE(YEAR($A624),MONTH($A624),1))</f>
        <v/>
      </c>
    </row>
    <row r="625">
      <c r="A625" s="85" t="n"/>
      <c r="B625" s="86" t="n"/>
      <c r="C625" s="86" t="n"/>
      <c r="D625" s="87" t="n"/>
      <c r="E625" s="87" t="n"/>
      <c r="F625" s="87" t="n"/>
      <c r="G625" s="87" t="n"/>
      <c r="H625" s="88" t="n"/>
      <c r="I625" s="89">
        <f>IF($G625="","",IF($F625="",IFERROR(INDEX(Setup!$C$21:$C$60,MATCH("|"&amp;UPPER(TRIM($G625)),Setup!$Q$21:$Q$60,0)),"NO RATE"),IFERROR(INDEX(Setup!$C$21:$C$60,MATCH(UPPER(TRIM($F625))&amp;"|"&amp;UPPER(TRIM($G625)),Setup!$P$21:$P$60,0)),IFERROR(INDEX(Setup!$C$21:$C$60,MATCH(UPPER(TRIM($G625))&amp;"|"&amp;UPPER(TRIM($F625)),Setup!$P$21:$P$60,0)),"NO RATE"))))</f>
        <v/>
      </c>
      <c r="J625" s="90" t="n"/>
      <c r="K625" s="89">
        <f>IF(OR($G625="",$H625="",NOT(ISNUMBER($I625))),"",ROUND($H625*$I625*(1+IF($J625="",Setup!$B$16,$J625)),2))</f>
        <v/>
      </c>
      <c r="L625" s="89">
        <f>IF($K625="","",ROUND($K625*Setup!$B$13,2))</f>
        <v/>
      </c>
      <c r="M625" s="89">
        <f>IF($K625="","",$K625-$L625)</f>
        <v/>
      </c>
      <c r="N625" s="89">
        <f>IF(OR($M625="",$D625=""),"",ROUND($M625*IFERROR(IF(VLOOKUP($D625,Setup!$A$76:$C$87,3,FALSE)="",Setup!$B$14,VLOOKUP($D625,Setup!$A$76:$C$87,3,FALSE)),Setup!$B$14),2))</f>
        <v/>
      </c>
      <c r="O625" s="89">
        <f>IF(OR($M625="",$E625=""),"",ROUND($M625*IFERROR(IF(VLOOKUP($E625,Setup!$A$76:$C$87,3,FALSE)="",Setup!$B$15,VLOOKUP($E625,Setup!$A$76:$C$87,3,FALSE)),Setup!$B$15),2))</f>
        <v/>
      </c>
      <c r="P625" s="91" t="n"/>
      <c r="Q625" s="91" t="n"/>
      <c r="R625" s="91" t="n"/>
      <c r="S625" s="91" t="n"/>
      <c r="T625" s="91" t="n"/>
      <c r="U625" s="89">
        <f>IF($K625="","",SUM($R625:$T625))</f>
        <v/>
      </c>
      <c r="V625" s="89">
        <f>IF($K625="","",$M625-(N($N625)+N($O625)+IF($P625="",Setup!$B$17,$P625)+N($Q625))-N($U625))</f>
        <v/>
      </c>
      <c r="W625" s="86" t="n"/>
      <c r="X625" s="87" t="n"/>
      <c r="Z625" s="92">
        <f>IF($A625="","",DATE(YEAR($A625),MONTH($A625),1))</f>
        <v/>
      </c>
    </row>
    <row r="626">
      <c r="A626" s="93" t="n"/>
      <c r="B626" s="94" t="n"/>
      <c r="C626" s="94" t="n"/>
      <c r="D626" s="95" t="n"/>
      <c r="E626" s="95" t="n"/>
      <c r="F626" s="95" t="n"/>
      <c r="G626" s="95" t="n"/>
      <c r="H626" s="96" t="n"/>
      <c r="I626" s="89">
        <f>IF($G626="","",IF($F626="",IFERROR(INDEX(Setup!$C$21:$C$60,MATCH("|"&amp;UPPER(TRIM($G626)),Setup!$Q$21:$Q$60,0)),"NO RATE"),IFERROR(INDEX(Setup!$C$21:$C$60,MATCH(UPPER(TRIM($F626))&amp;"|"&amp;UPPER(TRIM($G626)),Setup!$P$21:$P$60,0)),IFERROR(INDEX(Setup!$C$21:$C$60,MATCH(UPPER(TRIM($G626))&amp;"|"&amp;UPPER(TRIM($F626)),Setup!$P$21:$P$60,0)),"NO RATE"))))</f>
        <v/>
      </c>
      <c r="J626" s="97" t="n"/>
      <c r="K626" s="89">
        <f>IF(OR($G626="",$H626="",NOT(ISNUMBER($I626))),"",ROUND($H626*$I626*(1+IF($J626="",Setup!$B$16,$J626)),2))</f>
        <v/>
      </c>
      <c r="L626" s="89">
        <f>IF($K626="","",ROUND($K626*Setup!$B$13,2))</f>
        <v/>
      </c>
      <c r="M626" s="89">
        <f>IF($K626="","",$K626-$L626)</f>
        <v/>
      </c>
      <c r="N626" s="89">
        <f>IF(OR($M626="",$D626=""),"",ROUND($M626*IFERROR(IF(VLOOKUP($D626,Setup!$A$76:$C$87,3,FALSE)="",Setup!$B$14,VLOOKUP($D626,Setup!$A$76:$C$87,3,FALSE)),Setup!$B$14),2))</f>
        <v/>
      </c>
      <c r="O626" s="89">
        <f>IF(OR($M626="",$E626=""),"",ROUND($M626*IFERROR(IF(VLOOKUP($E626,Setup!$A$76:$C$87,3,FALSE)="",Setup!$B$15,VLOOKUP($E626,Setup!$A$76:$C$87,3,FALSE)),Setup!$B$15),2))</f>
        <v/>
      </c>
      <c r="P626" s="98" t="n"/>
      <c r="Q626" s="98" t="n"/>
      <c r="R626" s="98" t="n"/>
      <c r="S626" s="98" t="n"/>
      <c r="T626" s="98" t="n"/>
      <c r="U626" s="89">
        <f>IF($K626="","",SUM($R626:$T626))</f>
        <v/>
      </c>
      <c r="V626" s="89">
        <f>IF($K626="","",$M626-(N($N626)+N($O626)+IF($P626="",Setup!$B$17,$P626)+N($Q626))-N($U626))</f>
        <v/>
      </c>
      <c r="W626" s="94" t="n"/>
      <c r="X626" s="95" t="n"/>
      <c r="Z626" s="92">
        <f>IF($A626="","",DATE(YEAR($A626),MONTH($A626),1))</f>
        <v/>
      </c>
    </row>
    <row r="627">
      <c r="A627" s="85" t="n"/>
      <c r="B627" s="86" t="n"/>
      <c r="C627" s="86" t="n"/>
      <c r="D627" s="87" t="n"/>
      <c r="E627" s="87" t="n"/>
      <c r="F627" s="87" t="n"/>
      <c r="G627" s="87" t="n"/>
      <c r="H627" s="88" t="n"/>
      <c r="I627" s="89">
        <f>IF($G627="","",IF($F627="",IFERROR(INDEX(Setup!$C$21:$C$60,MATCH("|"&amp;UPPER(TRIM($G627)),Setup!$Q$21:$Q$60,0)),"NO RATE"),IFERROR(INDEX(Setup!$C$21:$C$60,MATCH(UPPER(TRIM($F627))&amp;"|"&amp;UPPER(TRIM($G627)),Setup!$P$21:$P$60,0)),IFERROR(INDEX(Setup!$C$21:$C$60,MATCH(UPPER(TRIM($G627))&amp;"|"&amp;UPPER(TRIM($F627)),Setup!$P$21:$P$60,0)),"NO RATE"))))</f>
        <v/>
      </c>
      <c r="J627" s="90" t="n"/>
      <c r="K627" s="89">
        <f>IF(OR($G627="",$H627="",NOT(ISNUMBER($I627))),"",ROUND($H627*$I627*(1+IF($J627="",Setup!$B$16,$J627)),2))</f>
        <v/>
      </c>
      <c r="L627" s="89">
        <f>IF($K627="","",ROUND($K627*Setup!$B$13,2))</f>
        <v/>
      </c>
      <c r="M627" s="89">
        <f>IF($K627="","",$K627-$L627)</f>
        <v/>
      </c>
      <c r="N627" s="89">
        <f>IF(OR($M627="",$D627=""),"",ROUND($M627*IFERROR(IF(VLOOKUP($D627,Setup!$A$76:$C$87,3,FALSE)="",Setup!$B$14,VLOOKUP($D627,Setup!$A$76:$C$87,3,FALSE)),Setup!$B$14),2))</f>
        <v/>
      </c>
      <c r="O627" s="89">
        <f>IF(OR($M627="",$E627=""),"",ROUND($M627*IFERROR(IF(VLOOKUP($E627,Setup!$A$76:$C$87,3,FALSE)="",Setup!$B$15,VLOOKUP($E627,Setup!$A$76:$C$87,3,FALSE)),Setup!$B$15),2))</f>
        <v/>
      </c>
      <c r="P627" s="91" t="n"/>
      <c r="Q627" s="91" t="n"/>
      <c r="R627" s="91" t="n"/>
      <c r="S627" s="91" t="n"/>
      <c r="T627" s="91" t="n"/>
      <c r="U627" s="89">
        <f>IF($K627="","",SUM($R627:$T627))</f>
        <v/>
      </c>
      <c r="V627" s="89">
        <f>IF($K627="","",$M627-(N($N627)+N($O627)+IF($P627="",Setup!$B$17,$P627)+N($Q627))-N($U627))</f>
        <v/>
      </c>
      <c r="W627" s="86" t="n"/>
      <c r="X627" s="87" t="n"/>
      <c r="Z627" s="92">
        <f>IF($A627="","",DATE(YEAR($A627),MONTH($A627),1))</f>
        <v/>
      </c>
    </row>
    <row r="628">
      <c r="A628" s="93" t="n"/>
      <c r="B628" s="94" t="n"/>
      <c r="C628" s="94" t="n"/>
      <c r="D628" s="95" t="n"/>
      <c r="E628" s="95" t="n"/>
      <c r="F628" s="95" t="n"/>
      <c r="G628" s="95" t="n"/>
      <c r="H628" s="96" t="n"/>
      <c r="I628" s="89">
        <f>IF($G628="","",IF($F628="",IFERROR(INDEX(Setup!$C$21:$C$60,MATCH("|"&amp;UPPER(TRIM($G628)),Setup!$Q$21:$Q$60,0)),"NO RATE"),IFERROR(INDEX(Setup!$C$21:$C$60,MATCH(UPPER(TRIM($F628))&amp;"|"&amp;UPPER(TRIM($G628)),Setup!$P$21:$P$60,0)),IFERROR(INDEX(Setup!$C$21:$C$60,MATCH(UPPER(TRIM($G628))&amp;"|"&amp;UPPER(TRIM($F628)),Setup!$P$21:$P$60,0)),"NO RATE"))))</f>
        <v/>
      </c>
      <c r="J628" s="97" t="n"/>
      <c r="K628" s="89">
        <f>IF(OR($G628="",$H628="",NOT(ISNUMBER($I628))),"",ROUND($H628*$I628*(1+IF($J628="",Setup!$B$16,$J628)),2))</f>
        <v/>
      </c>
      <c r="L628" s="89">
        <f>IF($K628="","",ROUND($K628*Setup!$B$13,2))</f>
        <v/>
      </c>
      <c r="M628" s="89">
        <f>IF($K628="","",$K628-$L628)</f>
        <v/>
      </c>
      <c r="N628" s="89">
        <f>IF(OR($M628="",$D628=""),"",ROUND($M628*IFERROR(IF(VLOOKUP($D628,Setup!$A$76:$C$87,3,FALSE)="",Setup!$B$14,VLOOKUP($D628,Setup!$A$76:$C$87,3,FALSE)),Setup!$B$14),2))</f>
        <v/>
      </c>
      <c r="O628" s="89">
        <f>IF(OR($M628="",$E628=""),"",ROUND($M628*IFERROR(IF(VLOOKUP($E628,Setup!$A$76:$C$87,3,FALSE)="",Setup!$B$15,VLOOKUP($E628,Setup!$A$76:$C$87,3,FALSE)),Setup!$B$15),2))</f>
        <v/>
      </c>
      <c r="P628" s="98" t="n"/>
      <c r="Q628" s="98" t="n"/>
      <c r="R628" s="98" t="n"/>
      <c r="S628" s="98" t="n"/>
      <c r="T628" s="98" t="n"/>
      <c r="U628" s="89">
        <f>IF($K628="","",SUM($R628:$T628))</f>
        <v/>
      </c>
      <c r="V628" s="89">
        <f>IF($K628="","",$M628-(N($N628)+N($O628)+IF($P628="",Setup!$B$17,$P628)+N($Q628))-N($U628))</f>
        <v/>
      </c>
      <c r="W628" s="94" t="n"/>
      <c r="X628" s="95" t="n"/>
      <c r="Z628" s="92">
        <f>IF($A628="","",DATE(YEAR($A628),MONTH($A628),1))</f>
        <v/>
      </c>
    </row>
    <row r="629">
      <c r="A629" s="85" t="n"/>
      <c r="B629" s="86" t="n"/>
      <c r="C629" s="86" t="n"/>
      <c r="D629" s="87" t="n"/>
      <c r="E629" s="87" t="n"/>
      <c r="F629" s="87" t="n"/>
      <c r="G629" s="87" t="n"/>
      <c r="H629" s="88" t="n"/>
      <c r="I629" s="89">
        <f>IF($G629="","",IF($F629="",IFERROR(INDEX(Setup!$C$21:$C$60,MATCH("|"&amp;UPPER(TRIM($G629)),Setup!$Q$21:$Q$60,0)),"NO RATE"),IFERROR(INDEX(Setup!$C$21:$C$60,MATCH(UPPER(TRIM($F629))&amp;"|"&amp;UPPER(TRIM($G629)),Setup!$P$21:$P$60,0)),IFERROR(INDEX(Setup!$C$21:$C$60,MATCH(UPPER(TRIM($G629))&amp;"|"&amp;UPPER(TRIM($F629)),Setup!$P$21:$P$60,0)),"NO RATE"))))</f>
        <v/>
      </c>
      <c r="J629" s="90" t="n"/>
      <c r="K629" s="89">
        <f>IF(OR($G629="",$H629="",NOT(ISNUMBER($I629))),"",ROUND($H629*$I629*(1+IF($J629="",Setup!$B$16,$J629)),2))</f>
        <v/>
      </c>
      <c r="L629" s="89">
        <f>IF($K629="","",ROUND($K629*Setup!$B$13,2))</f>
        <v/>
      </c>
      <c r="M629" s="89">
        <f>IF($K629="","",$K629-$L629)</f>
        <v/>
      </c>
      <c r="N629" s="89">
        <f>IF(OR($M629="",$D629=""),"",ROUND($M629*IFERROR(IF(VLOOKUP($D629,Setup!$A$76:$C$87,3,FALSE)="",Setup!$B$14,VLOOKUP($D629,Setup!$A$76:$C$87,3,FALSE)),Setup!$B$14),2))</f>
        <v/>
      </c>
      <c r="O629" s="89">
        <f>IF(OR($M629="",$E629=""),"",ROUND($M629*IFERROR(IF(VLOOKUP($E629,Setup!$A$76:$C$87,3,FALSE)="",Setup!$B$15,VLOOKUP($E629,Setup!$A$76:$C$87,3,FALSE)),Setup!$B$15),2))</f>
        <v/>
      </c>
      <c r="P629" s="91" t="n"/>
      <c r="Q629" s="91" t="n"/>
      <c r="R629" s="91" t="n"/>
      <c r="S629" s="91" t="n"/>
      <c r="T629" s="91" t="n"/>
      <c r="U629" s="89">
        <f>IF($K629="","",SUM($R629:$T629))</f>
        <v/>
      </c>
      <c r="V629" s="89">
        <f>IF($K629="","",$M629-(N($N629)+N($O629)+IF($P629="",Setup!$B$17,$P629)+N($Q629))-N($U629))</f>
        <v/>
      </c>
      <c r="W629" s="86" t="n"/>
      <c r="X629" s="87" t="n"/>
      <c r="Z629" s="92">
        <f>IF($A629="","",DATE(YEAR($A629),MONTH($A629),1))</f>
        <v/>
      </c>
    </row>
    <row r="630">
      <c r="A630" s="93" t="n"/>
      <c r="B630" s="94" t="n"/>
      <c r="C630" s="94" t="n"/>
      <c r="D630" s="95" t="n"/>
      <c r="E630" s="95" t="n"/>
      <c r="F630" s="95" t="n"/>
      <c r="G630" s="95" t="n"/>
      <c r="H630" s="96" t="n"/>
      <c r="I630" s="89">
        <f>IF($G630="","",IF($F630="",IFERROR(INDEX(Setup!$C$21:$C$60,MATCH("|"&amp;UPPER(TRIM($G630)),Setup!$Q$21:$Q$60,0)),"NO RATE"),IFERROR(INDEX(Setup!$C$21:$C$60,MATCH(UPPER(TRIM($F630))&amp;"|"&amp;UPPER(TRIM($G630)),Setup!$P$21:$P$60,0)),IFERROR(INDEX(Setup!$C$21:$C$60,MATCH(UPPER(TRIM($G630))&amp;"|"&amp;UPPER(TRIM($F630)),Setup!$P$21:$P$60,0)),"NO RATE"))))</f>
        <v/>
      </c>
      <c r="J630" s="97" t="n"/>
      <c r="K630" s="89">
        <f>IF(OR($G630="",$H630="",NOT(ISNUMBER($I630))),"",ROUND($H630*$I630*(1+IF($J630="",Setup!$B$16,$J630)),2))</f>
        <v/>
      </c>
      <c r="L630" s="89">
        <f>IF($K630="","",ROUND($K630*Setup!$B$13,2))</f>
        <v/>
      </c>
      <c r="M630" s="89">
        <f>IF($K630="","",$K630-$L630)</f>
        <v/>
      </c>
      <c r="N630" s="89">
        <f>IF(OR($M630="",$D630=""),"",ROUND($M630*IFERROR(IF(VLOOKUP($D630,Setup!$A$76:$C$87,3,FALSE)="",Setup!$B$14,VLOOKUP($D630,Setup!$A$76:$C$87,3,FALSE)),Setup!$B$14),2))</f>
        <v/>
      </c>
      <c r="O630" s="89">
        <f>IF(OR($M630="",$E630=""),"",ROUND($M630*IFERROR(IF(VLOOKUP($E630,Setup!$A$76:$C$87,3,FALSE)="",Setup!$B$15,VLOOKUP($E630,Setup!$A$76:$C$87,3,FALSE)),Setup!$B$15),2))</f>
        <v/>
      </c>
      <c r="P630" s="98" t="n"/>
      <c r="Q630" s="98" t="n"/>
      <c r="R630" s="98" t="n"/>
      <c r="S630" s="98" t="n"/>
      <c r="T630" s="98" t="n"/>
      <c r="U630" s="89">
        <f>IF($K630="","",SUM($R630:$T630))</f>
        <v/>
      </c>
      <c r="V630" s="89">
        <f>IF($K630="","",$M630-(N($N630)+N($O630)+IF($P630="",Setup!$B$17,$P630)+N($Q630))-N($U630))</f>
        <v/>
      </c>
      <c r="W630" s="94" t="n"/>
      <c r="X630" s="95" t="n"/>
      <c r="Z630" s="92">
        <f>IF($A630="","",DATE(YEAR($A630),MONTH($A630),1))</f>
        <v/>
      </c>
    </row>
    <row r="631">
      <c r="A631" s="85" t="n"/>
      <c r="B631" s="86" t="n"/>
      <c r="C631" s="86" t="n"/>
      <c r="D631" s="87" t="n"/>
      <c r="E631" s="87" t="n"/>
      <c r="F631" s="87" t="n"/>
      <c r="G631" s="87" t="n"/>
      <c r="H631" s="88" t="n"/>
      <c r="I631" s="89">
        <f>IF($G631="","",IF($F631="",IFERROR(INDEX(Setup!$C$21:$C$60,MATCH("|"&amp;UPPER(TRIM($G631)),Setup!$Q$21:$Q$60,0)),"NO RATE"),IFERROR(INDEX(Setup!$C$21:$C$60,MATCH(UPPER(TRIM($F631))&amp;"|"&amp;UPPER(TRIM($G631)),Setup!$P$21:$P$60,0)),IFERROR(INDEX(Setup!$C$21:$C$60,MATCH(UPPER(TRIM($G631))&amp;"|"&amp;UPPER(TRIM($F631)),Setup!$P$21:$P$60,0)),"NO RATE"))))</f>
        <v/>
      </c>
      <c r="J631" s="90" t="n"/>
      <c r="K631" s="89">
        <f>IF(OR($G631="",$H631="",NOT(ISNUMBER($I631))),"",ROUND($H631*$I631*(1+IF($J631="",Setup!$B$16,$J631)),2))</f>
        <v/>
      </c>
      <c r="L631" s="89">
        <f>IF($K631="","",ROUND($K631*Setup!$B$13,2))</f>
        <v/>
      </c>
      <c r="M631" s="89">
        <f>IF($K631="","",$K631-$L631)</f>
        <v/>
      </c>
      <c r="N631" s="89">
        <f>IF(OR($M631="",$D631=""),"",ROUND($M631*IFERROR(IF(VLOOKUP($D631,Setup!$A$76:$C$87,3,FALSE)="",Setup!$B$14,VLOOKUP($D631,Setup!$A$76:$C$87,3,FALSE)),Setup!$B$14),2))</f>
        <v/>
      </c>
      <c r="O631" s="89">
        <f>IF(OR($M631="",$E631=""),"",ROUND($M631*IFERROR(IF(VLOOKUP($E631,Setup!$A$76:$C$87,3,FALSE)="",Setup!$B$15,VLOOKUP($E631,Setup!$A$76:$C$87,3,FALSE)),Setup!$B$15),2))</f>
        <v/>
      </c>
      <c r="P631" s="91" t="n"/>
      <c r="Q631" s="91" t="n"/>
      <c r="R631" s="91" t="n"/>
      <c r="S631" s="91" t="n"/>
      <c r="T631" s="91" t="n"/>
      <c r="U631" s="89">
        <f>IF($K631="","",SUM($R631:$T631))</f>
        <v/>
      </c>
      <c r="V631" s="89">
        <f>IF($K631="","",$M631-(N($N631)+N($O631)+IF($P631="",Setup!$B$17,$P631)+N($Q631))-N($U631))</f>
        <v/>
      </c>
      <c r="W631" s="86" t="n"/>
      <c r="X631" s="87" t="n"/>
      <c r="Z631" s="92">
        <f>IF($A631="","",DATE(YEAR($A631),MONTH($A631),1))</f>
        <v/>
      </c>
    </row>
    <row r="632">
      <c r="A632" s="93" t="n"/>
      <c r="B632" s="94" t="n"/>
      <c r="C632" s="94" t="n"/>
      <c r="D632" s="95" t="n"/>
      <c r="E632" s="95" t="n"/>
      <c r="F632" s="95" t="n"/>
      <c r="G632" s="95" t="n"/>
      <c r="H632" s="96" t="n"/>
      <c r="I632" s="89">
        <f>IF($G632="","",IF($F632="",IFERROR(INDEX(Setup!$C$21:$C$60,MATCH("|"&amp;UPPER(TRIM($G632)),Setup!$Q$21:$Q$60,0)),"NO RATE"),IFERROR(INDEX(Setup!$C$21:$C$60,MATCH(UPPER(TRIM($F632))&amp;"|"&amp;UPPER(TRIM($G632)),Setup!$P$21:$P$60,0)),IFERROR(INDEX(Setup!$C$21:$C$60,MATCH(UPPER(TRIM($G632))&amp;"|"&amp;UPPER(TRIM($F632)),Setup!$P$21:$P$60,0)),"NO RATE"))))</f>
        <v/>
      </c>
      <c r="J632" s="97" t="n"/>
      <c r="K632" s="89">
        <f>IF(OR($G632="",$H632="",NOT(ISNUMBER($I632))),"",ROUND($H632*$I632*(1+IF($J632="",Setup!$B$16,$J632)),2))</f>
        <v/>
      </c>
      <c r="L632" s="89">
        <f>IF($K632="","",ROUND($K632*Setup!$B$13,2))</f>
        <v/>
      </c>
      <c r="M632" s="89">
        <f>IF($K632="","",$K632-$L632)</f>
        <v/>
      </c>
      <c r="N632" s="89">
        <f>IF(OR($M632="",$D632=""),"",ROUND($M632*IFERROR(IF(VLOOKUP($D632,Setup!$A$76:$C$87,3,FALSE)="",Setup!$B$14,VLOOKUP($D632,Setup!$A$76:$C$87,3,FALSE)),Setup!$B$14),2))</f>
        <v/>
      </c>
      <c r="O632" s="89">
        <f>IF(OR($M632="",$E632=""),"",ROUND($M632*IFERROR(IF(VLOOKUP($E632,Setup!$A$76:$C$87,3,FALSE)="",Setup!$B$15,VLOOKUP($E632,Setup!$A$76:$C$87,3,FALSE)),Setup!$B$15),2))</f>
        <v/>
      </c>
      <c r="P632" s="98" t="n"/>
      <c r="Q632" s="98" t="n"/>
      <c r="R632" s="98" t="n"/>
      <c r="S632" s="98" t="n"/>
      <c r="T632" s="98" t="n"/>
      <c r="U632" s="89">
        <f>IF($K632="","",SUM($R632:$T632))</f>
        <v/>
      </c>
      <c r="V632" s="89">
        <f>IF($K632="","",$M632-(N($N632)+N($O632)+IF($P632="",Setup!$B$17,$P632)+N($Q632))-N($U632))</f>
        <v/>
      </c>
      <c r="W632" s="94" t="n"/>
      <c r="X632" s="95" t="n"/>
      <c r="Z632" s="92">
        <f>IF($A632="","",DATE(YEAR($A632),MONTH($A632),1))</f>
        <v/>
      </c>
    </row>
    <row r="633">
      <c r="A633" s="85" t="n"/>
      <c r="B633" s="86" t="n"/>
      <c r="C633" s="86" t="n"/>
      <c r="D633" s="87" t="n"/>
      <c r="E633" s="87" t="n"/>
      <c r="F633" s="87" t="n"/>
      <c r="G633" s="87" t="n"/>
      <c r="H633" s="88" t="n"/>
      <c r="I633" s="89">
        <f>IF($G633="","",IF($F633="",IFERROR(INDEX(Setup!$C$21:$C$60,MATCH("|"&amp;UPPER(TRIM($G633)),Setup!$Q$21:$Q$60,0)),"NO RATE"),IFERROR(INDEX(Setup!$C$21:$C$60,MATCH(UPPER(TRIM($F633))&amp;"|"&amp;UPPER(TRIM($G633)),Setup!$P$21:$P$60,0)),IFERROR(INDEX(Setup!$C$21:$C$60,MATCH(UPPER(TRIM($G633))&amp;"|"&amp;UPPER(TRIM($F633)),Setup!$P$21:$P$60,0)),"NO RATE"))))</f>
        <v/>
      </c>
      <c r="J633" s="90" t="n"/>
      <c r="K633" s="89">
        <f>IF(OR($G633="",$H633="",NOT(ISNUMBER($I633))),"",ROUND($H633*$I633*(1+IF($J633="",Setup!$B$16,$J633)),2))</f>
        <v/>
      </c>
      <c r="L633" s="89">
        <f>IF($K633="","",ROUND($K633*Setup!$B$13,2))</f>
        <v/>
      </c>
      <c r="M633" s="89">
        <f>IF($K633="","",$K633-$L633)</f>
        <v/>
      </c>
      <c r="N633" s="89">
        <f>IF(OR($M633="",$D633=""),"",ROUND($M633*IFERROR(IF(VLOOKUP($D633,Setup!$A$76:$C$87,3,FALSE)="",Setup!$B$14,VLOOKUP($D633,Setup!$A$76:$C$87,3,FALSE)),Setup!$B$14),2))</f>
        <v/>
      </c>
      <c r="O633" s="89">
        <f>IF(OR($M633="",$E633=""),"",ROUND($M633*IFERROR(IF(VLOOKUP($E633,Setup!$A$76:$C$87,3,FALSE)="",Setup!$B$15,VLOOKUP($E633,Setup!$A$76:$C$87,3,FALSE)),Setup!$B$15),2))</f>
        <v/>
      </c>
      <c r="P633" s="91" t="n"/>
      <c r="Q633" s="91" t="n"/>
      <c r="R633" s="91" t="n"/>
      <c r="S633" s="91" t="n"/>
      <c r="T633" s="91" t="n"/>
      <c r="U633" s="89">
        <f>IF($K633="","",SUM($R633:$T633))</f>
        <v/>
      </c>
      <c r="V633" s="89">
        <f>IF($K633="","",$M633-(N($N633)+N($O633)+IF($P633="",Setup!$B$17,$P633)+N($Q633))-N($U633))</f>
        <v/>
      </c>
      <c r="W633" s="86" t="n"/>
      <c r="X633" s="87" t="n"/>
      <c r="Z633" s="92">
        <f>IF($A633="","",DATE(YEAR($A633),MONTH($A633),1))</f>
        <v/>
      </c>
    </row>
    <row r="634">
      <c r="A634" s="93" t="n"/>
      <c r="B634" s="94" t="n"/>
      <c r="C634" s="94" t="n"/>
      <c r="D634" s="95" t="n"/>
      <c r="E634" s="95" t="n"/>
      <c r="F634" s="95" t="n"/>
      <c r="G634" s="95" t="n"/>
      <c r="H634" s="96" t="n"/>
      <c r="I634" s="89">
        <f>IF($G634="","",IF($F634="",IFERROR(INDEX(Setup!$C$21:$C$60,MATCH("|"&amp;UPPER(TRIM($G634)),Setup!$Q$21:$Q$60,0)),"NO RATE"),IFERROR(INDEX(Setup!$C$21:$C$60,MATCH(UPPER(TRIM($F634))&amp;"|"&amp;UPPER(TRIM($G634)),Setup!$P$21:$P$60,0)),IFERROR(INDEX(Setup!$C$21:$C$60,MATCH(UPPER(TRIM($G634))&amp;"|"&amp;UPPER(TRIM($F634)),Setup!$P$21:$P$60,0)),"NO RATE"))))</f>
        <v/>
      </c>
      <c r="J634" s="97" t="n"/>
      <c r="K634" s="89">
        <f>IF(OR($G634="",$H634="",NOT(ISNUMBER($I634))),"",ROUND($H634*$I634*(1+IF($J634="",Setup!$B$16,$J634)),2))</f>
        <v/>
      </c>
      <c r="L634" s="89">
        <f>IF($K634="","",ROUND($K634*Setup!$B$13,2))</f>
        <v/>
      </c>
      <c r="M634" s="89">
        <f>IF($K634="","",$K634-$L634)</f>
        <v/>
      </c>
      <c r="N634" s="89">
        <f>IF(OR($M634="",$D634=""),"",ROUND($M634*IFERROR(IF(VLOOKUP($D634,Setup!$A$76:$C$87,3,FALSE)="",Setup!$B$14,VLOOKUP($D634,Setup!$A$76:$C$87,3,FALSE)),Setup!$B$14),2))</f>
        <v/>
      </c>
      <c r="O634" s="89">
        <f>IF(OR($M634="",$E634=""),"",ROUND($M634*IFERROR(IF(VLOOKUP($E634,Setup!$A$76:$C$87,3,FALSE)="",Setup!$B$15,VLOOKUP($E634,Setup!$A$76:$C$87,3,FALSE)),Setup!$B$15),2))</f>
        <v/>
      </c>
      <c r="P634" s="98" t="n"/>
      <c r="Q634" s="98" t="n"/>
      <c r="R634" s="98" t="n"/>
      <c r="S634" s="98" t="n"/>
      <c r="T634" s="98" t="n"/>
      <c r="U634" s="89">
        <f>IF($K634="","",SUM($R634:$T634))</f>
        <v/>
      </c>
      <c r="V634" s="89">
        <f>IF($K634="","",$M634-(N($N634)+N($O634)+IF($P634="",Setup!$B$17,$P634)+N($Q634))-N($U634))</f>
        <v/>
      </c>
      <c r="W634" s="94" t="n"/>
      <c r="X634" s="95" t="n"/>
      <c r="Z634" s="92">
        <f>IF($A634="","",DATE(YEAR($A634),MONTH($A634),1))</f>
        <v/>
      </c>
    </row>
    <row r="635">
      <c r="A635" s="85" t="n"/>
      <c r="B635" s="86" t="n"/>
      <c r="C635" s="86" t="n"/>
      <c r="D635" s="87" t="n"/>
      <c r="E635" s="87" t="n"/>
      <c r="F635" s="87" t="n"/>
      <c r="G635" s="87" t="n"/>
      <c r="H635" s="88" t="n"/>
      <c r="I635" s="89">
        <f>IF($G635="","",IF($F635="",IFERROR(INDEX(Setup!$C$21:$C$60,MATCH("|"&amp;UPPER(TRIM($G635)),Setup!$Q$21:$Q$60,0)),"NO RATE"),IFERROR(INDEX(Setup!$C$21:$C$60,MATCH(UPPER(TRIM($F635))&amp;"|"&amp;UPPER(TRIM($G635)),Setup!$P$21:$P$60,0)),IFERROR(INDEX(Setup!$C$21:$C$60,MATCH(UPPER(TRIM($G635))&amp;"|"&amp;UPPER(TRIM($F635)),Setup!$P$21:$P$60,0)),"NO RATE"))))</f>
        <v/>
      </c>
      <c r="J635" s="90" t="n"/>
      <c r="K635" s="89">
        <f>IF(OR($G635="",$H635="",NOT(ISNUMBER($I635))),"",ROUND($H635*$I635*(1+IF($J635="",Setup!$B$16,$J635)),2))</f>
        <v/>
      </c>
      <c r="L635" s="89">
        <f>IF($K635="","",ROUND($K635*Setup!$B$13,2))</f>
        <v/>
      </c>
      <c r="M635" s="89">
        <f>IF($K635="","",$K635-$L635)</f>
        <v/>
      </c>
      <c r="N635" s="89">
        <f>IF(OR($M635="",$D635=""),"",ROUND($M635*IFERROR(IF(VLOOKUP($D635,Setup!$A$76:$C$87,3,FALSE)="",Setup!$B$14,VLOOKUP($D635,Setup!$A$76:$C$87,3,FALSE)),Setup!$B$14),2))</f>
        <v/>
      </c>
      <c r="O635" s="89">
        <f>IF(OR($M635="",$E635=""),"",ROUND($M635*IFERROR(IF(VLOOKUP($E635,Setup!$A$76:$C$87,3,FALSE)="",Setup!$B$15,VLOOKUP($E635,Setup!$A$76:$C$87,3,FALSE)),Setup!$B$15),2))</f>
        <v/>
      </c>
      <c r="P635" s="91" t="n"/>
      <c r="Q635" s="91" t="n"/>
      <c r="R635" s="91" t="n"/>
      <c r="S635" s="91" t="n"/>
      <c r="T635" s="91" t="n"/>
      <c r="U635" s="89">
        <f>IF($K635="","",SUM($R635:$T635))</f>
        <v/>
      </c>
      <c r="V635" s="89">
        <f>IF($K635="","",$M635-(N($N635)+N($O635)+IF($P635="",Setup!$B$17,$P635)+N($Q635))-N($U635))</f>
        <v/>
      </c>
      <c r="W635" s="86" t="n"/>
      <c r="X635" s="87" t="n"/>
      <c r="Z635" s="92">
        <f>IF($A635="","",DATE(YEAR($A635),MONTH($A635),1))</f>
        <v/>
      </c>
    </row>
    <row r="636">
      <c r="A636" s="93" t="n"/>
      <c r="B636" s="94" t="n"/>
      <c r="C636" s="94" t="n"/>
      <c r="D636" s="95" t="n"/>
      <c r="E636" s="95" t="n"/>
      <c r="F636" s="95" t="n"/>
      <c r="G636" s="95" t="n"/>
      <c r="H636" s="96" t="n"/>
      <c r="I636" s="89">
        <f>IF($G636="","",IF($F636="",IFERROR(INDEX(Setup!$C$21:$C$60,MATCH("|"&amp;UPPER(TRIM($G636)),Setup!$Q$21:$Q$60,0)),"NO RATE"),IFERROR(INDEX(Setup!$C$21:$C$60,MATCH(UPPER(TRIM($F636))&amp;"|"&amp;UPPER(TRIM($G636)),Setup!$P$21:$P$60,0)),IFERROR(INDEX(Setup!$C$21:$C$60,MATCH(UPPER(TRIM($G636))&amp;"|"&amp;UPPER(TRIM($F636)),Setup!$P$21:$P$60,0)),"NO RATE"))))</f>
        <v/>
      </c>
      <c r="J636" s="97" t="n"/>
      <c r="K636" s="89">
        <f>IF(OR($G636="",$H636="",NOT(ISNUMBER($I636))),"",ROUND($H636*$I636*(1+IF($J636="",Setup!$B$16,$J636)),2))</f>
        <v/>
      </c>
      <c r="L636" s="89">
        <f>IF($K636="","",ROUND($K636*Setup!$B$13,2))</f>
        <v/>
      </c>
      <c r="M636" s="89">
        <f>IF($K636="","",$K636-$L636)</f>
        <v/>
      </c>
      <c r="N636" s="89">
        <f>IF(OR($M636="",$D636=""),"",ROUND($M636*IFERROR(IF(VLOOKUP($D636,Setup!$A$76:$C$87,3,FALSE)="",Setup!$B$14,VLOOKUP($D636,Setup!$A$76:$C$87,3,FALSE)),Setup!$B$14),2))</f>
        <v/>
      </c>
      <c r="O636" s="89">
        <f>IF(OR($M636="",$E636=""),"",ROUND($M636*IFERROR(IF(VLOOKUP($E636,Setup!$A$76:$C$87,3,FALSE)="",Setup!$B$15,VLOOKUP($E636,Setup!$A$76:$C$87,3,FALSE)),Setup!$B$15),2))</f>
        <v/>
      </c>
      <c r="P636" s="98" t="n"/>
      <c r="Q636" s="98" t="n"/>
      <c r="R636" s="98" t="n"/>
      <c r="S636" s="98" t="n"/>
      <c r="T636" s="98" t="n"/>
      <c r="U636" s="89">
        <f>IF($K636="","",SUM($R636:$T636))</f>
        <v/>
      </c>
      <c r="V636" s="89">
        <f>IF($K636="","",$M636-(N($N636)+N($O636)+IF($P636="",Setup!$B$17,$P636)+N($Q636))-N($U636))</f>
        <v/>
      </c>
      <c r="W636" s="94" t="n"/>
      <c r="X636" s="95" t="n"/>
      <c r="Z636" s="92">
        <f>IF($A636="","",DATE(YEAR($A636),MONTH($A636),1))</f>
        <v/>
      </c>
    </row>
    <row r="637">
      <c r="A637" s="85" t="n"/>
      <c r="B637" s="86" t="n"/>
      <c r="C637" s="86" t="n"/>
      <c r="D637" s="87" t="n"/>
      <c r="E637" s="87" t="n"/>
      <c r="F637" s="87" t="n"/>
      <c r="G637" s="87" t="n"/>
      <c r="H637" s="88" t="n"/>
      <c r="I637" s="89">
        <f>IF($G637="","",IF($F637="",IFERROR(INDEX(Setup!$C$21:$C$60,MATCH("|"&amp;UPPER(TRIM($G637)),Setup!$Q$21:$Q$60,0)),"NO RATE"),IFERROR(INDEX(Setup!$C$21:$C$60,MATCH(UPPER(TRIM($F637))&amp;"|"&amp;UPPER(TRIM($G637)),Setup!$P$21:$P$60,0)),IFERROR(INDEX(Setup!$C$21:$C$60,MATCH(UPPER(TRIM($G637))&amp;"|"&amp;UPPER(TRIM($F637)),Setup!$P$21:$P$60,0)),"NO RATE"))))</f>
        <v/>
      </c>
      <c r="J637" s="90" t="n"/>
      <c r="K637" s="89">
        <f>IF(OR($G637="",$H637="",NOT(ISNUMBER($I637))),"",ROUND($H637*$I637*(1+IF($J637="",Setup!$B$16,$J637)),2))</f>
        <v/>
      </c>
      <c r="L637" s="89">
        <f>IF($K637="","",ROUND($K637*Setup!$B$13,2))</f>
        <v/>
      </c>
      <c r="M637" s="89">
        <f>IF($K637="","",$K637-$L637)</f>
        <v/>
      </c>
      <c r="N637" s="89">
        <f>IF(OR($M637="",$D637=""),"",ROUND($M637*IFERROR(IF(VLOOKUP($D637,Setup!$A$76:$C$87,3,FALSE)="",Setup!$B$14,VLOOKUP($D637,Setup!$A$76:$C$87,3,FALSE)),Setup!$B$14),2))</f>
        <v/>
      </c>
      <c r="O637" s="89">
        <f>IF(OR($M637="",$E637=""),"",ROUND($M637*IFERROR(IF(VLOOKUP($E637,Setup!$A$76:$C$87,3,FALSE)="",Setup!$B$15,VLOOKUP($E637,Setup!$A$76:$C$87,3,FALSE)),Setup!$B$15),2))</f>
        <v/>
      </c>
      <c r="P637" s="91" t="n"/>
      <c r="Q637" s="91" t="n"/>
      <c r="R637" s="91" t="n"/>
      <c r="S637" s="91" t="n"/>
      <c r="T637" s="91" t="n"/>
      <c r="U637" s="89">
        <f>IF($K637="","",SUM($R637:$T637))</f>
        <v/>
      </c>
      <c r="V637" s="89">
        <f>IF($K637="","",$M637-(N($N637)+N($O637)+IF($P637="",Setup!$B$17,$P637)+N($Q637))-N($U637))</f>
        <v/>
      </c>
      <c r="W637" s="86" t="n"/>
      <c r="X637" s="87" t="n"/>
      <c r="Z637" s="92">
        <f>IF($A637="","",DATE(YEAR($A637),MONTH($A637),1))</f>
        <v/>
      </c>
    </row>
    <row r="638">
      <c r="A638" s="93" t="n"/>
      <c r="B638" s="94" t="n"/>
      <c r="C638" s="94" t="n"/>
      <c r="D638" s="95" t="n"/>
      <c r="E638" s="95" t="n"/>
      <c r="F638" s="95" t="n"/>
      <c r="G638" s="95" t="n"/>
      <c r="H638" s="96" t="n"/>
      <c r="I638" s="89">
        <f>IF($G638="","",IF($F638="",IFERROR(INDEX(Setup!$C$21:$C$60,MATCH("|"&amp;UPPER(TRIM($G638)),Setup!$Q$21:$Q$60,0)),"NO RATE"),IFERROR(INDEX(Setup!$C$21:$C$60,MATCH(UPPER(TRIM($F638))&amp;"|"&amp;UPPER(TRIM($G638)),Setup!$P$21:$P$60,0)),IFERROR(INDEX(Setup!$C$21:$C$60,MATCH(UPPER(TRIM($G638))&amp;"|"&amp;UPPER(TRIM($F638)),Setup!$P$21:$P$60,0)),"NO RATE"))))</f>
        <v/>
      </c>
      <c r="J638" s="97" t="n"/>
      <c r="K638" s="89">
        <f>IF(OR($G638="",$H638="",NOT(ISNUMBER($I638))),"",ROUND($H638*$I638*(1+IF($J638="",Setup!$B$16,$J638)),2))</f>
        <v/>
      </c>
      <c r="L638" s="89">
        <f>IF($K638="","",ROUND($K638*Setup!$B$13,2))</f>
        <v/>
      </c>
      <c r="M638" s="89">
        <f>IF($K638="","",$K638-$L638)</f>
        <v/>
      </c>
      <c r="N638" s="89">
        <f>IF(OR($M638="",$D638=""),"",ROUND($M638*IFERROR(IF(VLOOKUP($D638,Setup!$A$76:$C$87,3,FALSE)="",Setup!$B$14,VLOOKUP($D638,Setup!$A$76:$C$87,3,FALSE)),Setup!$B$14),2))</f>
        <v/>
      </c>
      <c r="O638" s="89">
        <f>IF(OR($M638="",$E638=""),"",ROUND($M638*IFERROR(IF(VLOOKUP($E638,Setup!$A$76:$C$87,3,FALSE)="",Setup!$B$15,VLOOKUP($E638,Setup!$A$76:$C$87,3,FALSE)),Setup!$B$15),2))</f>
        <v/>
      </c>
      <c r="P638" s="98" t="n"/>
      <c r="Q638" s="98" t="n"/>
      <c r="R638" s="98" t="n"/>
      <c r="S638" s="98" t="n"/>
      <c r="T638" s="98" t="n"/>
      <c r="U638" s="89">
        <f>IF($K638="","",SUM($R638:$T638))</f>
        <v/>
      </c>
      <c r="V638" s="89">
        <f>IF($K638="","",$M638-(N($N638)+N($O638)+IF($P638="",Setup!$B$17,$P638)+N($Q638))-N($U638))</f>
        <v/>
      </c>
      <c r="W638" s="94" t="n"/>
      <c r="X638" s="95" t="n"/>
      <c r="Z638" s="92">
        <f>IF($A638="","",DATE(YEAR($A638),MONTH($A638),1))</f>
        <v/>
      </c>
    </row>
    <row r="639">
      <c r="A639" s="85" t="n"/>
      <c r="B639" s="86" t="n"/>
      <c r="C639" s="86" t="n"/>
      <c r="D639" s="87" t="n"/>
      <c r="E639" s="87" t="n"/>
      <c r="F639" s="87" t="n"/>
      <c r="G639" s="87" t="n"/>
      <c r="H639" s="88" t="n"/>
      <c r="I639" s="89">
        <f>IF($G639="","",IF($F639="",IFERROR(INDEX(Setup!$C$21:$C$60,MATCH("|"&amp;UPPER(TRIM($G639)),Setup!$Q$21:$Q$60,0)),"NO RATE"),IFERROR(INDEX(Setup!$C$21:$C$60,MATCH(UPPER(TRIM($F639))&amp;"|"&amp;UPPER(TRIM($G639)),Setup!$P$21:$P$60,0)),IFERROR(INDEX(Setup!$C$21:$C$60,MATCH(UPPER(TRIM($G639))&amp;"|"&amp;UPPER(TRIM($F639)),Setup!$P$21:$P$60,0)),"NO RATE"))))</f>
        <v/>
      </c>
      <c r="J639" s="90" t="n"/>
      <c r="K639" s="89">
        <f>IF(OR($G639="",$H639="",NOT(ISNUMBER($I639))),"",ROUND($H639*$I639*(1+IF($J639="",Setup!$B$16,$J639)),2))</f>
        <v/>
      </c>
      <c r="L639" s="89">
        <f>IF($K639="","",ROUND($K639*Setup!$B$13,2))</f>
        <v/>
      </c>
      <c r="M639" s="89">
        <f>IF($K639="","",$K639-$L639)</f>
        <v/>
      </c>
      <c r="N639" s="89">
        <f>IF(OR($M639="",$D639=""),"",ROUND($M639*IFERROR(IF(VLOOKUP($D639,Setup!$A$76:$C$87,3,FALSE)="",Setup!$B$14,VLOOKUP($D639,Setup!$A$76:$C$87,3,FALSE)),Setup!$B$14),2))</f>
        <v/>
      </c>
      <c r="O639" s="89">
        <f>IF(OR($M639="",$E639=""),"",ROUND($M639*IFERROR(IF(VLOOKUP($E639,Setup!$A$76:$C$87,3,FALSE)="",Setup!$B$15,VLOOKUP($E639,Setup!$A$76:$C$87,3,FALSE)),Setup!$B$15),2))</f>
        <v/>
      </c>
      <c r="P639" s="91" t="n"/>
      <c r="Q639" s="91" t="n"/>
      <c r="R639" s="91" t="n"/>
      <c r="S639" s="91" t="n"/>
      <c r="T639" s="91" t="n"/>
      <c r="U639" s="89">
        <f>IF($K639="","",SUM($R639:$T639))</f>
        <v/>
      </c>
      <c r="V639" s="89">
        <f>IF($K639="","",$M639-(N($N639)+N($O639)+IF($P639="",Setup!$B$17,$P639)+N($Q639))-N($U639))</f>
        <v/>
      </c>
      <c r="W639" s="86" t="n"/>
      <c r="X639" s="87" t="n"/>
      <c r="Z639" s="92">
        <f>IF($A639="","",DATE(YEAR($A639),MONTH($A639),1))</f>
        <v/>
      </c>
    </row>
    <row r="640">
      <c r="A640" s="93" t="n"/>
      <c r="B640" s="94" t="n"/>
      <c r="C640" s="94" t="n"/>
      <c r="D640" s="95" t="n"/>
      <c r="E640" s="95" t="n"/>
      <c r="F640" s="95" t="n"/>
      <c r="G640" s="95" t="n"/>
      <c r="H640" s="96" t="n"/>
      <c r="I640" s="89">
        <f>IF($G640="","",IF($F640="",IFERROR(INDEX(Setup!$C$21:$C$60,MATCH("|"&amp;UPPER(TRIM($G640)),Setup!$Q$21:$Q$60,0)),"NO RATE"),IFERROR(INDEX(Setup!$C$21:$C$60,MATCH(UPPER(TRIM($F640))&amp;"|"&amp;UPPER(TRIM($G640)),Setup!$P$21:$P$60,0)),IFERROR(INDEX(Setup!$C$21:$C$60,MATCH(UPPER(TRIM($G640))&amp;"|"&amp;UPPER(TRIM($F640)),Setup!$P$21:$P$60,0)),"NO RATE"))))</f>
        <v/>
      </c>
      <c r="J640" s="97" t="n"/>
      <c r="K640" s="89">
        <f>IF(OR($G640="",$H640="",NOT(ISNUMBER($I640))),"",ROUND($H640*$I640*(1+IF($J640="",Setup!$B$16,$J640)),2))</f>
        <v/>
      </c>
      <c r="L640" s="89">
        <f>IF($K640="","",ROUND($K640*Setup!$B$13,2))</f>
        <v/>
      </c>
      <c r="M640" s="89">
        <f>IF($K640="","",$K640-$L640)</f>
        <v/>
      </c>
      <c r="N640" s="89">
        <f>IF(OR($M640="",$D640=""),"",ROUND($M640*IFERROR(IF(VLOOKUP($D640,Setup!$A$76:$C$87,3,FALSE)="",Setup!$B$14,VLOOKUP($D640,Setup!$A$76:$C$87,3,FALSE)),Setup!$B$14),2))</f>
        <v/>
      </c>
      <c r="O640" s="89">
        <f>IF(OR($M640="",$E640=""),"",ROUND($M640*IFERROR(IF(VLOOKUP($E640,Setup!$A$76:$C$87,3,FALSE)="",Setup!$B$15,VLOOKUP($E640,Setup!$A$76:$C$87,3,FALSE)),Setup!$B$15),2))</f>
        <v/>
      </c>
      <c r="P640" s="98" t="n"/>
      <c r="Q640" s="98" t="n"/>
      <c r="R640" s="98" t="n"/>
      <c r="S640" s="98" t="n"/>
      <c r="T640" s="98" t="n"/>
      <c r="U640" s="89">
        <f>IF($K640="","",SUM($R640:$T640))</f>
        <v/>
      </c>
      <c r="V640" s="89">
        <f>IF($K640="","",$M640-(N($N640)+N($O640)+IF($P640="",Setup!$B$17,$P640)+N($Q640))-N($U640))</f>
        <v/>
      </c>
      <c r="W640" s="94" t="n"/>
      <c r="X640" s="95" t="n"/>
      <c r="Z640" s="92">
        <f>IF($A640="","",DATE(YEAR($A640),MONTH($A640),1))</f>
        <v/>
      </c>
    </row>
    <row r="641">
      <c r="A641" s="85" t="n"/>
      <c r="B641" s="86" t="n"/>
      <c r="C641" s="86" t="n"/>
      <c r="D641" s="87" t="n"/>
      <c r="E641" s="87" t="n"/>
      <c r="F641" s="87" t="n"/>
      <c r="G641" s="87" t="n"/>
      <c r="H641" s="88" t="n"/>
      <c r="I641" s="89">
        <f>IF($G641="","",IF($F641="",IFERROR(INDEX(Setup!$C$21:$C$60,MATCH("|"&amp;UPPER(TRIM($G641)),Setup!$Q$21:$Q$60,0)),"NO RATE"),IFERROR(INDEX(Setup!$C$21:$C$60,MATCH(UPPER(TRIM($F641))&amp;"|"&amp;UPPER(TRIM($G641)),Setup!$P$21:$P$60,0)),IFERROR(INDEX(Setup!$C$21:$C$60,MATCH(UPPER(TRIM($G641))&amp;"|"&amp;UPPER(TRIM($F641)),Setup!$P$21:$P$60,0)),"NO RATE"))))</f>
        <v/>
      </c>
      <c r="J641" s="90" t="n"/>
      <c r="K641" s="89">
        <f>IF(OR($G641="",$H641="",NOT(ISNUMBER($I641))),"",ROUND($H641*$I641*(1+IF($J641="",Setup!$B$16,$J641)),2))</f>
        <v/>
      </c>
      <c r="L641" s="89">
        <f>IF($K641="","",ROUND($K641*Setup!$B$13,2))</f>
        <v/>
      </c>
      <c r="M641" s="89">
        <f>IF($K641="","",$K641-$L641)</f>
        <v/>
      </c>
      <c r="N641" s="89">
        <f>IF(OR($M641="",$D641=""),"",ROUND($M641*IFERROR(IF(VLOOKUP($D641,Setup!$A$76:$C$87,3,FALSE)="",Setup!$B$14,VLOOKUP($D641,Setup!$A$76:$C$87,3,FALSE)),Setup!$B$14),2))</f>
        <v/>
      </c>
      <c r="O641" s="89">
        <f>IF(OR($M641="",$E641=""),"",ROUND($M641*IFERROR(IF(VLOOKUP($E641,Setup!$A$76:$C$87,3,FALSE)="",Setup!$B$15,VLOOKUP($E641,Setup!$A$76:$C$87,3,FALSE)),Setup!$B$15),2))</f>
        <v/>
      </c>
      <c r="P641" s="91" t="n"/>
      <c r="Q641" s="91" t="n"/>
      <c r="R641" s="91" t="n"/>
      <c r="S641" s="91" t="n"/>
      <c r="T641" s="91" t="n"/>
      <c r="U641" s="89">
        <f>IF($K641="","",SUM($R641:$T641))</f>
        <v/>
      </c>
      <c r="V641" s="89">
        <f>IF($K641="","",$M641-(N($N641)+N($O641)+IF($P641="",Setup!$B$17,$P641)+N($Q641))-N($U641))</f>
        <v/>
      </c>
      <c r="W641" s="86" t="n"/>
      <c r="X641" s="87" t="n"/>
      <c r="Z641" s="92">
        <f>IF($A641="","",DATE(YEAR($A641),MONTH($A641),1))</f>
        <v/>
      </c>
    </row>
    <row r="642">
      <c r="A642" s="93" t="n"/>
      <c r="B642" s="94" t="n"/>
      <c r="C642" s="94" t="n"/>
      <c r="D642" s="95" t="n"/>
      <c r="E642" s="95" t="n"/>
      <c r="F642" s="95" t="n"/>
      <c r="G642" s="95" t="n"/>
      <c r="H642" s="96" t="n"/>
      <c r="I642" s="89">
        <f>IF($G642="","",IF($F642="",IFERROR(INDEX(Setup!$C$21:$C$60,MATCH("|"&amp;UPPER(TRIM($G642)),Setup!$Q$21:$Q$60,0)),"NO RATE"),IFERROR(INDEX(Setup!$C$21:$C$60,MATCH(UPPER(TRIM($F642))&amp;"|"&amp;UPPER(TRIM($G642)),Setup!$P$21:$P$60,0)),IFERROR(INDEX(Setup!$C$21:$C$60,MATCH(UPPER(TRIM($G642))&amp;"|"&amp;UPPER(TRIM($F642)),Setup!$P$21:$P$60,0)),"NO RATE"))))</f>
        <v/>
      </c>
      <c r="J642" s="97" t="n"/>
      <c r="K642" s="89">
        <f>IF(OR($G642="",$H642="",NOT(ISNUMBER($I642))),"",ROUND($H642*$I642*(1+IF($J642="",Setup!$B$16,$J642)),2))</f>
        <v/>
      </c>
      <c r="L642" s="89">
        <f>IF($K642="","",ROUND($K642*Setup!$B$13,2))</f>
        <v/>
      </c>
      <c r="M642" s="89">
        <f>IF($K642="","",$K642-$L642)</f>
        <v/>
      </c>
      <c r="N642" s="89">
        <f>IF(OR($M642="",$D642=""),"",ROUND($M642*IFERROR(IF(VLOOKUP($D642,Setup!$A$76:$C$87,3,FALSE)="",Setup!$B$14,VLOOKUP($D642,Setup!$A$76:$C$87,3,FALSE)),Setup!$B$14),2))</f>
        <v/>
      </c>
      <c r="O642" s="89">
        <f>IF(OR($M642="",$E642=""),"",ROUND($M642*IFERROR(IF(VLOOKUP($E642,Setup!$A$76:$C$87,3,FALSE)="",Setup!$B$15,VLOOKUP($E642,Setup!$A$76:$C$87,3,FALSE)),Setup!$B$15),2))</f>
        <v/>
      </c>
      <c r="P642" s="98" t="n"/>
      <c r="Q642" s="98" t="n"/>
      <c r="R642" s="98" t="n"/>
      <c r="S642" s="98" t="n"/>
      <c r="T642" s="98" t="n"/>
      <c r="U642" s="89">
        <f>IF($K642="","",SUM($R642:$T642))</f>
        <v/>
      </c>
      <c r="V642" s="89">
        <f>IF($K642="","",$M642-(N($N642)+N($O642)+IF($P642="",Setup!$B$17,$P642)+N($Q642))-N($U642))</f>
        <v/>
      </c>
      <c r="W642" s="94" t="n"/>
      <c r="X642" s="95" t="n"/>
      <c r="Z642" s="92">
        <f>IF($A642="","",DATE(YEAR($A642),MONTH($A642),1))</f>
        <v/>
      </c>
    </row>
    <row r="643">
      <c r="A643" s="85" t="n"/>
      <c r="B643" s="86" t="n"/>
      <c r="C643" s="86" t="n"/>
      <c r="D643" s="87" t="n"/>
      <c r="E643" s="87" t="n"/>
      <c r="F643" s="87" t="n"/>
      <c r="G643" s="87" t="n"/>
      <c r="H643" s="88" t="n"/>
      <c r="I643" s="89">
        <f>IF($G643="","",IF($F643="",IFERROR(INDEX(Setup!$C$21:$C$60,MATCH("|"&amp;UPPER(TRIM($G643)),Setup!$Q$21:$Q$60,0)),"NO RATE"),IFERROR(INDEX(Setup!$C$21:$C$60,MATCH(UPPER(TRIM($F643))&amp;"|"&amp;UPPER(TRIM($G643)),Setup!$P$21:$P$60,0)),IFERROR(INDEX(Setup!$C$21:$C$60,MATCH(UPPER(TRIM($G643))&amp;"|"&amp;UPPER(TRIM($F643)),Setup!$P$21:$P$60,0)),"NO RATE"))))</f>
        <v/>
      </c>
      <c r="J643" s="90" t="n"/>
      <c r="K643" s="89">
        <f>IF(OR($G643="",$H643="",NOT(ISNUMBER($I643))),"",ROUND($H643*$I643*(1+IF($J643="",Setup!$B$16,$J643)),2))</f>
        <v/>
      </c>
      <c r="L643" s="89">
        <f>IF($K643="","",ROUND($K643*Setup!$B$13,2))</f>
        <v/>
      </c>
      <c r="M643" s="89">
        <f>IF($K643="","",$K643-$L643)</f>
        <v/>
      </c>
      <c r="N643" s="89">
        <f>IF(OR($M643="",$D643=""),"",ROUND($M643*IFERROR(IF(VLOOKUP($D643,Setup!$A$76:$C$87,3,FALSE)="",Setup!$B$14,VLOOKUP($D643,Setup!$A$76:$C$87,3,FALSE)),Setup!$B$14),2))</f>
        <v/>
      </c>
      <c r="O643" s="89">
        <f>IF(OR($M643="",$E643=""),"",ROUND($M643*IFERROR(IF(VLOOKUP($E643,Setup!$A$76:$C$87,3,FALSE)="",Setup!$B$15,VLOOKUP($E643,Setup!$A$76:$C$87,3,FALSE)),Setup!$B$15),2))</f>
        <v/>
      </c>
      <c r="P643" s="91" t="n"/>
      <c r="Q643" s="91" t="n"/>
      <c r="R643" s="91" t="n"/>
      <c r="S643" s="91" t="n"/>
      <c r="T643" s="91" t="n"/>
      <c r="U643" s="89">
        <f>IF($K643="","",SUM($R643:$T643))</f>
        <v/>
      </c>
      <c r="V643" s="89">
        <f>IF($K643="","",$M643-(N($N643)+N($O643)+IF($P643="",Setup!$B$17,$P643)+N($Q643))-N($U643))</f>
        <v/>
      </c>
      <c r="W643" s="86" t="n"/>
      <c r="X643" s="87" t="n"/>
      <c r="Z643" s="92">
        <f>IF($A643="","",DATE(YEAR($A643),MONTH($A643),1))</f>
        <v/>
      </c>
    </row>
    <row r="644">
      <c r="A644" s="93" t="n"/>
      <c r="B644" s="94" t="n"/>
      <c r="C644" s="94" t="n"/>
      <c r="D644" s="95" t="n"/>
      <c r="E644" s="95" t="n"/>
      <c r="F644" s="95" t="n"/>
      <c r="G644" s="95" t="n"/>
      <c r="H644" s="96" t="n"/>
      <c r="I644" s="89">
        <f>IF($G644="","",IF($F644="",IFERROR(INDEX(Setup!$C$21:$C$60,MATCH("|"&amp;UPPER(TRIM($G644)),Setup!$Q$21:$Q$60,0)),"NO RATE"),IFERROR(INDEX(Setup!$C$21:$C$60,MATCH(UPPER(TRIM($F644))&amp;"|"&amp;UPPER(TRIM($G644)),Setup!$P$21:$P$60,0)),IFERROR(INDEX(Setup!$C$21:$C$60,MATCH(UPPER(TRIM($G644))&amp;"|"&amp;UPPER(TRIM($F644)),Setup!$P$21:$P$60,0)),"NO RATE"))))</f>
        <v/>
      </c>
      <c r="J644" s="97" t="n"/>
      <c r="K644" s="89">
        <f>IF(OR($G644="",$H644="",NOT(ISNUMBER($I644))),"",ROUND($H644*$I644*(1+IF($J644="",Setup!$B$16,$J644)),2))</f>
        <v/>
      </c>
      <c r="L644" s="89">
        <f>IF($K644="","",ROUND($K644*Setup!$B$13,2))</f>
        <v/>
      </c>
      <c r="M644" s="89">
        <f>IF($K644="","",$K644-$L644)</f>
        <v/>
      </c>
      <c r="N644" s="89">
        <f>IF(OR($M644="",$D644=""),"",ROUND($M644*IFERROR(IF(VLOOKUP($D644,Setup!$A$76:$C$87,3,FALSE)="",Setup!$B$14,VLOOKUP($D644,Setup!$A$76:$C$87,3,FALSE)),Setup!$B$14),2))</f>
        <v/>
      </c>
      <c r="O644" s="89">
        <f>IF(OR($M644="",$E644=""),"",ROUND($M644*IFERROR(IF(VLOOKUP($E644,Setup!$A$76:$C$87,3,FALSE)="",Setup!$B$15,VLOOKUP($E644,Setup!$A$76:$C$87,3,FALSE)),Setup!$B$15),2))</f>
        <v/>
      </c>
      <c r="P644" s="98" t="n"/>
      <c r="Q644" s="98" t="n"/>
      <c r="R644" s="98" t="n"/>
      <c r="S644" s="98" t="n"/>
      <c r="T644" s="98" t="n"/>
      <c r="U644" s="89">
        <f>IF($K644="","",SUM($R644:$T644))</f>
        <v/>
      </c>
      <c r="V644" s="89">
        <f>IF($K644="","",$M644-(N($N644)+N($O644)+IF($P644="",Setup!$B$17,$P644)+N($Q644))-N($U644))</f>
        <v/>
      </c>
      <c r="W644" s="94" t="n"/>
      <c r="X644" s="95" t="n"/>
      <c r="Z644" s="92">
        <f>IF($A644="","",DATE(YEAR($A644),MONTH($A644),1))</f>
        <v/>
      </c>
    </row>
    <row r="645">
      <c r="A645" s="85" t="n"/>
      <c r="B645" s="86" t="n"/>
      <c r="C645" s="86" t="n"/>
      <c r="D645" s="87" t="n"/>
      <c r="E645" s="87" t="n"/>
      <c r="F645" s="87" t="n"/>
      <c r="G645" s="87" t="n"/>
      <c r="H645" s="88" t="n"/>
      <c r="I645" s="89">
        <f>IF($G645="","",IF($F645="",IFERROR(INDEX(Setup!$C$21:$C$60,MATCH("|"&amp;UPPER(TRIM($G645)),Setup!$Q$21:$Q$60,0)),"NO RATE"),IFERROR(INDEX(Setup!$C$21:$C$60,MATCH(UPPER(TRIM($F645))&amp;"|"&amp;UPPER(TRIM($G645)),Setup!$P$21:$P$60,0)),IFERROR(INDEX(Setup!$C$21:$C$60,MATCH(UPPER(TRIM($G645))&amp;"|"&amp;UPPER(TRIM($F645)),Setup!$P$21:$P$60,0)),"NO RATE"))))</f>
        <v/>
      </c>
      <c r="J645" s="90" t="n"/>
      <c r="K645" s="89">
        <f>IF(OR($G645="",$H645="",NOT(ISNUMBER($I645))),"",ROUND($H645*$I645*(1+IF($J645="",Setup!$B$16,$J645)),2))</f>
        <v/>
      </c>
      <c r="L645" s="89">
        <f>IF($K645="","",ROUND($K645*Setup!$B$13,2))</f>
        <v/>
      </c>
      <c r="M645" s="89">
        <f>IF($K645="","",$K645-$L645)</f>
        <v/>
      </c>
      <c r="N645" s="89">
        <f>IF(OR($M645="",$D645=""),"",ROUND($M645*IFERROR(IF(VLOOKUP($D645,Setup!$A$76:$C$87,3,FALSE)="",Setup!$B$14,VLOOKUP($D645,Setup!$A$76:$C$87,3,FALSE)),Setup!$B$14),2))</f>
        <v/>
      </c>
      <c r="O645" s="89">
        <f>IF(OR($M645="",$E645=""),"",ROUND($M645*IFERROR(IF(VLOOKUP($E645,Setup!$A$76:$C$87,3,FALSE)="",Setup!$B$15,VLOOKUP($E645,Setup!$A$76:$C$87,3,FALSE)),Setup!$B$15),2))</f>
        <v/>
      </c>
      <c r="P645" s="91" t="n"/>
      <c r="Q645" s="91" t="n"/>
      <c r="R645" s="91" t="n"/>
      <c r="S645" s="91" t="n"/>
      <c r="T645" s="91" t="n"/>
      <c r="U645" s="89">
        <f>IF($K645="","",SUM($R645:$T645))</f>
        <v/>
      </c>
      <c r="V645" s="89">
        <f>IF($K645="","",$M645-(N($N645)+N($O645)+IF($P645="",Setup!$B$17,$P645)+N($Q645))-N($U645))</f>
        <v/>
      </c>
      <c r="W645" s="86" t="n"/>
      <c r="X645" s="87" t="n"/>
      <c r="Z645" s="92">
        <f>IF($A645="","",DATE(YEAR($A645),MONTH($A645),1))</f>
        <v/>
      </c>
    </row>
    <row r="646">
      <c r="A646" s="93" t="n"/>
      <c r="B646" s="94" t="n"/>
      <c r="C646" s="94" t="n"/>
      <c r="D646" s="95" t="n"/>
      <c r="E646" s="95" t="n"/>
      <c r="F646" s="95" t="n"/>
      <c r="G646" s="95" t="n"/>
      <c r="H646" s="96" t="n"/>
      <c r="I646" s="89">
        <f>IF($G646="","",IF($F646="",IFERROR(INDEX(Setup!$C$21:$C$60,MATCH("|"&amp;UPPER(TRIM($G646)),Setup!$Q$21:$Q$60,0)),"NO RATE"),IFERROR(INDEX(Setup!$C$21:$C$60,MATCH(UPPER(TRIM($F646))&amp;"|"&amp;UPPER(TRIM($G646)),Setup!$P$21:$P$60,0)),IFERROR(INDEX(Setup!$C$21:$C$60,MATCH(UPPER(TRIM($G646))&amp;"|"&amp;UPPER(TRIM($F646)),Setup!$P$21:$P$60,0)),"NO RATE"))))</f>
        <v/>
      </c>
      <c r="J646" s="97" t="n"/>
      <c r="K646" s="89">
        <f>IF(OR($G646="",$H646="",NOT(ISNUMBER($I646))),"",ROUND($H646*$I646*(1+IF($J646="",Setup!$B$16,$J646)),2))</f>
        <v/>
      </c>
      <c r="L646" s="89">
        <f>IF($K646="","",ROUND($K646*Setup!$B$13,2))</f>
        <v/>
      </c>
      <c r="M646" s="89">
        <f>IF($K646="","",$K646-$L646)</f>
        <v/>
      </c>
      <c r="N646" s="89">
        <f>IF(OR($M646="",$D646=""),"",ROUND($M646*IFERROR(IF(VLOOKUP($D646,Setup!$A$76:$C$87,3,FALSE)="",Setup!$B$14,VLOOKUP($D646,Setup!$A$76:$C$87,3,FALSE)),Setup!$B$14),2))</f>
        <v/>
      </c>
      <c r="O646" s="89">
        <f>IF(OR($M646="",$E646=""),"",ROUND($M646*IFERROR(IF(VLOOKUP($E646,Setup!$A$76:$C$87,3,FALSE)="",Setup!$B$15,VLOOKUP($E646,Setup!$A$76:$C$87,3,FALSE)),Setup!$B$15),2))</f>
        <v/>
      </c>
      <c r="P646" s="98" t="n"/>
      <c r="Q646" s="98" t="n"/>
      <c r="R646" s="98" t="n"/>
      <c r="S646" s="98" t="n"/>
      <c r="T646" s="98" t="n"/>
      <c r="U646" s="89">
        <f>IF($K646="","",SUM($R646:$T646))</f>
        <v/>
      </c>
      <c r="V646" s="89">
        <f>IF($K646="","",$M646-(N($N646)+N($O646)+IF($P646="",Setup!$B$17,$P646)+N($Q646))-N($U646))</f>
        <v/>
      </c>
      <c r="W646" s="94" t="n"/>
      <c r="X646" s="95" t="n"/>
      <c r="Z646" s="92">
        <f>IF($A646="","",DATE(YEAR($A646),MONTH($A646),1))</f>
        <v/>
      </c>
    </row>
    <row r="647">
      <c r="A647" s="85" t="n"/>
      <c r="B647" s="86" t="n"/>
      <c r="C647" s="86" t="n"/>
      <c r="D647" s="87" t="n"/>
      <c r="E647" s="87" t="n"/>
      <c r="F647" s="87" t="n"/>
      <c r="G647" s="87" t="n"/>
      <c r="H647" s="88" t="n"/>
      <c r="I647" s="89">
        <f>IF($G647="","",IF($F647="",IFERROR(INDEX(Setup!$C$21:$C$60,MATCH("|"&amp;UPPER(TRIM($G647)),Setup!$Q$21:$Q$60,0)),"NO RATE"),IFERROR(INDEX(Setup!$C$21:$C$60,MATCH(UPPER(TRIM($F647))&amp;"|"&amp;UPPER(TRIM($G647)),Setup!$P$21:$P$60,0)),IFERROR(INDEX(Setup!$C$21:$C$60,MATCH(UPPER(TRIM($G647))&amp;"|"&amp;UPPER(TRIM($F647)),Setup!$P$21:$P$60,0)),"NO RATE"))))</f>
        <v/>
      </c>
      <c r="J647" s="90" t="n"/>
      <c r="K647" s="89">
        <f>IF(OR($G647="",$H647="",NOT(ISNUMBER($I647))),"",ROUND($H647*$I647*(1+IF($J647="",Setup!$B$16,$J647)),2))</f>
        <v/>
      </c>
      <c r="L647" s="89">
        <f>IF($K647="","",ROUND($K647*Setup!$B$13,2))</f>
        <v/>
      </c>
      <c r="M647" s="89">
        <f>IF($K647="","",$K647-$L647)</f>
        <v/>
      </c>
      <c r="N647" s="89">
        <f>IF(OR($M647="",$D647=""),"",ROUND($M647*IFERROR(IF(VLOOKUP($D647,Setup!$A$76:$C$87,3,FALSE)="",Setup!$B$14,VLOOKUP($D647,Setup!$A$76:$C$87,3,FALSE)),Setup!$B$14),2))</f>
        <v/>
      </c>
      <c r="O647" s="89">
        <f>IF(OR($M647="",$E647=""),"",ROUND($M647*IFERROR(IF(VLOOKUP($E647,Setup!$A$76:$C$87,3,FALSE)="",Setup!$B$15,VLOOKUP($E647,Setup!$A$76:$C$87,3,FALSE)),Setup!$B$15),2))</f>
        <v/>
      </c>
      <c r="P647" s="91" t="n"/>
      <c r="Q647" s="91" t="n"/>
      <c r="R647" s="91" t="n"/>
      <c r="S647" s="91" t="n"/>
      <c r="T647" s="91" t="n"/>
      <c r="U647" s="89">
        <f>IF($K647="","",SUM($R647:$T647))</f>
        <v/>
      </c>
      <c r="V647" s="89">
        <f>IF($K647="","",$M647-(N($N647)+N($O647)+IF($P647="",Setup!$B$17,$P647)+N($Q647))-N($U647))</f>
        <v/>
      </c>
      <c r="W647" s="86" t="n"/>
      <c r="X647" s="87" t="n"/>
      <c r="Z647" s="92">
        <f>IF($A647="","",DATE(YEAR($A647),MONTH($A647),1))</f>
        <v/>
      </c>
    </row>
    <row r="648">
      <c r="A648" s="93" t="n"/>
      <c r="B648" s="94" t="n"/>
      <c r="C648" s="94" t="n"/>
      <c r="D648" s="95" t="n"/>
      <c r="E648" s="95" t="n"/>
      <c r="F648" s="95" t="n"/>
      <c r="G648" s="95" t="n"/>
      <c r="H648" s="96" t="n"/>
      <c r="I648" s="89">
        <f>IF($G648="","",IF($F648="",IFERROR(INDEX(Setup!$C$21:$C$60,MATCH("|"&amp;UPPER(TRIM($G648)),Setup!$Q$21:$Q$60,0)),"NO RATE"),IFERROR(INDEX(Setup!$C$21:$C$60,MATCH(UPPER(TRIM($F648))&amp;"|"&amp;UPPER(TRIM($G648)),Setup!$P$21:$P$60,0)),IFERROR(INDEX(Setup!$C$21:$C$60,MATCH(UPPER(TRIM($G648))&amp;"|"&amp;UPPER(TRIM($F648)),Setup!$P$21:$P$60,0)),"NO RATE"))))</f>
        <v/>
      </c>
      <c r="J648" s="97" t="n"/>
      <c r="K648" s="89">
        <f>IF(OR($G648="",$H648="",NOT(ISNUMBER($I648))),"",ROUND($H648*$I648*(1+IF($J648="",Setup!$B$16,$J648)),2))</f>
        <v/>
      </c>
      <c r="L648" s="89">
        <f>IF($K648="","",ROUND($K648*Setup!$B$13,2))</f>
        <v/>
      </c>
      <c r="M648" s="89">
        <f>IF($K648="","",$K648-$L648)</f>
        <v/>
      </c>
      <c r="N648" s="89">
        <f>IF(OR($M648="",$D648=""),"",ROUND($M648*IFERROR(IF(VLOOKUP($D648,Setup!$A$76:$C$87,3,FALSE)="",Setup!$B$14,VLOOKUP($D648,Setup!$A$76:$C$87,3,FALSE)),Setup!$B$14),2))</f>
        <v/>
      </c>
      <c r="O648" s="89">
        <f>IF(OR($M648="",$E648=""),"",ROUND($M648*IFERROR(IF(VLOOKUP($E648,Setup!$A$76:$C$87,3,FALSE)="",Setup!$B$15,VLOOKUP($E648,Setup!$A$76:$C$87,3,FALSE)),Setup!$B$15),2))</f>
        <v/>
      </c>
      <c r="P648" s="98" t="n"/>
      <c r="Q648" s="98" t="n"/>
      <c r="R648" s="98" t="n"/>
      <c r="S648" s="98" t="n"/>
      <c r="T648" s="98" t="n"/>
      <c r="U648" s="89">
        <f>IF($K648="","",SUM($R648:$T648))</f>
        <v/>
      </c>
      <c r="V648" s="89">
        <f>IF($K648="","",$M648-(N($N648)+N($O648)+IF($P648="",Setup!$B$17,$P648)+N($Q648))-N($U648))</f>
        <v/>
      </c>
      <c r="W648" s="94" t="n"/>
      <c r="X648" s="95" t="n"/>
      <c r="Z648" s="92">
        <f>IF($A648="","",DATE(YEAR($A648),MONTH($A648),1))</f>
        <v/>
      </c>
    </row>
    <row r="649">
      <c r="A649" s="85" t="n"/>
      <c r="B649" s="86" t="n"/>
      <c r="C649" s="86" t="n"/>
      <c r="D649" s="87" t="n"/>
      <c r="E649" s="87" t="n"/>
      <c r="F649" s="87" t="n"/>
      <c r="G649" s="87" t="n"/>
      <c r="H649" s="88" t="n"/>
      <c r="I649" s="89">
        <f>IF($G649="","",IF($F649="",IFERROR(INDEX(Setup!$C$21:$C$60,MATCH("|"&amp;UPPER(TRIM($G649)),Setup!$Q$21:$Q$60,0)),"NO RATE"),IFERROR(INDEX(Setup!$C$21:$C$60,MATCH(UPPER(TRIM($F649))&amp;"|"&amp;UPPER(TRIM($G649)),Setup!$P$21:$P$60,0)),IFERROR(INDEX(Setup!$C$21:$C$60,MATCH(UPPER(TRIM($G649))&amp;"|"&amp;UPPER(TRIM($F649)),Setup!$P$21:$P$60,0)),"NO RATE"))))</f>
        <v/>
      </c>
      <c r="J649" s="90" t="n"/>
      <c r="K649" s="89">
        <f>IF(OR($G649="",$H649="",NOT(ISNUMBER($I649))),"",ROUND($H649*$I649*(1+IF($J649="",Setup!$B$16,$J649)),2))</f>
        <v/>
      </c>
      <c r="L649" s="89">
        <f>IF($K649="","",ROUND($K649*Setup!$B$13,2))</f>
        <v/>
      </c>
      <c r="M649" s="89">
        <f>IF($K649="","",$K649-$L649)</f>
        <v/>
      </c>
      <c r="N649" s="89">
        <f>IF(OR($M649="",$D649=""),"",ROUND($M649*IFERROR(IF(VLOOKUP($D649,Setup!$A$76:$C$87,3,FALSE)="",Setup!$B$14,VLOOKUP($D649,Setup!$A$76:$C$87,3,FALSE)),Setup!$B$14),2))</f>
        <v/>
      </c>
      <c r="O649" s="89">
        <f>IF(OR($M649="",$E649=""),"",ROUND($M649*IFERROR(IF(VLOOKUP($E649,Setup!$A$76:$C$87,3,FALSE)="",Setup!$B$15,VLOOKUP($E649,Setup!$A$76:$C$87,3,FALSE)),Setup!$B$15),2))</f>
        <v/>
      </c>
      <c r="P649" s="91" t="n"/>
      <c r="Q649" s="91" t="n"/>
      <c r="R649" s="91" t="n"/>
      <c r="S649" s="91" t="n"/>
      <c r="T649" s="91" t="n"/>
      <c r="U649" s="89">
        <f>IF($K649="","",SUM($R649:$T649))</f>
        <v/>
      </c>
      <c r="V649" s="89">
        <f>IF($K649="","",$M649-(N($N649)+N($O649)+IF($P649="",Setup!$B$17,$P649)+N($Q649))-N($U649))</f>
        <v/>
      </c>
      <c r="W649" s="86" t="n"/>
      <c r="X649" s="87" t="n"/>
      <c r="Z649" s="92">
        <f>IF($A649="","",DATE(YEAR($A649),MONTH($A649),1))</f>
        <v/>
      </c>
    </row>
    <row r="650">
      <c r="A650" s="93" t="n"/>
      <c r="B650" s="94" t="n"/>
      <c r="C650" s="94" t="n"/>
      <c r="D650" s="95" t="n"/>
      <c r="E650" s="95" t="n"/>
      <c r="F650" s="95" t="n"/>
      <c r="G650" s="95" t="n"/>
      <c r="H650" s="96" t="n"/>
      <c r="I650" s="89">
        <f>IF($G650="","",IF($F650="",IFERROR(INDEX(Setup!$C$21:$C$60,MATCH("|"&amp;UPPER(TRIM($G650)),Setup!$Q$21:$Q$60,0)),"NO RATE"),IFERROR(INDEX(Setup!$C$21:$C$60,MATCH(UPPER(TRIM($F650))&amp;"|"&amp;UPPER(TRIM($G650)),Setup!$P$21:$P$60,0)),IFERROR(INDEX(Setup!$C$21:$C$60,MATCH(UPPER(TRIM($G650))&amp;"|"&amp;UPPER(TRIM($F650)),Setup!$P$21:$P$60,0)),"NO RATE"))))</f>
        <v/>
      </c>
      <c r="J650" s="97" t="n"/>
      <c r="K650" s="89">
        <f>IF(OR($G650="",$H650="",NOT(ISNUMBER($I650))),"",ROUND($H650*$I650*(1+IF($J650="",Setup!$B$16,$J650)),2))</f>
        <v/>
      </c>
      <c r="L650" s="89">
        <f>IF($K650="","",ROUND($K650*Setup!$B$13,2))</f>
        <v/>
      </c>
      <c r="M650" s="89">
        <f>IF($K650="","",$K650-$L650)</f>
        <v/>
      </c>
      <c r="N650" s="89">
        <f>IF(OR($M650="",$D650=""),"",ROUND($M650*IFERROR(IF(VLOOKUP($D650,Setup!$A$76:$C$87,3,FALSE)="",Setup!$B$14,VLOOKUP($D650,Setup!$A$76:$C$87,3,FALSE)),Setup!$B$14),2))</f>
        <v/>
      </c>
      <c r="O650" s="89">
        <f>IF(OR($M650="",$E650=""),"",ROUND($M650*IFERROR(IF(VLOOKUP($E650,Setup!$A$76:$C$87,3,FALSE)="",Setup!$B$15,VLOOKUP($E650,Setup!$A$76:$C$87,3,FALSE)),Setup!$B$15),2))</f>
        <v/>
      </c>
      <c r="P650" s="98" t="n"/>
      <c r="Q650" s="98" t="n"/>
      <c r="R650" s="98" t="n"/>
      <c r="S650" s="98" t="n"/>
      <c r="T650" s="98" t="n"/>
      <c r="U650" s="89">
        <f>IF($K650="","",SUM($R650:$T650))</f>
        <v/>
      </c>
      <c r="V650" s="89">
        <f>IF($K650="","",$M650-(N($N650)+N($O650)+IF($P650="",Setup!$B$17,$P650)+N($Q650))-N($U650))</f>
        <v/>
      </c>
      <c r="W650" s="94" t="n"/>
      <c r="X650" s="95" t="n"/>
      <c r="Z650" s="92">
        <f>IF($A650="","",DATE(YEAR($A650),MONTH($A650),1))</f>
        <v/>
      </c>
    </row>
    <row r="651">
      <c r="A651" s="85" t="n"/>
      <c r="B651" s="86" t="n"/>
      <c r="C651" s="86" t="n"/>
      <c r="D651" s="87" t="n"/>
      <c r="E651" s="87" t="n"/>
      <c r="F651" s="87" t="n"/>
      <c r="G651" s="87" t="n"/>
      <c r="H651" s="88" t="n"/>
      <c r="I651" s="89">
        <f>IF($G651="","",IF($F651="",IFERROR(INDEX(Setup!$C$21:$C$60,MATCH("|"&amp;UPPER(TRIM($G651)),Setup!$Q$21:$Q$60,0)),"NO RATE"),IFERROR(INDEX(Setup!$C$21:$C$60,MATCH(UPPER(TRIM($F651))&amp;"|"&amp;UPPER(TRIM($G651)),Setup!$P$21:$P$60,0)),IFERROR(INDEX(Setup!$C$21:$C$60,MATCH(UPPER(TRIM($G651))&amp;"|"&amp;UPPER(TRIM($F651)),Setup!$P$21:$P$60,0)),"NO RATE"))))</f>
        <v/>
      </c>
      <c r="J651" s="90" t="n"/>
      <c r="K651" s="89">
        <f>IF(OR($G651="",$H651="",NOT(ISNUMBER($I651))),"",ROUND($H651*$I651*(1+IF($J651="",Setup!$B$16,$J651)),2))</f>
        <v/>
      </c>
      <c r="L651" s="89">
        <f>IF($K651="","",ROUND($K651*Setup!$B$13,2))</f>
        <v/>
      </c>
      <c r="M651" s="89">
        <f>IF($K651="","",$K651-$L651)</f>
        <v/>
      </c>
      <c r="N651" s="89">
        <f>IF(OR($M651="",$D651=""),"",ROUND($M651*IFERROR(IF(VLOOKUP($D651,Setup!$A$76:$C$87,3,FALSE)="",Setup!$B$14,VLOOKUP($D651,Setup!$A$76:$C$87,3,FALSE)),Setup!$B$14),2))</f>
        <v/>
      </c>
      <c r="O651" s="89">
        <f>IF(OR($M651="",$E651=""),"",ROUND($M651*IFERROR(IF(VLOOKUP($E651,Setup!$A$76:$C$87,3,FALSE)="",Setup!$B$15,VLOOKUP($E651,Setup!$A$76:$C$87,3,FALSE)),Setup!$B$15),2))</f>
        <v/>
      </c>
      <c r="P651" s="91" t="n"/>
      <c r="Q651" s="91" t="n"/>
      <c r="R651" s="91" t="n"/>
      <c r="S651" s="91" t="n"/>
      <c r="T651" s="91" t="n"/>
      <c r="U651" s="89">
        <f>IF($K651="","",SUM($R651:$T651))</f>
        <v/>
      </c>
      <c r="V651" s="89">
        <f>IF($K651="","",$M651-(N($N651)+N($O651)+IF($P651="",Setup!$B$17,$P651)+N($Q651))-N($U651))</f>
        <v/>
      </c>
      <c r="W651" s="86" t="n"/>
      <c r="X651" s="87" t="n"/>
      <c r="Z651" s="92">
        <f>IF($A651="","",DATE(YEAR($A651),MONTH($A651),1))</f>
        <v/>
      </c>
    </row>
    <row r="652">
      <c r="A652" s="93" t="n"/>
      <c r="B652" s="94" t="n"/>
      <c r="C652" s="94" t="n"/>
      <c r="D652" s="95" t="n"/>
      <c r="E652" s="95" t="n"/>
      <c r="F652" s="95" t="n"/>
      <c r="G652" s="95" t="n"/>
      <c r="H652" s="96" t="n"/>
      <c r="I652" s="89">
        <f>IF($G652="","",IF($F652="",IFERROR(INDEX(Setup!$C$21:$C$60,MATCH("|"&amp;UPPER(TRIM($G652)),Setup!$Q$21:$Q$60,0)),"NO RATE"),IFERROR(INDEX(Setup!$C$21:$C$60,MATCH(UPPER(TRIM($F652))&amp;"|"&amp;UPPER(TRIM($G652)),Setup!$P$21:$P$60,0)),IFERROR(INDEX(Setup!$C$21:$C$60,MATCH(UPPER(TRIM($G652))&amp;"|"&amp;UPPER(TRIM($F652)),Setup!$P$21:$P$60,0)),"NO RATE"))))</f>
        <v/>
      </c>
      <c r="J652" s="97" t="n"/>
      <c r="K652" s="89">
        <f>IF(OR($G652="",$H652="",NOT(ISNUMBER($I652))),"",ROUND($H652*$I652*(1+IF($J652="",Setup!$B$16,$J652)),2))</f>
        <v/>
      </c>
      <c r="L652" s="89">
        <f>IF($K652="","",ROUND($K652*Setup!$B$13,2))</f>
        <v/>
      </c>
      <c r="M652" s="89">
        <f>IF($K652="","",$K652-$L652)</f>
        <v/>
      </c>
      <c r="N652" s="89">
        <f>IF(OR($M652="",$D652=""),"",ROUND($M652*IFERROR(IF(VLOOKUP($D652,Setup!$A$76:$C$87,3,FALSE)="",Setup!$B$14,VLOOKUP($D652,Setup!$A$76:$C$87,3,FALSE)),Setup!$B$14),2))</f>
        <v/>
      </c>
      <c r="O652" s="89">
        <f>IF(OR($M652="",$E652=""),"",ROUND($M652*IFERROR(IF(VLOOKUP($E652,Setup!$A$76:$C$87,3,FALSE)="",Setup!$B$15,VLOOKUP($E652,Setup!$A$76:$C$87,3,FALSE)),Setup!$B$15),2))</f>
        <v/>
      </c>
      <c r="P652" s="98" t="n"/>
      <c r="Q652" s="98" t="n"/>
      <c r="R652" s="98" t="n"/>
      <c r="S652" s="98" t="n"/>
      <c r="T652" s="98" t="n"/>
      <c r="U652" s="89">
        <f>IF($K652="","",SUM($R652:$T652))</f>
        <v/>
      </c>
      <c r="V652" s="89">
        <f>IF($K652="","",$M652-(N($N652)+N($O652)+IF($P652="",Setup!$B$17,$P652)+N($Q652))-N($U652))</f>
        <v/>
      </c>
      <c r="W652" s="94" t="n"/>
      <c r="X652" s="95" t="n"/>
      <c r="Z652" s="92">
        <f>IF($A652="","",DATE(YEAR($A652),MONTH($A652),1))</f>
        <v/>
      </c>
    </row>
    <row r="653">
      <c r="A653" s="85" t="n"/>
      <c r="B653" s="86" t="n"/>
      <c r="C653" s="86" t="n"/>
      <c r="D653" s="87" t="n"/>
      <c r="E653" s="87" t="n"/>
      <c r="F653" s="87" t="n"/>
      <c r="G653" s="87" t="n"/>
      <c r="H653" s="88" t="n"/>
      <c r="I653" s="89">
        <f>IF($G653="","",IF($F653="",IFERROR(INDEX(Setup!$C$21:$C$60,MATCH("|"&amp;UPPER(TRIM($G653)),Setup!$Q$21:$Q$60,0)),"NO RATE"),IFERROR(INDEX(Setup!$C$21:$C$60,MATCH(UPPER(TRIM($F653))&amp;"|"&amp;UPPER(TRIM($G653)),Setup!$P$21:$P$60,0)),IFERROR(INDEX(Setup!$C$21:$C$60,MATCH(UPPER(TRIM($G653))&amp;"|"&amp;UPPER(TRIM($F653)),Setup!$P$21:$P$60,0)),"NO RATE"))))</f>
        <v/>
      </c>
      <c r="J653" s="90" t="n"/>
      <c r="K653" s="89">
        <f>IF(OR($G653="",$H653="",NOT(ISNUMBER($I653))),"",ROUND($H653*$I653*(1+IF($J653="",Setup!$B$16,$J653)),2))</f>
        <v/>
      </c>
      <c r="L653" s="89">
        <f>IF($K653="","",ROUND($K653*Setup!$B$13,2))</f>
        <v/>
      </c>
      <c r="M653" s="89">
        <f>IF($K653="","",$K653-$L653)</f>
        <v/>
      </c>
      <c r="N653" s="89">
        <f>IF(OR($M653="",$D653=""),"",ROUND($M653*IFERROR(IF(VLOOKUP($D653,Setup!$A$76:$C$87,3,FALSE)="",Setup!$B$14,VLOOKUP($D653,Setup!$A$76:$C$87,3,FALSE)),Setup!$B$14),2))</f>
        <v/>
      </c>
      <c r="O653" s="89">
        <f>IF(OR($M653="",$E653=""),"",ROUND($M653*IFERROR(IF(VLOOKUP($E653,Setup!$A$76:$C$87,3,FALSE)="",Setup!$B$15,VLOOKUP($E653,Setup!$A$76:$C$87,3,FALSE)),Setup!$B$15),2))</f>
        <v/>
      </c>
      <c r="P653" s="91" t="n"/>
      <c r="Q653" s="91" t="n"/>
      <c r="R653" s="91" t="n"/>
      <c r="S653" s="91" t="n"/>
      <c r="T653" s="91" t="n"/>
      <c r="U653" s="89">
        <f>IF($K653="","",SUM($R653:$T653))</f>
        <v/>
      </c>
      <c r="V653" s="89">
        <f>IF($K653="","",$M653-(N($N653)+N($O653)+IF($P653="",Setup!$B$17,$P653)+N($Q653))-N($U653))</f>
        <v/>
      </c>
      <c r="W653" s="86" t="n"/>
      <c r="X653" s="87" t="n"/>
      <c r="Z653" s="92">
        <f>IF($A653="","",DATE(YEAR($A653),MONTH($A653),1))</f>
        <v/>
      </c>
    </row>
    <row r="654">
      <c r="A654" s="93" t="n"/>
      <c r="B654" s="94" t="n"/>
      <c r="C654" s="94" t="n"/>
      <c r="D654" s="95" t="n"/>
      <c r="E654" s="95" t="n"/>
      <c r="F654" s="95" t="n"/>
      <c r="G654" s="95" t="n"/>
      <c r="H654" s="96" t="n"/>
      <c r="I654" s="89">
        <f>IF($G654="","",IF($F654="",IFERROR(INDEX(Setup!$C$21:$C$60,MATCH("|"&amp;UPPER(TRIM($G654)),Setup!$Q$21:$Q$60,0)),"NO RATE"),IFERROR(INDEX(Setup!$C$21:$C$60,MATCH(UPPER(TRIM($F654))&amp;"|"&amp;UPPER(TRIM($G654)),Setup!$P$21:$P$60,0)),IFERROR(INDEX(Setup!$C$21:$C$60,MATCH(UPPER(TRIM($G654))&amp;"|"&amp;UPPER(TRIM($F654)),Setup!$P$21:$P$60,0)),"NO RATE"))))</f>
        <v/>
      </c>
      <c r="J654" s="97" t="n"/>
      <c r="K654" s="89">
        <f>IF(OR($G654="",$H654="",NOT(ISNUMBER($I654))),"",ROUND($H654*$I654*(1+IF($J654="",Setup!$B$16,$J654)),2))</f>
        <v/>
      </c>
      <c r="L654" s="89">
        <f>IF($K654="","",ROUND($K654*Setup!$B$13,2))</f>
        <v/>
      </c>
      <c r="M654" s="89">
        <f>IF($K654="","",$K654-$L654)</f>
        <v/>
      </c>
      <c r="N654" s="89">
        <f>IF(OR($M654="",$D654=""),"",ROUND($M654*IFERROR(IF(VLOOKUP($D654,Setup!$A$76:$C$87,3,FALSE)="",Setup!$B$14,VLOOKUP($D654,Setup!$A$76:$C$87,3,FALSE)),Setup!$B$14),2))</f>
        <v/>
      </c>
      <c r="O654" s="89">
        <f>IF(OR($M654="",$E654=""),"",ROUND($M654*IFERROR(IF(VLOOKUP($E654,Setup!$A$76:$C$87,3,FALSE)="",Setup!$B$15,VLOOKUP($E654,Setup!$A$76:$C$87,3,FALSE)),Setup!$B$15),2))</f>
        <v/>
      </c>
      <c r="P654" s="98" t="n"/>
      <c r="Q654" s="98" t="n"/>
      <c r="R654" s="98" t="n"/>
      <c r="S654" s="98" t="n"/>
      <c r="T654" s="98" t="n"/>
      <c r="U654" s="89">
        <f>IF($K654="","",SUM($R654:$T654))</f>
        <v/>
      </c>
      <c r="V654" s="89">
        <f>IF($K654="","",$M654-(N($N654)+N($O654)+IF($P654="",Setup!$B$17,$P654)+N($Q654))-N($U654))</f>
        <v/>
      </c>
      <c r="W654" s="94" t="n"/>
      <c r="X654" s="95" t="n"/>
      <c r="Z654" s="92">
        <f>IF($A654="","",DATE(YEAR($A654),MONTH($A654),1))</f>
        <v/>
      </c>
    </row>
    <row r="655">
      <c r="A655" s="85" t="n"/>
      <c r="B655" s="86" t="n"/>
      <c r="C655" s="86" t="n"/>
      <c r="D655" s="87" t="n"/>
      <c r="E655" s="87" t="n"/>
      <c r="F655" s="87" t="n"/>
      <c r="G655" s="87" t="n"/>
      <c r="H655" s="88" t="n"/>
      <c r="I655" s="89">
        <f>IF($G655="","",IF($F655="",IFERROR(INDEX(Setup!$C$21:$C$60,MATCH("|"&amp;UPPER(TRIM($G655)),Setup!$Q$21:$Q$60,0)),"NO RATE"),IFERROR(INDEX(Setup!$C$21:$C$60,MATCH(UPPER(TRIM($F655))&amp;"|"&amp;UPPER(TRIM($G655)),Setup!$P$21:$P$60,0)),IFERROR(INDEX(Setup!$C$21:$C$60,MATCH(UPPER(TRIM($G655))&amp;"|"&amp;UPPER(TRIM($F655)),Setup!$P$21:$P$60,0)),"NO RATE"))))</f>
        <v/>
      </c>
      <c r="J655" s="90" t="n"/>
      <c r="K655" s="89">
        <f>IF(OR($G655="",$H655="",NOT(ISNUMBER($I655))),"",ROUND($H655*$I655*(1+IF($J655="",Setup!$B$16,$J655)),2))</f>
        <v/>
      </c>
      <c r="L655" s="89">
        <f>IF($K655="","",ROUND($K655*Setup!$B$13,2))</f>
        <v/>
      </c>
      <c r="M655" s="89">
        <f>IF($K655="","",$K655-$L655)</f>
        <v/>
      </c>
      <c r="N655" s="89">
        <f>IF(OR($M655="",$D655=""),"",ROUND($M655*IFERROR(IF(VLOOKUP($D655,Setup!$A$76:$C$87,3,FALSE)="",Setup!$B$14,VLOOKUP($D655,Setup!$A$76:$C$87,3,FALSE)),Setup!$B$14),2))</f>
        <v/>
      </c>
      <c r="O655" s="89">
        <f>IF(OR($M655="",$E655=""),"",ROUND($M655*IFERROR(IF(VLOOKUP($E655,Setup!$A$76:$C$87,3,FALSE)="",Setup!$B$15,VLOOKUP($E655,Setup!$A$76:$C$87,3,FALSE)),Setup!$B$15),2))</f>
        <v/>
      </c>
      <c r="P655" s="91" t="n"/>
      <c r="Q655" s="91" t="n"/>
      <c r="R655" s="91" t="n"/>
      <c r="S655" s="91" t="n"/>
      <c r="T655" s="91" t="n"/>
      <c r="U655" s="89">
        <f>IF($K655="","",SUM($R655:$T655))</f>
        <v/>
      </c>
      <c r="V655" s="89">
        <f>IF($K655="","",$M655-(N($N655)+N($O655)+IF($P655="",Setup!$B$17,$P655)+N($Q655))-N($U655))</f>
        <v/>
      </c>
      <c r="W655" s="86" t="n"/>
      <c r="X655" s="87" t="n"/>
      <c r="Z655" s="92">
        <f>IF($A655="","",DATE(YEAR($A655),MONTH($A655),1))</f>
        <v/>
      </c>
    </row>
    <row r="656">
      <c r="A656" s="93" t="n"/>
      <c r="B656" s="94" t="n"/>
      <c r="C656" s="94" t="n"/>
      <c r="D656" s="95" t="n"/>
      <c r="E656" s="95" t="n"/>
      <c r="F656" s="95" t="n"/>
      <c r="G656" s="95" t="n"/>
      <c r="H656" s="96" t="n"/>
      <c r="I656" s="89">
        <f>IF($G656="","",IF($F656="",IFERROR(INDEX(Setup!$C$21:$C$60,MATCH("|"&amp;UPPER(TRIM($G656)),Setup!$Q$21:$Q$60,0)),"NO RATE"),IFERROR(INDEX(Setup!$C$21:$C$60,MATCH(UPPER(TRIM($F656))&amp;"|"&amp;UPPER(TRIM($G656)),Setup!$P$21:$P$60,0)),IFERROR(INDEX(Setup!$C$21:$C$60,MATCH(UPPER(TRIM($G656))&amp;"|"&amp;UPPER(TRIM($F656)),Setup!$P$21:$P$60,0)),"NO RATE"))))</f>
        <v/>
      </c>
      <c r="J656" s="97" t="n"/>
      <c r="K656" s="89">
        <f>IF(OR($G656="",$H656="",NOT(ISNUMBER($I656))),"",ROUND($H656*$I656*(1+IF($J656="",Setup!$B$16,$J656)),2))</f>
        <v/>
      </c>
      <c r="L656" s="89">
        <f>IF($K656="","",ROUND($K656*Setup!$B$13,2))</f>
        <v/>
      </c>
      <c r="M656" s="89">
        <f>IF($K656="","",$K656-$L656)</f>
        <v/>
      </c>
      <c r="N656" s="89">
        <f>IF(OR($M656="",$D656=""),"",ROUND($M656*IFERROR(IF(VLOOKUP($D656,Setup!$A$76:$C$87,3,FALSE)="",Setup!$B$14,VLOOKUP($D656,Setup!$A$76:$C$87,3,FALSE)),Setup!$B$14),2))</f>
        <v/>
      </c>
      <c r="O656" s="89">
        <f>IF(OR($M656="",$E656=""),"",ROUND($M656*IFERROR(IF(VLOOKUP($E656,Setup!$A$76:$C$87,3,FALSE)="",Setup!$B$15,VLOOKUP($E656,Setup!$A$76:$C$87,3,FALSE)),Setup!$B$15),2))</f>
        <v/>
      </c>
      <c r="P656" s="98" t="n"/>
      <c r="Q656" s="98" t="n"/>
      <c r="R656" s="98" t="n"/>
      <c r="S656" s="98" t="n"/>
      <c r="T656" s="98" t="n"/>
      <c r="U656" s="89">
        <f>IF($K656="","",SUM($R656:$T656))</f>
        <v/>
      </c>
      <c r="V656" s="89">
        <f>IF($K656="","",$M656-(N($N656)+N($O656)+IF($P656="",Setup!$B$17,$P656)+N($Q656))-N($U656))</f>
        <v/>
      </c>
      <c r="W656" s="94" t="n"/>
      <c r="X656" s="95" t="n"/>
      <c r="Z656" s="92">
        <f>IF($A656="","",DATE(YEAR($A656),MONTH($A656),1))</f>
        <v/>
      </c>
    </row>
    <row r="657">
      <c r="A657" s="85" t="n"/>
      <c r="B657" s="86" t="n"/>
      <c r="C657" s="86" t="n"/>
      <c r="D657" s="87" t="n"/>
      <c r="E657" s="87" t="n"/>
      <c r="F657" s="87" t="n"/>
      <c r="G657" s="87" t="n"/>
      <c r="H657" s="88" t="n"/>
      <c r="I657" s="89">
        <f>IF($G657="","",IF($F657="",IFERROR(INDEX(Setup!$C$21:$C$60,MATCH("|"&amp;UPPER(TRIM($G657)),Setup!$Q$21:$Q$60,0)),"NO RATE"),IFERROR(INDEX(Setup!$C$21:$C$60,MATCH(UPPER(TRIM($F657))&amp;"|"&amp;UPPER(TRIM($G657)),Setup!$P$21:$P$60,0)),IFERROR(INDEX(Setup!$C$21:$C$60,MATCH(UPPER(TRIM($G657))&amp;"|"&amp;UPPER(TRIM($F657)),Setup!$P$21:$P$60,0)),"NO RATE"))))</f>
        <v/>
      </c>
      <c r="J657" s="90" t="n"/>
      <c r="K657" s="89">
        <f>IF(OR($G657="",$H657="",NOT(ISNUMBER($I657))),"",ROUND($H657*$I657*(1+IF($J657="",Setup!$B$16,$J657)),2))</f>
        <v/>
      </c>
      <c r="L657" s="89">
        <f>IF($K657="","",ROUND($K657*Setup!$B$13,2))</f>
        <v/>
      </c>
      <c r="M657" s="89">
        <f>IF($K657="","",$K657-$L657)</f>
        <v/>
      </c>
      <c r="N657" s="89">
        <f>IF(OR($M657="",$D657=""),"",ROUND($M657*IFERROR(IF(VLOOKUP($D657,Setup!$A$76:$C$87,3,FALSE)="",Setup!$B$14,VLOOKUP($D657,Setup!$A$76:$C$87,3,FALSE)),Setup!$B$14),2))</f>
        <v/>
      </c>
      <c r="O657" s="89">
        <f>IF(OR($M657="",$E657=""),"",ROUND($M657*IFERROR(IF(VLOOKUP($E657,Setup!$A$76:$C$87,3,FALSE)="",Setup!$B$15,VLOOKUP($E657,Setup!$A$76:$C$87,3,FALSE)),Setup!$B$15),2))</f>
        <v/>
      </c>
      <c r="P657" s="91" t="n"/>
      <c r="Q657" s="91" t="n"/>
      <c r="R657" s="91" t="n"/>
      <c r="S657" s="91" t="n"/>
      <c r="T657" s="91" t="n"/>
      <c r="U657" s="89">
        <f>IF($K657="","",SUM($R657:$T657))</f>
        <v/>
      </c>
      <c r="V657" s="89">
        <f>IF($K657="","",$M657-(N($N657)+N($O657)+IF($P657="",Setup!$B$17,$P657)+N($Q657))-N($U657))</f>
        <v/>
      </c>
      <c r="W657" s="86" t="n"/>
      <c r="X657" s="87" t="n"/>
      <c r="Z657" s="92">
        <f>IF($A657="","",DATE(YEAR($A657),MONTH($A657),1))</f>
        <v/>
      </c>
    </row>
    <row r="658">
      <c r="A658" s="93" t="n"/>
      <c r="B658" s="94" t="n"/>
      <c r="C658" s="94" t="n"/>
      <c r="D658" s="95" t="n"/>
      <c r="E658" s="95" t="n"/>
      <c r="F658" s="95" t="n"/>
      <c r="G658" s="95" t="n"/>
      <c r="H658" s="96" t="n"/>
      <c r="I658" s="89">
        <f>IF($G658="","",IF($F658="",IFERROR(INDEX(Setup!$C$21:$C$60,MATCH("|"&amp;UPPER(TRIM($G658)),Setup!$Q$21:$Q$60,0)),"NO RATE"),IFERROR(INDEX(Setup!$C$21:$C$60,MATCH(UPPER(TRIM($F658))&amp;"|"&amp;UPPER(TRIM($G658)),Setup!$P$21:$P$60,0)),IFERROR(INDEX(Setup!$C$21:$C$60,MATCH(UPPER(TRIM($G658))&amp;"|"&amp;UPPER(TRIM($F658)),Setup!$P$21:$P$60,0)),"NO RATE"))))</f>
        <v/>
      </c>
      <c r="J658" s="97" t="n"/>
      <c r="K658" s="89">
        <f>IF(OR($G658="",$H658="",NOT(ISNUMBER($I658))),"",ROUND($H658*$I658*(1+IF($J658="",Setup!$B$16,$J658)),2))</f>
        <v/>
      </c>
      <c r="L658" s="89">
        <f>IF($K658="","",ROUND($K658*Setup!$B$13,2))</f>
        <v/>
      </c>
      <c r="M658" s="89">
        <f>IF($K658="","",$K658-$L658)</f>
        <v/>
      </c>
      <c r="N658" s="89">
        <f>IF(OR($M658="",$D658=""),"",ROUND($M658*IFERROR(IF(VLOOKUP($D658,Setup!$A$76:$C$87,3,FALSE)="",Setup!$B$14,VLOOKUP($D658,Setup!$A$76:$C$87,3,FALSE)),Setup!$B$14),2))</f>
        <v/>
      </c>
      <c r="O658" s="89">
        <f>IF(OR($M658="",$E658=""),"",ROUND($M658*IFERROR(IF(VLOOKUP($E658,Setup!$A$76:$C$87,3,FALSE)="",Setup!$B$15,VLOOKUP($E658,Setup!$A$76:$C$87,3,FALSE)),Setup!$B$15),2))</f>
        <v/>
      </c>
      <c r="P658" s="98" t="n"/>
      <c r="Q658" s="98" t="n"/>
      <c r="R658" s="98" t="n"/>
      <c r="S658" s="98" t="n"/>
      <c r="T658" s="98" t="n"/>
      <c r="U658" s="89">
        <f>IF($K658="","",SUM($R658:$T658))</f>
        <v/>
      </c>
      <c r="V658" s="89">
        <f>IF($K658="","",$M658-(N($N658)+N($O658)+IF($P658="",Setup!$B$17,$P658)+N($Q658))-N($U658))</f>
        <v/>
      </c>
      <c r="W658" s="94" t="n"/>
      <c r="X658" s="95" t="n"/>
      <c r="Z658" s="92">
        <f>IF($A658="","",DATE(YEAR($A658),MONTH($A658),1))</f>
        <v/>
      </c>
    </row>
    <row r="659">
      <c r="A659" s="85" t="n"/>
      <c r="B659" s="86" t="n"/>
      <c r="C659" s="86" t="n"/>
      <c r="D659" s="87" t="n"/>
      <c r="E659" s="87" t="n"/>
      <c r="F659" s="87" t="n"/>
      <c r="G659" s="87" t="n"/>
      <c r="H659" s="88" t="n"/>
      <c r="I659" s="89">
        <f>IF($G659="","",IF($F659="",IFERROR(INDEX(Setup!$C$21:$C$60,MATCH("|"&amp;UPPER(TRIM($G659)),Setup!$Q$21:$Q$60,0)),"NO RATE"),IFERROR(INDEX(Setup!$C$21:$C$60,MATCH(UPPER(TRIM($F659))&amp;"|"&amp;UPPER(TRIM($G659)),Setup!$P$21:$P$60,0)),IFERROR(INDEX(Setup!$C$21:$C$60,MATCH(UPPER(TRIM($G659))&amp;"|"&amp;UPPER(TRIM($F659)),Setup!$P$21:$P$60,0)),"NO RATE"))))</f>
        <v/>
      </c>
      <c r="J659" s="90" t="n"/>
      <c r="K659" s="89">
        <f>IF(OR($G659="",$H659="",NOT(ISNUMBER($I659))),"",ROUND($H659*$I659*(1+IF($J659="",Setup!$B$16,$J659)),2))</f>
        <v/>
      </c>
      <c r="L659" s="89">
        <f>IF($K659="","",ROUND($K659*Setup!$B$13,2))</f>
        <v/>
      </c>
      <c r="M659" s="89">
        <f>IF($K659="","",$K659-$L659)</f>
        <v/>
      </c>
      <c r="N659" s="89">
        <f>IF(OR($M659="",$D659=""),"",ROUND($M659*IFERROR(IF(VLOOKUP($D659,Setup!$A$76:$C$87,3,FALSE)="",Setup!$B$14,VLOOKUP($D659,Setup!$A$76:$C$87,3,FALSE)),Setup!$B$14),2))</f>
        <v/>
      </c>
      <c r="O659" s="89">
        <f>IF(OR($M659="",$E659=""),"",ROUND($M659*IFERROR(IF(VLOOKUP($E659,Setup!$A$76:$C$87,3,FALSE)="",Setup!$B$15,VLOOKUP($E659,Setup!$A$76:$C$87,3,FALSE)),Setup!$B$15),2))</f>
        <v/>
      </c>
      <c r="P659" s="91" t="n"/>
      <c r="Q659" s="91" t="n"/>
      <c r="R659" s="91" t="n"/>
      <c r="S659" s="91" t="n"/>
      <c r="T659" s="91" t="n"/>
      <c r="U659" s="89">
        <f>IF($K659="","",SUM($R659:$T659))</f>
        <v/>
      </c>
      <c r="V659" s="89">
        <f>IF($K659="","",$M659-(N($N659)+N($O659)+IF($P659="",Setup!$B$17,$P659)+N($Q659))-N($U659))</f>
        <v/>
      </c>
      <c r="W659" s="86" t="n"/>
      <c r="X659" s="87" t="n"/>
      <c r="Z659" s="92">
        <f>IF($A659="","",DATE(YEAR($A659),MONTH($A659),1))</f>
        <v/>
      </c>
    </row>
    <row r="660">
      <c r="A660" s="93" t="n"/>
      <c r="B660" s="94" t="n"/>
      <c r="C660" s="94" t="n"/>
      <c r="D660" s="95" t="n"/>
      <c r="E660" s="95" t="n"/>
      <c r="F660" s="95" t="n"/>
      <c r="G660" s="95" t="n"/>
      <c r="H660" s="96" t="n"/>
      <c r="I660" s="89">
        <f>IF($G660="","",IF($F660="",IFERROR(INDEX(Setup!$C$21:$C$60,MATCH("|"&amp;UPPER(TRIM($G660)),Setup!$Q$21:$Q$60,0)),"NO RATE"),IFERROR(INDEX(Setup!$C$21:$C$60,MATCH(UPPER(TRIM($F660))&amp;"|"&amp;UPPER(TRIM($G660)),Setup!$P$21:$P$60,0)),IFERROR(INDEX(Setup!$C$21:$C$60,MATCH(UPPER(TRIM($G660))&amp;"|"&amp;UPPER(TRIM($F660)),Setup!$P$21:$P$60,0)),"NO RATE"))))</f>
        <v/>
      </c>
      <c r="J660" s="97" t="n"/>
      <c r="K660" s="89">
        <f>IF(OR($G660="",$H660="",NOT(ISNUMBER($I660))),"",ROUND($H660*$I660*(1+IF($J660="",Setup!$B$16,$J660)),2))</f>
        <v/>
      </c>
      <c r="L660" s="89">
        <f>IF($K660="","",ROUND($K660*Setup!$B$13,2))</f>
        <v/>
      </c>
      <c r="M660" s="89">
        <f>IF($K660="","",$K660-$L660)</f>
        <v/>
      </c>
      <c r="N660" s="89">
        <f>IF(OR($M660="",$D660=""),"",ROUND($M660*IFERROR(IF(VLOOKUP($D660,Setup!$A$76:$C$87,3,FALSE)="",Setup!$B$14,VLOOKUP($D660,Setup!$A$76:$C$87,3,FALSE)),Setup!$B$14),2))</f>
        <v/>
      </c>
      <c r="O660" s="89">
        <f>IF(OR($M660="",$E660=""),"",ROUND($M660*IFERROR(IF(VLOOKUP($E660,Setup!$A$76:$C$87,3,FALSE)="",Setup!$B$15,VLOOKUP($E660,Setup!$A$76:$C$87,3,FALSE)),Setup!$B$15),2))</f>
        <v/>
      </c>
      <c r="P660" s="98" t="n"/>
      <c r="Q660" s="98" t="n"/>
      <c r="R660" s="98" t="n"/>
      <c r="S660" s="98" t="n"/>
      <c r="T660" s="98" t="n"/>
      <c r="U660" s="89">
        <f>IF($K660="","",SUM($R660:$T660))</f>
        <v/>
      </c>
      <c r="V660" s="89">
        <f>IF($K660="","",$M660-(N($N660)+N($O660)+IF($P660="",Setup!$B$17,$P660)+N($Q660))-N($U660))</f>
        <v/>
      </c>
      <c r="W660" s="94" t="n"/>
      <c r="X660" s="95" t="n"/>
      <c r="Z660" s="92">
        <f>IF($A660="","",DATE(YEAR($A660),MONTH($A660),1))</f>
        <v/>
      </c>
    </row>
    <row r="661">
      <c r="A661" s="85" t="n"/>
      <c r="B661" s="86" t="n"/>
      <c r="C661" s="86" t="n"/>
      <c r="D661" s="87" t="n"/>
      <c r="E661" s="87" t="n"/>
      <c r="F661" s="87" t="n"/>
      <c r="G661" s="87" t="n"/>
      <c r="H661" s="88" t="n"/>
      <c r="I661" s="89">
        <f>IF($G661="","",IF($F661="",IFERROR(INDEX(Setup!$C$21:$C$60,MATCH("|"&amp;UPPER(TRIM($G661)),Setup!$Q$21:$Q$60,0)),"NO RATE"),IFERROR(INDEX(Setup!$C$21:$C$60,MATCH(UPPER(TRIM($F661))&amp;"|"&amp;UPPER(TRIM($G661)),Setup!$P$21:$P$60,0)),IFERROR(INDEX(Setup!$C$21:$C$60,MATCH(UPPER(TRIM($G661))&amp;"|"&amp;UPPER(TRIM($F661)),Setup!$P$21:$P$60,0)),"NO RATE"))))</f>
        <v/>
      </c>
      <c r="J661" s="90" t="n"/>
      <c r="K661" s="89">
        <f>IF(OR($G661="",$H661="",NOT(ISNUMBER($I661))),"",ROUND($H661*$I661*(1+IF($J661="",Setup!$B$16,$J661)),2))</f>
        <v/>
      </c>
      <c r="L661" s="89">
        <f>IF($K661="","",ROUND($K661*Setup!$B$13,2))</f>
        <v/>
      </c>
      <c r="M661" s="89">
        <f>IF($K661="","",$K661-$L661)</f>
        <v/>
      </c>
      <c r="N661" s="89">
        <f>IF(OR($M661="",$D661=""),"",ROUND($M661*IFERROR(IF(VLOOKUP($D661,Setup!$A$76:$C$87,3,FALSE)="",Setup!$B$14,VLOOKUP($D661,Setup!$A$76:$C$87,3,FALSE)),Setup!$B$14),2))</f>
        <v/>
      </c>
      <c r="O661" s="89">
        <f>IF(OR($M661="",$E661=""),"",ROUND($M661*IFERROR(IF(VLOOKUP($E661,Setup!$A$76:$C$87,3,FALSE)="",Setup!$B$15,VLOOKUP($E661,Setup!$A$76:$C$87,3,FALSE)),Setup!$B$15),2))</f>
        <v/>
      </c>
      <c r="P661" s="91" t="n"/>
      <c r="Q661" s="91" t="n"/>
      <c r="R661" s="91" t="n"/>
      <c r="S661" s="91" t="n"/>
      <c r="T661" s="91" t="n"/>
      <c r="U661" s="89">
        <f>IF($K661="","",SUM($R661:$T661))</f>
        <v/>
      </c>
      <c r="V661" s="89">
        <f>IF($K661="","",$M661-(N($N661)+N($O661)+IF($P661="",Setup!$B$17,$P661)+N($Q661))-N($U661))</f>
        <v/>
      </c>
      <c r="W661" s="86" t="n"/>
      <c r="X661" s="87" t="n"/>
      <c r="Z661" s="92">
        <f>IF($A661="","",DATE(YEAR($A661),MONTH($A661),1))</f>
        <v/>
      </c>
    </row>
    <row r="662">
      <c r="A662" s="93" t="n"/>
      <c r="B662" s="94" t="n"/>
      <c r="C662" s="94" t="n"/>
      <c r="D662" s="95" t="n"/>
      <c r="E662" s="95" t="n"/>
      <c r="F662" s="95" t="n"/>
      <c r="G662" s="95" t="n"/>
      <c r="H662" s="96" t="n"/>
      <c r="I662" s="89">
        <f>IF($G662="","",IF($F662="",IFERROR(INDEX(Setup!$C$21:$C$60,MATCH("|"&amp;UPPER(TRIM($G662)),Setup!$Q$21:$Q$60,0)),"NO RATE"),IFERROR(INDEX(Setup!$C$21:$C$60,MATCH(UPPER(TRIM($F662))&amp;"|"&amp;UPPER(TRIM($G662)),Setup!$P$21:$P$60,0)),IFERROR(INDEX(Setup!$C$21:$C$60,MATCH(UPPER(TRIM($G662))&amp;"|"&amp;UPPER(TRIM($F662)),Setup!$P$21:$P$60,0)),"NO RATE"))))</f>
        <v/>
      </c>
      <c r="J662" s="97" t="n"/>
      <c r="K662" s="89">
        <f>IF(OR($G662="",$H662="",NOT(ISNUMBER($I662))),"",ROUND($H662*$I662*(1+IF($J662="",Setup!$B$16,$J662)),2))</f>
        <v/>
      </c>
      <c r="L662" s="89">
        <f>IF($K662="","",ROUND($K662*Setup!$B$13,2))</f>
        <v/>
      </c>
      <c r="M662" s="89">
        <f>IF($K662="","",$K662-$L662)</f>
        <v/>
      </c>
      <c r="N662" s="89">
        <f>IF(OR($M662="",$D662=""),"",ROUND($M662*IFERROR(IF(VLOOKUP($D662,Setup!$A$76:$C$87,3,FALSE)="",Setup!$B$14,VLOOKUP($D662,Setup!$A$76:$C$87,3,FALSE)),Setup!$B$14),2))</f>
        <v/>
      </c>
      <c r="O662" s="89">
        <f>IF(OR($M662="",$E662=""),"",ROUND($M662*IFERROR(IF(VLOOKUP($E662,Setup!$A$76:$C$87,3,FALSE)="",Setup!$B$15,VLOOKUP($E662,Setup!$A$76:$C$87,3,FALSE)),Setup!$B$15),2))</f>
        <v/>
      </c>
      <c r="P662" s="98" t="n"/>
      <c r="Q662" s="98" t="n"/>
      <c r="R662" s="98" t="n"/>
      <c r="S662" s="98" t="n"/>
      <c r="T662" s="98" t="n"/>
      <c r="U662" s="89">
        <f>IF($K662="","",SUM($R662:$T662))</f>
        <v/>
      </c>
      <c r="V662" s="89">
        <f>IF($K662="","",$M662-(N($N662)+N($O662)+IF($P662="",Setup!$B$17,$P662)+N($Q662))-N($U662))</f>
        <v/>
      </c>
      <c r="W662" s="94" t="n"/>
      <c r="X662" s="95" t="n"/>
      <c r="Z662" s="92">
        <f>IF($A662="","",DATE(YEAR($A662),MONTH($A662),1))</f>
        <v/>
      </c>
    </row>
    <row r="663">
      <c r="A663" s="85" t="n"/>
      <c r="B663" s="86" t="n"/>
      <c r="C663" s="86" t="n"/>
      <c r="D663" s="87" t="n"/>
      <c r="E663" s="87" t="n"/>
      <c r="F663" s="87" t="n"/>
      <c r="G663" s="87" t="n"/>
      <c r="H663" s="88" t="n"/>
      <c r="I663" s="89">
        <f>IF($G663="","",IF($F663="",IFERROR(INDEX(Setup!$C$21:$C$60,MATCH("|"&amp;UPPER(TRIM($G663)),Setup!$Q$21:$Q$60,0)),"NO RATE"),IFERROR(INDEX(Setup!$C$21:$C$60,MATCH(UPPER(TRIM($F663))&amp;"|"&amp;UPPER(TRIM($G663)),Setup!$P$21:$P$60,0)),IFERROR(INDEX(Setup!$C$21:$C$60,MATCH(UPPER(TRIM($G663))&amp;"|"&amp;UPPER(TRIM($F663)),Setup!$P$21:$P$60,0)),"NO RATE"))))</f>
        <v/>
      </c>
      <c r="J663" s="90" t="n"/>
      <c r="K663" s="89">
        <f>IF(OR($G663="",$H663="",NOT(ISNUMBER($I663))),"",ROUND($H663*$I663*(1+IF($J663="",Setup!$B$16,$J663)),2))</f>
        <v/>
      </c>
      <c r="L663" s="89">
        <f>IF($K663="","",ROUND($K663*Setup!$B$13,2))</f>
        <v/>
      </c>
      <c r="M663" s="89">
        <f>IF($K663="","",$K663-$L663)</f>
        <v/>
      </c>
      <c r="N663" s="89">
        <f>IF(OR($M663="",$D663=""),"",ROUND($M663*IFERROR(IF(VLOOKUP($D663,Setup!$A$76:$C$87,3,FALSE)="",Setup!$B$14,VLOOKUP($D663,Setup!$A$76:$C$87,3,FALSE)),Setup!$B$14),2))</f>
        <v/>
      </c>
      <c r="O663" s="89">
        <f>IF(OR($M663="",$E663=""),"",ROUND($M663*IFERROR(IF(VLOOKUP($E663,Setup!$A$76:$C$87,3,FALSE)="",Setup!$B$15,VLOOKUP($E663,Setup!$A$76:$C$87,3,FALSE)),Setup!$B$15),2))</f>
        <v/>
      </c>
      <c r="P663" s="91" t="n"/>
      <c r="Q663" s="91" t="n"/>
      <c r="R663" s="91" t="n"/>
      <c r="S663" s="91" t="n"/>
      <c r="T663" s="91" t="n"/>
      <c r="U663" s="89">
        <f>IF($K663="","",SUM($R663:$T663))</f>
        <v/>
      </c>
      <c r="V663" s="89">
        <f>IF($K663="","",$M663-(N($N663)+N($O663)+IF($P663="",Setup!$B$17,$P663)+N($Q663))-N($U663))</f>
        <v/>
      </c>
      <c r="W663" s="86" t="n"/>
      <c r="X663" s="87" t="n"/>
      <c r="Z663" s="92">
        <f>IF($A663="","",DATE(YEAR($A663),MONTH($A663),1))</f>
        <v/>
      </c>
    </row>
    <row r="664">
      <c r="A664" s="93" t="n"/>
      <c r="B664" s="94" t="n"/>
      <c r="C664" s="94" t="n"/>
      <c r="D664" s="95" t="n"/>
      <c r="E664" s="95" t="n"/>
      <c r="F664" s="95" t="n"/>
      <c r="G664" s="95" t="n"/>
      <c r="H664" s="96" t="n"/>
      <c r="I664" s="89">
        <f>IF($G664="","",IF($F664="",IFERROR(INDEX(Setup!$C$21:$C$60,MATCH("|"&amp;UPPER(TRIM($G664)),Setup!$Q$21:$Q$60,0)),"NO RATE"),IFERROR(INDEX(Setup!$C$21:$C$60,MATCH(UPPER(TRIM($F664))&amp;"|"&amp;UPPER(TRIM($G664)),Setup!$P$21:$P$60,0)),IFERROR(INDEX(Setup!$C$21:$C$60,MATCH(UPPER(TRIM($G664))&amp;"|"&amp;UPPER(TRIM($F664)),Setup!$P$21:$P$60,0)),"NO RATE"))))</f>
        <v/>
      </c>
      <c r="J664" s="97" t="n"/>
      <c r="K664" s="89">
        <f>IF(OR($G664="",$H664="",NOT(ISNUMBER($I664))),"",ROUND($H664*$I664*(1+IF($J664="",Setup!$B$16,$J664)),2))</f>
        <v/>
      </c>
      <c r="L664" s="89">
        <f>IF($K664="","",ROUND($K664*Setup!$B$13,2))</f>
        <v/>
      </c>
      <c r="M664" s="89">
        <f>IF($K664="","",$K664-$L664)</f>
        <v/>
      </c>
      <c r="N664" s="89">
        <f>IF(OR($M664="",$D664=""),"",ROUND($M664*IFERROR(IF(VLOOKUP($D664,Setup!$A$76:$C$87,3,FALSE)="",Setup!$B$14,VLOOKUP($D664,Setup!$A$76:$C$87,3,FALSE)),Setup!$B$14),2))</f>
        <v/>
      </c>
      <c r="O664" s="89">
        <f>IF(OR($M664="",$E664=""),"",ROUND($M664*IFERROR(IF(VLOOKUP($E664,Setup!$A$76:$C$87,3,FALSE)="",Setup!$B$15,VLOOKUP($E664,Setup!$A$76:$C$87,3,FALSE)),Setup!$B$15),2))</f>
        <v/>
      </c>
      <c r="P664" s="98" t="n"/>
      <c r="Q664" s="98" t="n"/>
      <c r="R664" s="98" t="n"/>
      <c r="S664" s="98" t="n"/>
      <c r="T664" s="98" t="n"/>
      <c r="U664" s="89">
        <f>IF($K664="","",SUM($R664:$T664))</f>
        <v/>
      </c>
      <c r="V664" s="89">
        <f>IF($K664="","",$M664-(N($N664)+N($O664)+IF($P664="",Setup!$B$17,$P664)+N($Q664))-N($U664))</f>
        <v/>
      </c>
      <c r="W664" s="94" t="n"/>
      <c r="X664" s="95" t="n"/>
      <c r="Z664" s="92">
        <f>IF($A664="","",DATE(YEAR($A664),MONTH($A664),1))</f>
        <v/>
      </c>
    </row>
    <row r="665">
      <c r="A665" s="85" t="n"/>
      <c r="B665" s="86" t="n"/>
      <c r="C665" s="86" t="n"/>
      <c r="D665" s="87" t="n"/>
      <c r="E665" s="87" t="n"/>
      <c r="F665" s="87" t="n"/>
      <c r="G665" s="87" t="n"/>
      <c r="H665" s="88" t="n"/>
      <c r="I665" s="89">
        <f>IF($G665="","",IF($F665="",IFERROR(INDEX(Setup!$C$21:$C$60,MATCH("|"&amp;UPPER(TRIM($G665)),Setup!$Q$21:$Q$60,0)),"NO RATE"),IFERROR(INDEX(Setup!$C$21:$C$60,MATCH(UPPER(TRIM($F665))&amp;"|"&amp;UPPER(TRIM($G665)),Setup!$P$21:$P$60,0)),IFERROR(INDEX(Setup!$C$21:$C$60,MATCH(UPPER(TRIM($G665))&amp;"|"&amp;UPPER(TRIM($F665)),Setup!$P$21:$P$60,0)),"NO RATE"))))</f>
        <v/>
      </c>
      <c r="J665" s="90" t="n"/>
      <c r="K665" s="89">
        <f>IF(OR($G665="",$H665="",NOT(ISNUMBER($I665))),"",ROUND($H665*$I665*(1+IF($J665="",Setup!$B$16,$J665)),2))</f>
        <v/>
      </c>
      <c r="L665" s="89">
        <f>IF($K665="","",ROUND($K665*Setup!$B$13,2))</f>
        <v/>
      </c>
      <c r="M665" s="89">
        <f>IF($K665="","",$K665-$L665)</f>
        <v/>
      </c>
      <c r="N665" s="89">
        <f>IF(OR($M665="",$D665=""),"",ROUND($M665*IFERROR(IF(VLOOKUP($D665,Setup!$A$76:$C$87,3,FALSE)="",Setup!$B$14,VLOOKUP($D665,Setup!$A$76:$C$87,3,FALSE)),Setup!$B$14),2))</f>
        <v/>
      </c>
      <c r="O665" s="89">
        <f>IF(OR($M665="",$E665=""),"",ROUND($M665*IFERROR(IF(VLOOKUP($E665,Setup!$A$76:$C$87,3,FALSE)="",Setup!$B$15,VLOOKUP($E665,Setup!$A$76:$C$87,3,FALSE)),Setup!$B$15),2))</f>
        <v/>
      </c>
      <c r="P665" s="91" t="n"/>
      <c r="Q665" s="91" t="n"/>
      <c r="R665" s="91" t="n"/>
      <c r="S665" s="91" t="n"/>
      <c r="T665" s="91" t="n"/>
      <c r="U665" s="89">
        <f>IF($K665="","",SUM($R665:$T665))</f>
        <v/>
      </c>
      <c r="V665" s="89">
        <f>IF($K665="","",$M665-(N($N665)+N($O665)+IF($P665="",Setup!$B$17,$P665)+N($Q665))-N($U665))</f>
        <v/>
      </c>
      <c r="W665" s="86" t="n"/>
      <c r="X665" s="87" t="n"/>
      <c r="Z665" s="92">
        <f>IF($A665="","",DATE(YEAR($A665),MONTH($A665),1))</f>
        <v/>
      </c>
    </row>
    <row r="666">
      <c r="A666" s="93" t="n"/>
      <c r="B666" s="94" t="n"/>
      <c r="C666" s="94" t="n"/>
      <c r="D666" s="95" t="n"/>
      <c r="E666" s="95" t="n"/>
      <c r="F666" s="95" t="n"/>
      <c r="G666" s="95" t="n"/>
      <c r="H666" s="96" t="n"/>
      <c r="I666" s="89">
        <f>IF($G666="","",IF($F666="",IFERROR(INDEX(Setup!$C$21:$C$60,MATCH("|"&amp;UPPER(TRIM($G666)),Setup!$Q$21:$Q$60,0)),"NO RATE"),IFERROR(INDEX(Setup!$C$21:$C$60,MATCH(UPPER(TRIM($F666))&amp;"|"&amp;UPPER(TRIM($G666)),Setup!$P$21:$P$60,0)),IFERROR(INDEX(Setup!$C$21:$C$60,MATCH(UPPER(TRIM($G666))&amp;"|"&amp;UPPER(TRIM($F666)),Setup!$P$21:$P$60,0)),"NO RATE"))))</f>
        <v/>
      </c>
      <c r="J666" s="97" t="n"/>
      <c r="K666" s="89">
        <f>IF(OR($G666="",$H666="",NOT(ISNUMBER($I666))),"",ROUND($H666*$I666*(1+IF($J666="",Setup!$B$16,$J666)),2))</f>
        <v/>
      </c>
      <c r="L666" s="89">
        <f>IF($K666="","",ROUND($K666*Setup!$B$13,2))</f>
        <v/>
      </c>
      <c r="M666" s="89">
        <f>IF($K666="","",$K666-$L666)</f>
        <v/>
      </c>
      <c r="N666" s="89">
        <f>IF(OR($M666="",$D666=""),"",ROUND($M666*IFERROR(IF(VLOOKUP($D666,Setup!$A$76:$C$87,3,FALSE)="",Setup!$B$14,VLOOKUP($D666,Setup!$A$76:$C$87,3,FALSE)),Setup!$B$14),2))</f>
        <v/>
      </c>
      <c r="O666" s="89">
        <f>IF(OR($M666="",$E666=""),"",ROUND($M666*IFERROR(IF(VLOOKUP($E666,Setup!$A$76:$C$87,3,FALSE)="",Setup!$B$15,VLOOKUP($E666,Setup!$A$76:$C$87,3,FALSE)),Setup!$B$15),2))</f>
        <v/>
      </c>
      <c r="P666" s="98" t="n"/>
      <c r="Q666" s="98" t="n"/>
      <c r="R666" s="98" t="n"/>
      <c r="S666" s="98" t="n"/>
      <c r="T666" s="98" t="n"/>
      <c r="U666" s="89">
        <f>IF($K666="","",SUM($R666:$T666))</f>
        <v/>
      </c>
      <c r="V666" s="89">
        <f>IF($K666="","",$M666-(N($N666)+N($O666)+IF($P666="",Setup!$B$17,$P666)+N($Q666))-N($U666))</f>
        <v/>
      </c>
      <c r="W666" s="94" t="n"/>
      <c r="X666" s="95" t="n"/>
      <c r="Z666" s="92">
        <f>IF($A666="","",DATE(YEAR($A666),MONTH($A666),1))</f>
        <v/>
      </c>
    </row>
    <row r="667">
      <c r="A667" s="85" t="n"/>
      <c r="B667" s="86" t="n"/>
      <c r="C667" s="86" t="n"/>
      <c r="D667" s="87" t="n"/>
      <c r="E667" s="87" t="n"/>
      <c r="F667" s="87" t="n"/>
      <c r="G667" s="87" t="n"/>
      <c r="H667" s="88" t="n"/>
      <c r="I667" s="89">
        <f>IF($G667="","",IF($F667="",IFERROR(INDEX(Setup!$C$21:$C$60,MATCH("|"&amp;UPPER(TRIM($G667)),Setup!$Q$21:$Q$60,0)),"NO RATE"),IFERROR(INDEX(Setup!$C$21:$C$60,MATCH(UPPER(TRIM($F667))&amp;"|"&amp;UPPER(TRIM($G667)),Setup!$P$21:$P$60,0)),IFERROR(INDEX(Setup!$C$21:$C$60,MATCH(UPPER(TRIM($G667))&amp;"|"&amp;UPPER(TRIM($F667)),Setup!$P$21:$P$60,0)),"NO RATE"))))</f>
        <v/>
      </c>
      <c r="J667" s="90" t="n"/>
      <c r="K667" s="89">
        <f>IF(OR($G667="",$H667="",NOT(ISNUMBER($I667))),"",ROUND($H667*$I667*(1+IF($J667="",Setup!$B$16,$J667)),2))</f>
        <v/>
      </c>
      <c r="L667" s="89">
        <f>IF($K667="","",ROUND($K667*Setup!$B$13,2))</f>
        <v/>
      </c>
      <c r="M667" s="89">
        <f>IF($K667="","",$K667-$L667)</f>
        <v/>
      </c>
      <c r="N667" s="89">
        <f>IF(OR($M667="",$D667=""),"",ROUND($M667*IFERROR(IF(VLOOKUP($D667,Setup!$A$76:$C$87,3,FALSE)="",Setup!$B$14,VLOOKUP($D667,Setup!$A$76:$C$87,3,FALSE)),Setup!$B$14),2))</f>
        <v/>
      </c>
      <c r="O667" s="89">
        <f>IF(OR($M667="",$E667=""),"",ROUND($M667*IFERROR(IF(VLOOKUP($E667,Setup!$A$76:$C$87,3,FALSE)="",Setup!$B$15,VLOOKUP($E667,Setup!$A$76:$C$87,3,FALSE)),Setup!$B$15),2))</f>
        <v/>
      </c>
      <c r="P667" s="91" t="n"/>
      <c r="Q667" s="91" t="n"/>
      <c r="R667" s="91" t="n"/>
      <c r="S667" s="91" t="n"/>
      <c r="T667" s="91" t="n"/>
      <c r="U667" s="89">
        <f>IF($K667="","",SUM($R667:$T667))</f>
        <v/>
      </c>
      <c r="V667" s="89">
        <f>IF($K667="","",$M667-(N($N667)+N($O667)+IF($P667="",Setup!$B$17,$P667)+N($Q667))-N($U667))</f>
        <v/>
      </c>
      <c r="W667" s="86" t="n"/>
      <c r="X667" s="87" t="n"/>
      <c r="Z667" s="92">
        <f>IF($A667="","",DATE(YEAR($A667),MONTH($A667),1))</f>
        <v/>
      </c>
    </row>
    <row r="668">
      <c r="A668" s="93" t="n"/>
      <c r="B668" s="94" t="n"/>
      <c r="C668" s="94" t="n"/>
      <c r="D668" s="95" t="n"/>
      <c r="E668" s="95" t="n"/>
      <c r="F668" s="95" t="n"/>
      <c r="G668" s="95" t="n"/>
      <c r="H668" s="96" t="n"/>
      <c r="I668" s="89">
        <f>IF($G668="","",IF($F668="",IFERROR(INDEX(Setup!$C$21:$C$60,MATCH("|"&amp;UPPER(TRIM($G668)),Setup!$Q$21:$Q$60,0)),"NO RATE"),IFERROR(INDEX(Setup!$C$21:$C$60,MATCH(UPPER(TRIM($F668))&amp;"|"&amp;UPPER(TRIM($G668)),Setup!$P$21:$P$60,0)),IFERROR(INDEX(Setup!$C$21:$C$60,MATCH(UPPER(TRIM($G668))&amp;"|"&amp;UPPER(TRIM($F668)),Setup!$P$21:$P$60,0)),"NO RATE"))))</f>
        <v/>
      </c>
      <c r="J668" s="97" t="n"/>
      <c r="K668" s="89">
        <f>IF(OR($G668="",$H668="",NOT(ISNUMBER($I668))),"",ROUND($H668*$I668*(1+IF($J668="",Setup!$B$16,$J668)),2))</f>
        <v/>
      </c>
      <c r="L668" s="89">
        <f>IF($K668="","",ROUND($K668*Setup!$B$13,2))</f>
        <v/>
      </c>
      <c r="M668" s="89">
        <f>IF($K668="","",$K668-$L668)</f>
        <v/>
      </c>
      <c r="N668" s="89">
        <f>IF(OR($M668="",$D668=""),"",ROUND($M668*IFERROR(IF(VLOOKUP($D668,Setup!$A$76:$C$87,3,FALSE)="",Setup!$B$14,VLOOKUP($D668,Setup!$A$76:$C$87,3,FALSE)),Setup!$B$14),2))</f>
        <v/>
      </c>
      <c r="O668" s="89">
        <f>IF(OR($M668="",$E668=""),"",ROUND($M668*IFERROR(IF(VLOOKUP($E668,Setup!$A$76:$C$87,3,FALSE)="",Setup!$B$15,VLOOKUP($E668,Setup!$A$76:$C$87,3,FALSE)),Setup!$B$15),2))</f>
        <v/>
      </c>
      <c r="P668" s="98" t="n"/>
      <c r="Q668" s="98" t="n"/>
      <c r="R668" s="98" t="n"/>
      <c r="S668" s="98" t="n"/>
      <c r="T668" s="98" t="n"/>
      <c r="U668" s="89">
        <f>IF($K668="","",SUM($R668:$T668))</f>
        <v/>
      </c>
      <c r="V668" s="89">
        <f>IF($K668="","",$M668-(N($N668)+N($O668)+IF($P668="",Setup!$B$17,$P668)+N($Q668))-N($U668))</f>
        <v/>
      </c>
      <c r="W668" s="94" t="n"/>
      <c r="X668" s="95" t="n"/>
      <c r="Z668" s="92">
        <f>IF($A668="","",DATE(YEAR($A668),MONTH($A668),1))</f>
        <v/>
      </c>
    </row>
    <row r="669">
      <c r="A669" s="85" t="n"/>
      <c r="B669" s="86" t="n"/>
      <c r="C669" s="86" t="n"/>
      <c r="D669" s="87" t="n"/>
      <c r="E669" s="87" t="n"/>
      <c r="F669" s="87" t="n"/>
      <c r="G669" s="87" t="n"/>
      <c r="H669" s="88" t="n"/>
      <c r="I669" s="89">
        <f>IF($G669="","",IF($F669="",IFERROR(INDEX(Setup!$C$21:$C$60,MATCH("|"&amp;UPPER(TRIM($G669)),Setup!$Q$21:$Q$60,0)),"NO RATE"),IFERROR(INDEX(Setup!$C$21:$C$60,MATCH(UPPER(TRIM($F669))&amp;"|"&amp;UPPER(TRIM($G669)),Setup!$P$21:$P$60,0)),IFERROR(INDEX(Setup!$C$21:$C$60,MATCH(UPPER(TRIM($G669))&amp;"|"&amp;UPPER(TRIM($F669)),Setup!$P$21:$P$60,0)),"NO RATE"))))</f>
        <v/>
      </c>
      <c r="J669" s="90" t="n"/>
      <c r="K669" s="89">
        <f>IF(OR($G669="",$H669="",NOT(ISNUMBER($I669))),"",ROUND($H669*$I669*(1+IF($J669="",Setup!$B$16,$J669)),2))</f>
        <v/>
      </c>
      <c r="L669" s="89">
        <f>IF($K669="","",ROUND($K669*Setup!$B$13,2))</f>
        <v/>
      </c>
      <c r="M669" s="89">
        <f>IF($K669="","",$K669-$L669)</f>
        <v/>
      </c>
      <c r="N669" s="89">
        <f>IF(OR($M669="",$D669=""),"",ROUND($M669*IFERROR(IF(VLOOKUP($D669,Setup!$A$76:$C$87,3,FALSE)="",Setup!$B$14,VLOOKUP($D669,Setup!$A$76:$C$87,3,FALSE)),Setup!$B$14),2))</f>
        <v/>
      </c>
      <c r="O669" s="89">
        <f>IF(OR($M669="",$E669=""),"",ROUND($M669*IFERROR(IF(VLOOKUP($E669,Setup!$A$76:$C$87,3,FALSE)="",Setup!$B$15,VLOOKUP($E669,Setup!$A$76:$C$87,3,FALSE)),Setup!$B$15),2))</f>
        <v/>
      </c>
      <c r="P669" s="91" t="n"/>
      <c r="Q669" s="91" t="n"/>
      <c r="R669" s="91" t="n"/>
      <c r="S669" s="91" t="n"/>
      <c r="T669" s="91" t="n"/>
      <c r="U669" s="89">
        <f>IF($K669="","",SUM($R669:$T669))</f>
        <v/>
      </c>
      <c r="V669" s="89">
        <f>IF($K669="","",$M669-(N($N669)+N($O669)+IF($P669="",Setup!$B$17,$P669)+N($Q669))-N($U669))</f>
        <v/>
      </c>
      <c r="W669" s="86" t="n"/>
      <c r="X669" s="87" t="n"/>
      <c r="Z669" s="92">
        <f>IF($A669="","",DATE(YEAR($A669),MONTH($A669),1))</f>
        <v/>
      </c>
    </row>
    <row r="670">
      <c r="A670" s="93" t="n"/>
      <c r="B670" s="94" t="n"/>
      <c r="C670" s="94" t="n"/>
      <c r="D670" s="95" t="n"/>
      <c r="E670" s="95" t="n"/>
      <c r="F670" s="95" t="n"/>
      <c r="G670" s="95" t="n"/>
      <c r="H670" s="96" t="n"/>
      <c r="I670" s="89">
        <f>IF($G670="","",IF($F670="",IFERROR(INDEX(Setup!$C$21:$C$60,MATCH("|"&amp;UPPER(TRIM($G670)),Setup!$Q$21:$Q$60,0)),"NO RATE"),IFERROR(INDEX(Setup!$C$21:$C$60,MATCH(UPPER(TRIM($F670))&amp;"|"&amp;UPPER(TRIM($G670)),Setup!$P$21:$P$60,0)),IFERROR(INDEX(Setup!$C$21:$C$60,MATCH(UPPER(TRIM($G670))&amp;"|"&amp;UPPER(TRIM($F670)),Setup!$P$21:$P$60,0)),"NO RATE"))))</f>
        <v/>
      </c>
      <c r="J670" s="97" t="n"/>
      <c r="K670" s="89">
        <f>IF(OR($G670="",$H670="",NOT(ISNUMBER($I670))),"",ROUND($H670*$I670*(1+IF($J670="",Setup!$B$16,$J670)),2))</f>
        <v/>
      </c>
      <c r="L670" s="89">
        <f>IF($K670="","",ROUND($K670*Setup!$B$13,2))</f>
        <v/>
      </c>
      <c r="M670" s="89">
        <f>IF($K670="","",$K670-$L670)</f>
        <v/>
      </c>
      <c r="N670" s="89">
        <f>IF(OR($M670="",$D670=""),"",ROUND($M670*IFERROR(IF(VLOOKUP($D670,Setup!$A$76:$C$87,3,FALSE)="",Setup!$B$14,VLOOKUP($D670,Setup!$A$76:$C$87,3,FALSE)),Setup!$B$14),2))</f>
        <v/>
      </c>
      <c r="O670" s="89">
        <f>IF(OR($M670="",$E670=""),"",ROUND($M670*IFERROR(IF(VLOOKUP($E670,Setup!$A$76:$C$87,3,FALSE)="",Setup!$B$15,VLOOKUP($E670,Setup!$A$76:$C$87,3,FALSE)),Setup!$B$15),2))</f>
        <v/>
      </c>
      <c r="P670" s="98" t="n"/>
      <c r="Q670" s="98" t="n"/>
      <c r="R670" s="98" t="n"/>
      <c r="S670" s="98" t="n"/>
      <c r="T670" s="98" t="n"/>
      <c r="U670" s="89">
        <f>IF($K670="","",SUM($R670:$T670))</f>
        <v/>
      </c>
      <c r="V670" s="89">
        <f>IF($K670="","",$M670-(N($N670)+N($O670)+IF($P670="",Setup!$B$17,$P670)+N($Q670))-N($U670))</f>
        <v/>
      </c>
      <c r="W670" s="94" t="n"/>
      <c r="X670" s="95" t="n"/>
      <c r="Z670" s="92">
        <f>IF($A670="","",DATE(YEAR($A670),MONTH($A670),1))</f>
        <v/>
      </c>
    </row>
    <row r="671">
      <c r="A671" s="85" t="n"/>
      <c r="B671" s="86" t="n"/>
      <c r="C671" s="86" t="n"/>
      <c r="D671" s="87" t="n"/>
      <c r="E671" s="87" t="n"/>
      <c r="F671" s="87" t="n"/>
      <c r="G671" s="87" t="n"/>
      <c r="H671" s="88" t="n"/>
      <c r="I671" s="89">
        <f>IF($G671="","",IF($F671="",IFERROR(INDEX(Setup!$C$21:$C$60,MATCH("|"&amp;UPPER(TRIM($G671)),Setup!$Q$21:$Q$60,0)),"NO RATE"),IFERROR(INDEX(Setup!$C$21:$C$60,MATCH(UPPER(TRIM($F671))&amp;"|"&amp;UPPER(TRIM($G671)),Setup!$P$21:$P$60,0)),IFERROR(INDEX(Setup!$C$21:$C$60,MATCH(UPPER(TRIM($G671))&amp;"|"&amp;UPPER(TRIM($F671)),Setup!$P$21:$P$60,0)),"NO RATE"))))</f>
        <v/>
      </c>
      <c r="J671" s="90" t="n"/>
      <c r="K671" s="89">
        <f>IF(OR($G671="",$H671="",NOT(ISNUMBER($I671))),"",ROUND($H671*$I671*(1+IF($J671="",Setup!$B$16,$J671)),2))</f>
        <v/>
      </c>
      <c r="L671" s="89">
        <f>IF($K671="","",ROUND($K671*Setup!$B$13,2))</f>
        <v/>
      </c>
      <c r="M671" s="89">
        <f>IF($K671="","",$K671-$L671)</f>
        <v/>
      </c>
      <c r="N671" s="89">
        <f>IF(OR($M671="",$D671=""),"",ROUND($M671*IFERROR(IF(VLOOKUP($D671,Setup!$A$76:$C$87,3,FALSE)="",Setup!$B$14,VLOOKUP($D671,Setup!$A$76:$C$87,3,FALSE)),Setup!$B$14),2))</f>
        <v/>
      </c>
      <c r="O671" s="89">
        <f>IF(OR($M671="",$E671=""),"",ROUND($M671*IFERROR(IF(VLOOKUP($E671,Setup!$A$76:$C$87,3,FALSE)="",Setup!$B$15,VLOOKUP($E671,Setup!$A$76:$C$87,3,FALSE)),Setup!$B$15),2))</f>
        <v/>
      </c>
      <c r="P671" s="91" t="n"/>
      <c r="Q671" s="91" t="n"/>
      <c r="R671" s="91" t="n"/>
      <c r="S671" s="91" t="n"/>
      <c r="T671" s="91" t="n"/>
      <c r="U671" s="89">
        <f>IF($K671="","",SUM($R671:$T671))</f>
        <v/>
      </c>
      <c r="V671" s="89">
        <f>IF($K671="","",$M671-(N($N671)+N($O671)+IF($P671="",Setup!$B$17,$P671)+N($Q671))-N($U671))</f>
        <v/>
      </c>
      <c r="W671" s="86" t="n"/>
      <c r="X671" s="87" t="n"/>
      <c r="Z671" s="92">
        <f>IF($A671="","",DATE(YEAR($A671),MONTH($A671),1))</f>
        <v/>
      </c>
    </row>
    <row r="672">
      <c r="A672" s="93" t="n"/>
      <c r="B672" s="94" t="n"/>
      <c r="C672" s="94" t="n"/>
      <c r="D672" s="95" t="n"/>
      <c r="E672" s="95" t="n"/>
      <c r="F672" s="95" t="n"/>
      <c r="G672" s="95" t="n"/>
      <c r="H672" s="96" t="n"/>
      <c r="I672" s="89">
        <f>IF($G672="","",IF($F672="",IFERROR(INDEX(Setup!$C$21:$C$60,MATCH("|"&amp;UPPER(TRIM($G672)),Setup!$Q$21:$Q$60,0)),"NO RATE"),IFERROR(INDEX(Setup!$C$21:$C$60,MATCH(UPPER(TRIM($F672))&amp;"|"&amp;UPPER(TRIM($G672)),Setup!$P$21:$P$60,0)),IFERROR(INDEX(Setup!$C$21:$C$60,MATCH(UPPER(TRIM($G672))&amp;"|"&amp;UPPER(TRIM($F672)),Setup!$P$21:$P$60,0)),"NO RATE"))))</f>
        <v/>
      </c>
      <c r="J672" s="97" t="n"/>
      <c r="K672" s="89">
        <f>IF(OR($G672="",$H672="",NOT(ISNUMBER($I672))),"",ROUND($H672*$I672*(1+IF($J672="",Setup!$B$16,$J672)),2))</f>
        <v/>
      </c>
      <c r="L672" s="89">
        <f>IF($K672="","",ROUND($K672*Setup!$B$13,2))</f>
        <v/>
      </c>
      <c r="M672" s="89">
        <f>IF($K672="","",$K672-$L672)</f>
        <v/>
      </c>
      <c r="N672" s="89">
        <f>IF(OR($M672="",$D672=""),"",ROUND($M672*IFERROR(IF(VLOOKUP($D672,Setup!$A$76:$C$87,3,FALSE)="",Setup!$B$14,VLOOKUP($D672,Setup!$A$76:$C$87,3,FALSE)),Setup!$B$14),2))</f>
        <v/>
      </c>
      <c r="O672" s="89">
        <f>IF(OR($M672="",$E672=""),"",ROUND($M672*IFERROR(IF(VLOOKUP($E672,Setup!$A$76:$C$87,3,FALSE)="",Setup!$B$15,VLOOKUP($E672,Setup!$A$76:$C$87,3,FALSE)),Setup!$B$15),2))</f>
        <v/>
      </c>
      <c r="P672" s="98" t="n"/>
      <c r="Q672" s="98" t="n"/>
      <c r="R672" s="98" t="n"/>
      <c r="S672" s="98" t="n"/>
      <c r="T672" s="98" t="n"/>
      <c r="U672" s="89">
        <f>IF($K672="","",SUM($R672:$T672))</f>
        <v/>
      </c>
      <c r="V672" s="89">
        <f>IF($K672="","",$M672-(N($N672)+N($O672)+IF($P672="",Setup!$B$17,$P672)+N($Q672))-N($U672))</f>
        <v/>
      </c>
      <c r="W672" s="94" t="n"/>
      <c r="X672" s="95" t="n"/>
      <c r="Z672" s="92">
        <f>IF($A672="","",DATE(YEAR($A672),MONTH($A672),1))</f>
        <v/>
      </c>
    </row>
    <row r="673">
      <c r="A673" s="85" t="n"/>
      <c r="B673" s="86" t="n"/>
      <c r="C673" s="86" t="n"/>
      <c r="D673" s="87" t="n"/>
      <c r="E673" s="87" t="n"/>
      <c r="F673" s="87" t="n"/>
      <c r="G673" s="87" t="n"/>
      <c r="H673" s="88" t="n"/>
      <c r="I673" s="89">
        <f>IF($G673="","",IF($F673="",IFERROR(INDEX(Setup!$C$21:$C$60,MATCH("|"&amp;UPPER(TRIM($G673)),Setup!$Q$21:$Q$60,0)),"NO RATE"),IFERROR(INDEX(Setup!$C$21:$C$60,MATCH(UPPER(TRIM($F673))&amp;"|"&amp;UPPER(TRIM($G673)),Setup!$P$21:$P$60,0)),IFERROR(INDEX(Setup!$C$21:$C$60,MATCH(UPPER(TRIM($G673))&amp;"|"&amp;UPPER(TRIM($F673)),Setup!$P$21:$P$60,0)),"NO RATE"))))</f>
        <v/>
      </c>
      <c r="J673" s="90" t="n"/>
      <c r="K673" s="89">
        <f>IF(OR($G673="",$H673="",NOT(ISNUMBER($I673))),"",ROUND($H673*$I673*(1+IF($J673="",Setup!$B$16,$J673)),2))</f>
        <v/>
      </c>
      <c r="L673" s="89">
        <f>IF($K673="","",ROUND($K673*Setup!$B$13,2))</f>
        <v/>
      </c>
      <c r="M673" s="89">
        <f>IF($K673="","",$K673-$L673)</f>
        <v/>
      </c>
      <c r="N673" s="89">
        <f>IF(OR($M673="",$D673=""),"",ROUND($M673*IFERROR(IF(VLOOKUP($D673,Setup!$A$76:$C$87,3,FALSE)="",Setup!$B$14,VLOOKUP($D673,Setup!$A$76:$C$87,3,FALSE)),Setup!$B$14),2))</f>
        <v/>
      </c>
      <c r="O673" s="89">
        <f>IF(OR($M673="",$E673=""),"",ROUND($M673*IFERROR(IF(VLOOKUP($E673,Setup!$A$76:$C$87,3,FALSE)="",Setup!$B$15,VLOOKUP($E673,Setup!$A$76:$C$87,3,FALSE)),Setup!$B$15),2))</f>
        <v/>
      </c>
      <c r="P673" s="91" t="n"/>
      <c r="Q673" s="91" t="n"/>
      <c r="R673" s="91" t="n"/>
      <c r="S673" s="91" t="n"/>
      <c r="T673" s="91" t="n"/>
      <c r="U673" s="89">
        <f>IF($K673="","",SUM($R673:$T673))</f>
        <v/>
      </c>
      <c r="V673" s="89">
        <f>IF($K673="","",$M673-(N($N673)+N($O673)+IF($P673="",Setup!$B$17,$P673)+N($Q673))-N($U673))</f>
        <v/>
      </c>
      <c r="W673" s="86" t="n"/>
      <c r="X673" s="87" t="n"/>
      <c r="Z673" s="92">
        <f>IF($A673="","",DATE(YEAR($A673),MONTH($A673),1))</f>
        <v/>
      </c>
    </row>
    <row r="674">
      <c r="A674" s="93" t="n"/>
      <c r="B674" s="94" t="n"/>
      <c r="C674" s="94" t="n"/>
      <c r="D674" s="95" t="n"/>
      <c r="E674" s="95" t="n"/>
      <c r="F674" s="95" t="n"/>
      <c r="G674" s="95" t="n"/>
      <c r="H674" s="96" t="n"/>
      <c r="I674" s="89">
        <f>IF($G674="","",IF($F674="",IFERROR(INDEX(Setup!$C$21:$C$60,MATCH("|"&amp;UPPER(TRIM($G674)),Setup!$Q$21:$Q$60,0)),"NO RATE"),IFERROR(INDEX(Setup!$C$21:$C$60,MATCH(UPPER(TRIM($F674))&amp;"|"&amp;UPPER(TRIM($G674)),Setup!$P$21:$P$60,0)),IFERROR(INDEX(Setup!$C$21:$C$60,MATCH(UPPER(TRIM($G674))&amp;"|"&amp;UPPER(TRIM($F674)),Setup!$P$21:$P$60,0)),"NO RATE"))))</f>
        <v/>
      </c>
      <c r="J674" s="97" t="n"/>
      <c r="K674" s="89">
        <f>IF(OR($G674="",$H674="",NOT(ISNUMBER($I674))),"",ROUND($H674*$I674*(1+IF($J674="",Setup!$B$16,$J674)),2))</f>
        <v/>
      </c>
      <c r="L674" s="89">
        <f>IF($K674="","",ROUND($K674*Setup!$B$13,2))</f>
        <v/>
      </c>
      <c r="M674" s="89">
        <f>IF($K674="","",$K674-$L674)</f>
        <v/>
      </c>
      <c r="N674" s="89">
        <f>IF(OR($M674="",$D674=""),"",ROUND($M674*IFERROR(IF(VLOOKUP($D674,Setup!$A$76:$C$87,3,FALSE)="",Setup!$B$14,VLOOKUP($D674,Setup!$A$76:$C$87,3,FALSE)),Setup!$B$14),2))</f>
        <v/>
      </c>
      <c r="O674" s="89">
        <f>IF(OR($M674="",$E674=""),"",ROUND($M674*IFERROR(IF(VLOOKUP($E674,Setup!$A$76:$C$87,3,FALSE)="",Setup!$B$15,VLOOKUP($E674,Setup!$A$76:$C$87,3,FALSE)),Setup!$B$15),2))</f>
        <v/>
      </c>
      <c r="P674" s="98" t="n"/>
      <c r="Q674" s="98" t="n"/>
      <c r="R674" s="98" t="n"/>
      <c r="S674" s="98" t="n"/>
      <c r="T674" s="98" t="n"/>
      <c r="U674" s="89">
        <f>IF($K674="","",SUM($R674:$T674))</f>
        <v/>
      </c>
      <c r="V674" s="89">
        <f>IF($K674="","",$M674-(N($N674)+N($O674)+IF($P674="",Setup!$B$17,$P674)+N($Q674))-N($U674))</f>
        <v/>
      </c>
      <c r="W674" s="94" t="n"/>
      <c r="X674" s="95" t="n"/>
      <c r="Z674" s="92">
        <f>IF($A674="","",DATE(YEAR($A674),MONTH($A674),1))</f>
        <v/>
      </c>
    </row>
    <row r="675">
      <c r="A675" s="85" t="n"/>
      <c r="B675" s="86" t="n"/>
      <c r="C675" s="86" t="n"/>
      <c r="D675" s="87" t="n"/>
      <c r="E675" s="87" t="n"/>
      <c r="F675" s="87" t="n"/>
      <c r="G675" s="87" t="n"/>
      <c r="H675" s="88" t="n"/>
      <c r="I675" s="89">
        <f>IF($G675="","",IF($F675="",IFERROR(INDEX(Setup!$C$21:$C$60,MATCH("|"&amp;UPPER(TRIM($G675)),Setup!$Q$21:$Q$60,0)),"NO RATE"),IFERROR(INDEX(Setup!$C$21:$C$60,MATCH(UPPER(TRIM($F675))&amp;"|"&amp;UPPER(TRIM($G675)),Setup!$P$21:$P$60,0)),IFERROR(INDEX(Setup!$C$21:$C$60,MATCH(UPPER(TRIM($G675))&amp;"|"&amp;UPPER(TRIM($F675)),Setup!$P$21:$P$60,0)),"NO RATE"))))</f>
        <v/>
      </c>
      <c r="J675" s="90" t="n"/>
      <c r="K675" s="89">
        <f>IF(OR($G675="",$H675="",NOT(ISNUMBER($I675))),"",ROUND($H675*$I675*(1+IF($J675="",Setup!$B$16,$J675)),2))</f>
        <v/>
      </c>
      <c r="L675" s="89">
        <f>IF($K675="","",ROUND($K675*Setup!$B$13,2))</f>
        <v/>
      </c>
      <c r="M675" s="89">
        <f>IF($K675="","",$K675-$L675)</f>
        <v/>
      </c>
      <c r="N675" s="89">
        <f>IF(OR($M675="",$D675=""),"",ROUND($M675*IFERROR(IF(VLOOKUP($D675,Setup!$A$76:$C$87,3,FALSE)="",Setup!$B$14,VLOOKUP($D675,Setup!$A$76:$C$87,3,FALSE)),Setup!$B$14),2))</f>
        <v/>
      </c>
      <c r="O675" s="89">
        <f>IF(OR($M675="",$E675=""),"",ROUND($M675*IFERROR(IF(VLOOKUP($E675,Setup!$A$76:$C$87,3,FALSE)="",Setup!$B$15,VLOOKUP($E675,Setup!$A$76:$C$87,3,FALSE)),Setup!$B$15),2))</f>
        <v/>
      </c>
      <c r="P675" s="91" t="n"/>
      <c r="Q675" s="91" t="n"/>
      <c r="R675" s="91" t="n"/>
      <c r="S675" s="91" t="n"/>
      <c r="T675" s="91" t="n"/>
      <c r="U675" s="89">
        <f>IF($K675="","",SUM($R675:$T675))</f>
        <v/>
      </c>
      <c r="V675" s="89">
        <f>IF($K675="","",$M675-(N($N675)+N($O675)+IF($P675="",Setup!$B$17,$P675)+N($Q675))-N($U675))</f>
        <v/>
      </c>
      <c r="W675" s="86" t="n"/>
      <c r="X675" s="87" t="n"/>
      <c r="Z675" s="92">
        <f>IF($A675="","",DATE(YEAR($A675),MONTH($A675),1))</f>
        <v/>
      </c>
    </row>
    <row r="676">
      <c r="A676" s="93" t="n"/>
      <c r="B676" s="94" t="n"/>
      <c r="C676" s="94" t="n"/>
      <c r="D676" s="95" t="n"/>
      <c r="E676" s="95" t="n"/>
      <c r="F676" s="95" t="n"/>
      <c r="G676" s="95" t="n"/>
      <c r="H676" s="96" t="n"/>
      <c r="I676" s="89">
        <f>IF($G676="","",IF($F676="",IFERROR(INDEX(Setup!$C$21:$C$60,MATCH("|"&amp;UPPER(TRIM($G676)),Setup!$Q$21:$Q$60,0)),"NO RATE"),IFERROR(INDEX(Setup!$C$21:$C$60,MATCH(UPPER(TRIM($F676))&amp;"|"&amp;UPPER(TRIM($G676)),Setup!$P$21:$P$60,0)),IFERROR(INDEX(Setup!$C$21:$C$60,MATCH(UPPER(TRIM($G676))&amp;"|"&amp;UPPER(TRIM($F676)),Setup!$P$21:$P$60,0)),"NO RATE"))))</f>
        <v/>
      </c>
      <c r="J676" s="97" t="n"/>
      <c r="K676" s="89">
        <f>IF(OR($G676="",$H676="",NOT(ISNUMBER($I676))),"",ROUND($H676*$I676*(1+IF($J676="",Setup!$B$16,$J676)),2))</f>
        <v/>
      </c>
      <c r="L676" s="89">
        <f>IF($K676="","",ROUND($K676*Setup!$B$13,2))</f>
        <v/>
      </c>
      <c r="M676" s="89">
        <f>IF($K676="","",$K676-$L676)</f>
        <v/>
      </c>
      <c r="N676" s="89">
        <f>IF(OR($M676="",$D676=""),"",ROUND($M676*IFERROR(IF(VLOOKUP($D676,Setup!$A$76:$C$87,3,FALSE)="",Setup!$B$14,VLOOKUP($D676,Setup!$A$76:$C$87,3,FALSE)),Setup!$B$14),2))</f>
        <v/>
      </c>
      <c r="O676" s="89">
        <f>IF(OR($M676="",$E676=""),"",ROUND($M676*IFERROR(IF(VLOOKUP($E676,Setup!$A$76:$C$87,3,FALSE)="",Setup!$B$15,VLOOKUP($E676,Setup!$A$76:$C$87,3,FALSE)),Setup!$B$15),2))</f>
        <v/>
      </c>
      <c r="P676" s="98" t="n"/>
      <c r="Q676" s="98" t="n"/>
      <c r="R676" s="98" t="n"/>
      <c r="S676" s="98" t="n"/>
      <c r="T676" s="98" t="n"/>
      <c r="U676" s="89">
        <f>IF($K676="","",SUM($R676:$T676))</f>
        <v/>
      </c>
      <c r="V676" s="89">
        <f>IF($K676="","",$M676-(N($N676)+N($O676)+IF($P676="",Setup!$B$17,$P676)+N($Q676))-N($U676))</f>
        <v/>
      </c>
      <c r="W676" s="94" t="n"/>
      <c r="X676" s="95" t="n"/>
      <c r="Z676" s="92">
        <f>IF($A676="","",DATE(YEAR($A676),MONTH($A676),1))</f>
        <v/>
      </c>
    </row>
    <row r="677">
      <c r="A677" s="85" t="n"/>
      <c r="B677" s="86" t="n"/>
      <c r="C677" s="86" t="n"/>
      <c r="D677" s="87" t="n"/>
      <c r="E677" s="87" t="n"/>
      <c r="F677" s="87" t="n"/>
      <c r="G677" s="87" t="n"/>
      <c r="H677" s="88" t="n"/>
      <c r="I677" s="89">
        <f>IF($G677="","",IF($F677="",IFERROR(INDEX(Setup!$C$21:$C$60,MATCH("|"&amp;UPPER(TRIM($G677)),Setup!$Q$21:$Q$60,0)),"NO RATE"),IFERROR(INDEX(Setup!$C$21:$C$60,MATCH(UPPER(TRIM($F677))&amp;"|"&amp;UPPER(TRIM($G677)),Setup!$P$21:$P$60,0)),IFERROR(INDEX(Setup!$C$21:$C$60,MATCH(UPPER(TRIM($G677))&amp;"|"&amp;UPPER(TRIM($F677)),Setup!$P$21:$P$60,0)),"NO RATE"))))</f>
        <v/>
      </c>
      <c r="J677" s="90" t="n"/>
      <c r="K677" s="89">
        <f>IF(OR($G677="",$H677="",NOT(ISNUMBER($I677))),"",ROUND($H677*$I677*(1+IF($J677="",Setup!$B$16,$J677)),2))</f>
        <v/>
      </c>
      <c r="L677" s="89">
        <f>IF($K677="","",ROUND($K677*Setup!$B$13,2))</f>
        <v/>
      </c>
      <c r="M677" s="89">
        <f>IF($K677="","",$K677-$L677)</f>
        <v/>
      </c>
      <c r="N677" s="89">
        <f>IF(OR($M677="",$D677=""),"",ROUND($M677*IFERROR(IF(VLOOKUP($D677,Setup!$A$76:$C$87,3,FALSE)="",Setup!$B$14,VLOOKUP($D677,Setup!$A$76:$C$87,3,FALSE)),Setup!$B$14),2))</f>
        <v/>
      </c>
      <c r="O677" s="89">
        <f>IF(OR($M677="",$E677=""),"",ROUND($M677*IFERROR(IF(VLOOKUP($E677,Setup!$A$76:$C$87,3,FALSE)="",Setup!$B$15,VLOOKUP($E677,Setup!$A$76:$C$87,3,FALSE)),Setup!$B$15),2))</f>
        <v/>
      </c>
      <c r="P677" s="91" t="n"/>
      <c r="Q677" s="91" t="n"/>
      <c r="R677" s="91" t="n"/>
      <c r="S677" s="91" t="n"/>
      <c r="T677" s="91" t="n"/>
      <c r="U677" s="89">
        <f>IF($K677="","",SUM($R677:$T677))</f>
        <v/>
      </c>
      <c r="V677" s="89">
        <f>IF($K677="","",$M677-(N($N677)+N($O677)+IF($P677="",Setup!$B$17,$P677)+N($Q677))-N($U677))</f>
        <v/>
      </c>
      <c r="W677" s="86" t="n"/>
      <c r="X677" s="87" t="n"/>
      <c r="Z677" s="92">
        <f>IF($A677="","",DATE(YEAR($A677),MONTH($A677),1))</f>
        <v/>
      </c>
    </row>
    <row r="678">
      <c r="A678" s="93" t="n"/>
      <c r="B678" s="94" t="n"/>
      <c r="C678" s="94" t="n"/>
      <c r="D678" s="95" t="n"/>
      <c r="E678" s="95" t="n"/>
      <c r="F678" s="95" t="n"/>
      <c r="G678" s="95" t="n"/>
      <c r="H678" s="96" t="n"/>
      <c r="I678" s="89">
        <f>IF($G678="","",IF($F678="",IFERROR(INDEX(Setup!$C$21:$C$60,MATCH("|"&amp;UPPER(TRIM($G678)),Setup!$Q$21:$Q$60,0)),"NO RATE"),IFERROR(INDEX(Setup!$C$21:$C$60,MATCH(UPPER(TRIM($F678))&amp;"|"&amp;UPPER(TRIM($G678)),Setup!$P$21:$P$60,0)),IFERROR(INDEX(Setup!$C$21:$C$60,MATCH(UPPER(TRIM($G678))&amp;"|"&amp;UPPER(TRIM($F678)),Setup!$P$21:$P$60,0)),"NO RATE"))))</f>
        <v/>
      </c>
      <c r="J678" s="97" t="n"/>
      <c r="K678" s="89">
        <f>IF(OR($G678="",$H678="",NOT(ISNUMBER($I678))),"",ROUND($H678*$I678*(1+IF($J678="",Setup!$B$16,$J678)),2))</f>
        <v/>
      </c>
      <c r="L678" s="89">
        <f>IF($K678="","",ROUND($K678*Setup!$B$13,2))</f>
        <v/>
      </c>
      <c r="M678" s="89">
        <f>IF($K678="","",$K678-$L678)</f>
        <v/>
      </c>
      <c r="N678" s="89">
        <f>IF(OR($M678="",$D678=""),"",ROUND($M678*IFERROR(IF(VLOOKUP($D678,Setup!$A$76:$C$87,3,FALSE)="",Setup!$B$14,VLOOKUP($D678,Setup!$A$76:$C$87,3,FALSE)),Setup!$B$14),2))</f>
        <v/>
      </c>
      <c r="O678" s="89">
        <f>IF(OR($M678="",$E678=""),"",ROUND($M678*IFERROR(IF(VLOOKUP($E678,Setup!$A$76:$C$87,3,FALSE)="",Setup!$B$15,VLOOKUP($E678,Setup!$A$76:$C$87,3,FALSE)),Setup!$B$15),2))</f>
        <v/>
      </c>
      <c r="P678" s="98" t="n"/>
      <c r="Q678" s="98" t="n"/>
      <c r="R678" s="98" t="n"/>
      <c r="S678" s="98" t="n"/>
      <c r="T678" s="98" t="n"/>
      <c r="U678" s="89">
        <f>IF($K678="","",SUM($R678:$T678))</f>
        <v/>
      </c>
      <c r="V678" s="89">
        <f>IF($K678="","",$M678-(N($N678)+N($O678)+IF($P678="",Setup!$B$17,$P678)+N($Q678))-N($U678))</f>
        <v/>
      </c>
      <c r="W678" s="94" t="n"/>
      <c r="X678" s="95" t="n"/>
      <c r="Z678" s="92">
        <f>IF($A678="","",DATE(YEAR($A678),MONTH($A678),1))</f>
        <v/>
      </c>
    </row>
    <row r="679">
      <c r="A679" s="85" t="n"/>
      <c r="B679" s="86" t="n"/>
      <c r="C679" s="86" t="n"/>
      <c r="D679" s="87" t="n"/>
      <c r="E679" s="87" t="n"/>
      <c r="F679" s="87" t="n"/>
      <c r="G679" s="87" t="n"/>
      <c r="H679" s="88" t="n"/>
      <c r="I679" s="89">
        <f>IF($G679="","",IF($F679="",IFERROR(INDEX(Setup!$C$21:$C$60,MATCH("|"&amp;UPPER(TRIM($G679)),Setup!$Q$21:$Q$60,0)),"NO RATE"),IFERROR(INDEX(Setup!$C$21:$C$60,MATCH(UPPER(TRIM($F679))&amp;"|"&amp;UPPER(TRIM($G679)),Setup!$P$21:$P$60,0)),IFERROR(INDEX(Setup!$C$21:$C$60,MATCH(UPPER(TRIM($G679))&amp;"|"&amp;UPPER(TRIM($F679)),Setup!$P$21:$P$60,0)),"NO RATE"))))</f>
        <v/>
      </c>
      <c r="J679" s="90" t="n"/>
      <c r="K679" s="89">
        <f>IF(OR($G679="",$H679="",NOT(ISNUMBER($I679))),"",ROUND($H679*$I679*(1+IF($J679="",Setup!$B$16,$J679)),2))</f>
        <v/>
      </c>
      <c r="L679" s="89">
        <f>IF($K679="","",ROUND($K679*Setup!$B$13,2))</f>
        <v/>
      </c>
      <c r="M679" s="89">
        <f>IF($K679="","",$K679-$L679)</f>
        <v/>
      </c>
      <c r="N679" s="89">
        <f>IF(OR($M679="",$D679=""),"",ROUND($M679*IFERROR(IF(VLOOKUP($D679,Setup!$A$76:$C$87,3,FALSE)="",Setup!$B$14,VLOOKUP($D679,Setup!$A$76:$C$87,3,FALSE)),Setup!$B$14),2))</f>
        <v/>
      </c>
      <c r="O679" s="89">
        <f>IF(OR($M679="",$E679=""),"",ROUND($M679*IFERROR(IF(VLOOKUP($E679,Setup!$A$76:$C$87,3,FALSE)="",Setup!$B$15,VLOOKUP($E679,Setup!$A$76:$C$87,3,FALSE)),Setup!$B$15),2))</f>
        <v/>
      </c>
      <c r="P679" s="91" t="n"/>
      <c r="Q679" s="91" t="n"/>
      <c r="R679" s="91" t="n"/>
      <c r="S679" s="91" t="n"/>
      <c r="T679" s="91" t="n"/>
      <c r="U679" s="89">
        <f>IF($K679="","",SUM($R679:$T679))</f>
        <v/>
      </c>
      <c r="V679" s="89">
        <f>IF($K679="","",$M679-(N($N679)+N($O679)+IF($P679="",Setup!$B$17,$P679)+N($Q679))-N($U679))</f>
        <v/>
      </c>
      <c r="W679" s="86" t="n"/>
      <c r="X679" s="87" t="n"/>
      <c r="Z679" s="92">
        <f>IF($A679="","",DATE(YEAR($A679),MONTH($A679),1))</f>
        <v/>
      </c>
    </row>
    <row r="680">
      <c r="A680" s="93" t="n"/>
      <c r="B680" s="94" t="n"/>
      <c r="C680" s="94" t="n"/>
      <c r="D680" s="95" t="n"/>
      <c r="E680" s="95" t="n"/>
      <c r="F680" s="95" t="n"/>
      <c r="G680" s="95" t="n"/>
      <c r="H680" s="96" t="n"/>
      <c r="I680" s="89">
        <f>IF($G680="","",IF($F680="",IFERROR(INDEX(Setup!$C$21:$C$60,MATCH("|"&amp;UPPER(TRIM($G680)),Setup!$Q$21:$Q$60,0)),"NO RATE"),IFERROR(INDEX(Setup!$C$21:$C$60,MATCH(UPPER(TRIM($F680))&amp;"|"&amp;UPPER(TRIM($G680)),Setup!$P$21:$P$60,0)),IFERROR(INDEX(Setup!$C$21:$C$60,MATCH(UPPER(TRIM($G680))&amp;"|"&amp;UPPER(TRIM($F680)),Setup!$P$21:$P$60,0)),"NO RATE"))))</f>
        <v/>
      </c>
      <c r="J680" s="97" t="n"/>
      <c r="K680" s="89">
        <f>IF(OR($G680="",$H680="",NOT(ISNUMBER($I680))),"",ROUND($H680*$I680*(1+IF($J680="",Setup!$B$16,$J680)),2))</f>
        <v/>
      </c>
      <c r="L680" s="89">
        <f>IF($K680="","",ROUND($K680*Setup!$B$13,2))</f>
        <v/>
      </c>
      <c r="M680" s="89">
        <f>IF($K680="","",$K680-$L680)</f>
        <v/>
      </c>
      <c r="N680" s="89">
        <f>IF(OR($M680="",$D680=""),"",ROUND($M680*IFERROR(IF(VLOOKUP($D680,Setup!$A$76:$C$87,3,FALSE)="",Setup!$B$14,VLOOKUP($D680,Setup!$A$76:$C$87,3,FALSE)),Setup!$B$14),2))</f>
        <v/>
      </c>
      <c r="O680" s="89">
        <f>IF(OR($M680="",$E680=""),"",ROUND($M680*IFERROR(IF(VLOOKUP($E680,Setup!$A$76:$C$87,3,FALSE)="",Setup!$B$15,VLOOKUP($E680,Setup!$A$76:$C$87,3,FALSE)),Setup!$B$15),2))</f>
        <v/>
      </c>
      <c r="P680" s="98" t="n"/>
      <c r="Q680" s="98" t="n"/>
      <c r="R680" s="98" t="n"/>
      <c r="S680" s="98" t="n"/>
      <c r="T680" s="98" t="n"/>
      <c r="U680" s="89">
        <f>IF($K680="","",SUM($R680:$T680))</f>
        <v/>
      </c>
      <c r="V680" s="89">
        <f>IF($K680="","",$M680-(N($N680)+N($O680)+IF($P680="",Setup!$B$17,$P680)+N($Q680))-N($U680))</f>
        <v/>
      </c>
      <c r="W680" s="94" t="n"/>
      <c r="X680" s="95" t="n"/>
      <c r="Z680" s="92">
        <f>IF($A680="","",DATE(YEAR($A680),MONTH($A680),1))</f>
        <v/>
      </c>
    </row>
    <row r="681">
      <c r="A681" s="85" t="n"/>
      <c r="B681" s="86" t="n"/>
      <c r="C681" s="86" t="n"/>
      <c r="D681" s="87" t="n"/>
      <c r="E681" s="87" t="n"/>
      <c r="F681" s="87" t="n"/>
      <c r="G681" s="87" t="n"/>
      <c r="H681" s="88" t="n"/>
      <c r="I681" s="89">
        <f>IF($G681="","",IF($F681="",IFERROR(INDEX(Setup!$C$21:$C$60,MATCH("|"&amp;UPPER(TRIM($G681)),Setup!$Q$21:$Q$60,0)),"NO RATE"),IFERROR(INDEX(Setup!$C$21:$C$60,MATCH(UPPER(TRIM($F681))&amp;"|"&amp;UPPER(TRIM($G681)),Setup!$P$21:$P$60,0)),IFERROR(INDEX(Setup!$C$21:$C$60,MATCH(UPPER(TRIM($G681))&amp;"|"&amp;UPPER(TRIM($F681)),Setup!$P$21:$P$60,0)),"NO RATE"))))</f>
        <v/>
      </c>
      <c r="J681" s="90" t="n"/>
      <c r="K681" s="89">
        <f>IF(OR($G681="",$H681="",NOT(ISNUMBER($I681))),"",ROUND($H681*$I681*(1+IF($J681="",Setup!$B$16,$J681)),2))</f>
        <v/>
      </c>
      <c r="L681" s="89">
        <f>IF($K681="","",ROUND($K681*Setup!$B$13,2))</f>
        <v/>
      </c>
      <c r="M681" s="89">
        <f>IF($K681="","",$K681-$L681)</f>
        <v/>
      </c>
      <c r="N681" s="89">
        <f>IF(OR($M681="",$D681=""),"",ROUND($M681*IFERROR(IF(VLOOKUP($D681,Setup!$A$76:$C$87,3,FALSE)="",Setup!$B$14,VLOOKUP($D681,Setup!$A$76:$C$87,3,FALSE)),Setup!$B$14),2))</f>
        <v/>
      </c>
      <c r="O681" s="89">
        <f>IF(OR($M681="",$E681=""),"",ROUND($M681*IFERROR(IF(VLOOKUP($E681,Setup!$A$76:$C$87,3,FALSE)="",Setup!$B$15,VLOOKUP($E681,Setup!$A$76:$C$87,3,FALSE)),Setup!$B$15),2))</f>
        <v/>
      </c>
      <c r="P681" s="91" t="n"/>
      <c r="Q681" s="91" t="n"/>
      <c r="R681" s="91" t="n"/>
      <c r="S681" s="91" t="n"/>
      <c r="T681" s="91" t="n"/>
      <c r="U681" s="89">
        <f>IF($K681="","",SUM($R681:$T681))</f>
        <v/>
      </c>
      <c r="V681" s="89">
        <f>IF($K681="","",$M681-(N($N681)+N($O681)+IF($P681="",Setup!$B$17,$P681)+N($Q681))-N($U681))</f>
        <v/>
      </c>
      <c r="W681" s="86" t="n"/>
      <c r="X681" s="87" t="n"/>
      <c r="Z681" s="92">
        <f>IF($A681="","",DATE(YEAR($A681),MONTH($A681),1))</f>
        <v/>
      </c>
    </row>
    <row r="682">
      <c r="A682" s="93" t="n"/>
      <c r="B682" s="94" t="n"/>
      <c r="C682" s="94" t="n"/>
      <c r="D682" s="95" t="n"/>
      <c r="E682" s="95" t="n"/>
      <c r="F682" s="95" t="n"/>
      <c r="G682" s="95" t="n"/>
      <c r="H682" s="96" t="n"/>
      <c r="I682" s="89">
        <f>IF($G682="","",IF($F682="",IFERROR(INDEX(Setup!$C$21:$C$60,MATCH("|"&amp;UPPER(TRIM($G682)),Setup!$Q$21:$Q$60,0)),"NO RATE"),IFERROR(INDEX(Setup!$C$21:$C$60,MATCH(UPPER(TRIM($F682))&amp;"|"&amp;UPPER(TRIM($G682)),Setup!$P$21:$P$60,0)),IFERROR(INDEX(Setup!$C$21:$C$60,MATCH(UPPER(TRIM($G682))&amp;"|"&amp;UPPER(TRIM($F682)),Setup!$P$21:$P$60,0)),"NO RATE"))))</f>
        <v/>
      </c>
      <c r="J682" s="97" t="n"/>
      <c r="K682" s="89">
        <f>IF(OR($G682="",$H682="",NOT(ISNUMBER($I682))),"",ROUND($H682*$I682*(1+IF($J682="",Setup!$B$16,$J682)),2))</f>
        <v/>
      </c>
      <c r="L682" s="89">
        <f>IF($K682="","",ROUND($K682*Setup!$B$13,2))</f>
        <v/>
      </c>
      <c r="M682" s="89">
        <f>IF($K682="","",$K682-$L682)</f>
        <v/>
      </c>
      <c r="N682" s="89">
        <f>IF(OR($M682="",$D682=""),"",ROUND($M682*IFERROR(IF(VLOOKUP($D682,Setup!$A$76:$C$87,3,FALSE)="",Setup!$B$14,VLOOKUP($D682,Setup!$A$76:$C$87,3,FALSE)),Setup!$B$14),2))</f>
        <v/>
      </c>
      <c r="O682" s="89">
        <f>IF(OR($M682="",$E682=""),"",ROUND($M682*IFERROR(IF(VLOOKUP($E682,Setup!$A$76:$C$87,3,FALSE)="",Setup!$B$15,VLOOKUP($E682,Setup!$A$76:$C$87,3,FALSE)),Setup!$B$15),2))</f>
        <v/>
      </c>
      <c r="P682" s="98" t="n"/>
      <c r="Q682" s="98" t="n"/>
      <c r="R682" s="98" t="n"/>
      <c r="S682" s="98" t="n"/>
      <c r="T682" s="98" t="n"/>
      <c r="U682" s="89">
        <f>IF($K682="","",SUM($R682:$T682))</f>
        <v/>
      </c>
      <c r="V682" s="89">
        <f>IF($K682="","",$M682-(N($N682)+N($O682)+IF($P682="",Setup!$B$17,$P682)+N($Q682))-N($U682))</f>
        <v/>
      </c>
      <c r="W682" s="94" t="n"/>
      <c r="X682" s="95" t="n"/>
      <c r="Z682" s="92">
        <f>IF($A682="","",DATE(YEAR($A682),MONTH($A682),1))</f>
        <v/>
      </c>
    </row>
    <row r="683">
      <c r="A683" s="85" t="n"/>
      <c r="B683" s="86" t="n"/>
      <c r="C683" s="86" t="n"/>
      <c r="D683" s="87" t="n"/>
      <c r="E683" s="87" t="n"/>
      <c r="F683" s="87" t="n"/>
      <c r="G683" s="87" t="n"/>
      <c r="H683" s="88" t="n"/>
      <c r="I683" s="89">
        <f>IF($G683="","",IF($F683="",IFERROR(INDEX(Setup!$C$21:$C$60,MATCH("|"&amp;UPPER(TRIM($G683)),Setup!$Q$21:$Q$60,0)),"NO RATE"),IFERROR(INDEX(Setup!$C$21:$C$60,MATCH(UPPER(TRIM($F683))&amp;"|"&amp;UPPER(TRIM($G683)),Setup!$P$21:$P$60,0)),IFERROR(INDEX(Setup!$C$21:$C$60,MATCH(UPPER(TRIM($G683))&amp;"|"&amp;UPPER(TRIM($F683)),Setup!$P$21:$P$60,0)),"NO RATE"))))</f>
        <v/>
      </c>
      <c r="J683" s="90" t="n"/>
      <c r="K683" s="89">
        <f>IF(OR($G683="",$H683="",NOT(ISNUMBER($I683))),"",ROUND($H683*$I683*(1+IF($J683="",Setup!$B$16,$J683)),2))</f>
        <v/>
      </c>
      <c r="L683" s="89">
        <f>IF($K683="","",ROUND($K683*Setup!$B$13,2))</f>
        <v/>
      </c>
      <c r="M683" s="89">
        <f>IF($K683="","",$K683-$L683)</f>
        <v/>
      </c>
      <c r="N683" s="89">
        <f>IF(OR($M683="",$D683=""),"",ROUND($M683*IFERROR(IF(VLOOKUP($D683,Setup!$A$76:$C$87,3,FALSE)="",Setup!$B$14,VLOOKUP($D683,Setup!$A$76:$C$87,3,FALSE)),Setup!$B$14),2))</f>
        <v/>
      </c>
      <c r="O683" s="89">
        <f>IF(OR($M683="",$E683=""),"",ROUND($M683*IFERROR(IF(VLOOKUP($E683,Setup!$A$76:$C$87,3,FALSE)="",Setup!$B$15,VLOOKUP($E683,Setup!$A$76:$C$87,3,FALSE)),Setup!$B$15),2))</f>
        <v/>
      </c>
      <c r="P683" s="91" t="n"/>
      <c r="Q683" s="91" t="n"/>
      <c r="R683" s="91" t="n"/>
      <c r="S683" s="91" t="n"/>
      <c r="T683" s="91" t="n"/>
      <c r="U683" s="89">
        <f>IF($K683="","",SUM($R683:$T683))</f>
        <v/>
      </c>
      <c r="V683" s="89">
        <f>IF($K683="","",$M683-(N($N683)+N($O683)+IF($P683="",Setup!$B$17,$P683)+N($Q683))-N($U683))</f>
        <v/>
      </c>
      <c r="W683" s="86" t="n"/>
      <c r="X683" s="87" t="n"/>
      <c r="Z683" s="92">
        <f>IF($A683="","",DATE(YEAR($A683),MONTH($A683),1))</f>
        <v/>
      </c>
    </row>
    <row r="684">
      <c r="A684" s="93" t="n"/>
      <c r="B684" s="94" t="n"/>
      <c r="C684" s="94" t="n"/>
      <c r="D684" s="95" t="n"/>
      <c r="E684" s="95" t="n"/>
      <c r="F684" s="95" t="n"/>
      <c r="G684" s="95" t="n"/>
      <c r="H684" s="96" t="n"/>
      <c r="I684" s="89">
        <f>IF($G684="","",IF($F684="",IFERROR(INDEX(Setup!$C$21:$C$60,MATCH("|"&amp;UPPER(TRIM($G684)),Setup!$Q$21:$Q$60,0)),"NO RATE"),IFERROR(INDEX(Setup!$C$21:$C$60,MATCH(UPPER(TRIM($F684))&amp;"|"&amp;UPPER(TRIM($G684)),Setup!$P$21:$P$60,0)),IFERROR(INDEX(Setup!$C$21:$C$60,MATCH(UPPER(TRIM($G684))&amp;"|"&amp;UPPER(TRIM($F684)),Setup!$P$21:$P$60,0)),"NO RATE"))))</f>
        <v/>
      </c>
      <c r="J684" s="97" t="n"/>
      <c r="K684" s="89">
        <f>IF(OR($G684="",$H684="",NOT(ISNUMBER($I684))),"",ROUND($H684*$I684*(1+IF($J684="",Setup!$B$16,$J684)),2))</f>
        <v/>
      </c>
      <c r="L684" s="89">
        <f>IF($K684="","",ROUND($K684*Setup!$B$13,2))</f>
        <v/>
      </c>
      <c r="M684" s="89">
        <f>IF($K684="","",$K684-$L684)</f>
        <v/>
      </c>
      <c r="N684" s="89">
        <f>IF(OR($M684="",$D684=""),"",ROUND($M684*IFERROR(IF(VLOOKUP($D684,Setup!$A$76:$C$87,3,FALSE)="",Setup!$B$14,VLOOKUP($D684,Setup!$A$76:$C$87,3,FALSE)),Setup!$B$14),2))</f>
        <v/>
      </c>
      <c r="O684" s="89">
        <f>IF(OR($M684="",$E684=""),"",ROUND($M684*IFERROR(IF(VLOOKUP($E684,Setup!$A$76:$C$87,3,FALSE)="",Setup!$B$15,VLOOKUP($E684,Setup!$A$76:$C$87,3,FALSE)),Setup!$B$15),2))</f>
        <v/>
      </c>
      <c r="P684" s="98" t="n"/>
      <c r="Q684" s="98" t="n"/>
      <c r="R684" s="98" t="n"/>
      <c r="S684" s="98" t="n"/>
      <c r="T684" s="98" t="n"/>
      <c r="U684" s="89">
        <f>IF($K684="","",SUM($R684:$T684))</f>
        <v/>
      </c>
      <c r="V684" s="89">
        <f>IF($K684="","",$M684-(N($N684)+N($O684)+IF($P684="",Setup!$B$17,$P684)+N($Q684))-N($U684))</f>
        <v/>
      </c>
      <c r="W684" s="94" t="n"/>
      <c r="X684" s="95" t="n"/>
      <c r="Z684" s="92">
        <f>IF($A684="","",DATE(YEAR($A684),MONTH($A684),1))</f>
        <v/>
      </c>
    </row>
    <row r="685">
      <c r="A685" s="85" t="n"/>
      <c r="B685" s="86" t="n"/>
      <c r="C685" s="86" t="n"/>
      <c r="D685" s="87" t="n"/>
      <c r="E685" s="87" t="n"/>
      <c r="F685" s="87" t="n"/>
      <c r="G685" s="87" t="n"/>
      <c r="H685" s="88" t="n"/>
      <c r="I685" s="89">
        <f>IF($G685="","",IF($F685="",IFERROR(INDEX(Setup!$C$21:$C$60,MATCH("|"&amp;UPPER(TRIM($G685)),Setup!$Q$21:$Q$60,0)),"NO RATE"),IFERROR(INDEX(Setup!$C$21:$C$60,MATCH(UPPER(TRIM($F685))&amp;"|"&amp;UPPER(TRIM($G685)),Setup!$P$21:$P$60,0)),IFERROR(INDEX(Setup!$C$21:$C$60,MATCH(UPPER(TRIM($G685))&amp;"|"&amp;UPPER(TRIM($F685)),Setup!$P$21:$P$60,0)),"NO RATE"))))</f>
        <v/>
      </c>
      <c r="J685" s="90" t="n"/>
      <c r="K685" s="89">
        <f>IF(OR($G685="",$H685="",NOT(ISNUMBER($I685))),"",ROUND($H685*$I685*(1+IF($J685="",Setup!$B$16,$J685)),2))</f>
        <v/>
      </c>
      <c r="L685" s="89">
        <f>IF($K685="","",ROUND($K685*Setup!$B$13,2))</f>
        <v/>
      </c>
      <c r="M685" s="89">
        <f>IF($K685="","",$K685-$L685)</f>
        <v/>
      </c>
      <c r="N685" s="89">
        <f>IF(OR($M685="",$D685=""),"",ROUND($M685*IFERROR(IF(VLOOKUP($D685,Setup!$A$76:$C$87,3,FALSE)="",Setup!$B$14,VLOOKUP($D685,Setup!$A$76:$C$87,3,FALSE)),Setup!$B$14),2))</f>
        <v/>
      </c>
      <c r="O685" s="89">
        <f>IF(OR($M685="",$E685=""),"",ROUND($M685*IFERROR(IF(VLOOKUP($E685,Setup!$A$76:$C$87,3,FALSE)="",Setup!$B$15,VLOOKUP($E685,Setup!$A$76:$C$87,3,FALSE)),Setup!$B$15),2))</f>
        <v/>
      </c>
      <c r="P685" s="91" t="n"/>
      <c r="Q685" s="91" t="n"/>
      <c r="R685" s="91" t="n"/>
      <c r="S685" s="91" t="n"/>
      <c r="T685" s="91" t="n"/>
      <c r="U685" s="89">
        <f>IF($K685="","",SUM($R685:$T685))</f>
        <v/>
      </c>
      <c r="V685" s="89">
        <f>IF($K685="","",$M685-(N($N685)+N($O685)+IF($P685="",Setup!$B$17,$P685)+N($Q685))-N($U685))</f>
        <v/>
      </c>
      <c r="W685" s="86" t="n"/>
      <c r="X685" s="87" t="n"/>
      <c r="Z685" s="92">
        <f>IF($A685="","",DATE(YEAR($A685),MONTH($A685),1))</f>
        <v/>
      </c>
    </row>
    <row r="686">
      <c r="A686" s="93" t="n"/>
      <c r="B686" s="94" t="n"/>
      <c r="C686" s="94" t="n"/>
      <c r="D686" s="95" t="n"/>
      <c r="E686" s="95" t="n"/>
      <c r="F686" s="95" t="n"/>
      <c r="G686" s="95" t="n"/>
      <c r="H686" s="96" t="n"/>
      <c r="I686" s="89">
        <f>IF($G686="","",IF($F686="",IFERROR(INDEX(Setup!$C$21:$C$60,MATCH("|"&amp;UPPER(TRIM($G686)),Setup!$Q$21:$Q$60,0)),"NO RATE"),IFERROR(INDEX(Setup!$C$21:$C$60,MATCH(UPPER(TRIM($F686))&amp;"|"&amp;UPPER(TRIM($G686)),Setup!$P$21:$P$60,0)),IFERROR(INDEX(Setup!$C$21:$C$60,MATCH(UPPER(TRIM($G686))&amp;"|"&amp;UPPER(TRIM($F686)),Setup!$P$21:$P$60,0)),"NO RATE"))))</f>
        <v/>
      </c>
      <c r="J686" s="97" t="n"/>
      <c r="K686" s="89">
        <f>IF(OR($G686="",$H686="",NOT(ISNUMBER($I686))),"",ROUND($H686*$I686*(1+IF($J686="",Setup!$B$16,$J686)),2))</f>
        <v/>
      </c>
      <c r="L686" s="89">
        <f>IF($K686="","",ROUND($K686*Setup!$B$13,2))</f>
        <v/>
      </c>
      <c r="M686" s="89">
        <f>IF($K686="","",$K686-$L686)</f>
        <v/>
      </c>
      <c r="N686" s="89">
        <f>IF(OR($M686="",$D686=""),"",ROUND($M686*IFERROR(IF(VLOOKUP($D686,Setup!$A$76:$C$87,3,FALSE)="",Setup!$B$14,VLOOKUP($D686,Setup!$A$76:$C$87,3,FALSE)),Setup!$B$14),2))</f>
        <v/>
      </c>
      <c r="O686" s="89">
        <f>IF(OR($M686="",$E686=""),"",ROUND($M686*IFERROR(IF(VLOOKUP($E686,Setup!$A$76:$C$87,3,FALSE)="",Setup!$B$15,VLOOKUP($E686,Setup!$A$76:$C$87,3,FALSE)),Setup!$B$15),2))</f>
        <v/>
      </c>
      <c r="P686" s="98" t="n"/>
      <c r="Q686" s="98" t="n"/>
      <c r="R686" s="98" t="n"/>
      <c r="S686" s="98" t="n"/>
      <c r="T686" s="98" t="n"/>
      <c r="U686" s="89">
        <f>IF($K686="","",SUM($R686:$T686))</f>
        <v/>
      </c>
      <c r="V686" s="89">
        <f>IF($K686="","",$M686-(N($N686)+N($O686)+IF($P686="",Setup!$B$17,$P686)+N($Q686))-N($U686))</f>
        <v/>
      </c>
      <c r="W686" s="94" t="n"/>
      <c r="X686" s="95" t="n"/>
      <c r="Z686" s="92">
        <f>IF($A686="","",DATE(YEAR($A686),MONTH($A686),1))</f>
        <v/>
      </c>
    </row>
    <row r="687">
      <c r="A687" s="85" t="n"/>
      <c r="B687" s="86" t="n"/>
      <c r="C687" s="86" t="n"/>
      <c r="D687" s="87" t="n"/>
      <c r="E687" s="87" t="n"/>
      <c r="F687" s="87" t="n"/>
      <c r="G687" s="87" t="n"/>
      <c r="H687" s="88" t="n"/>
      <c r="I687" s="89">
        <f>IF($G687="","",IF($F687="",IFERROR(INDEX(Setup!$C$21:$C$60,MATCH("|"&amp;UPPER(TRIM($G687)),Setup!$Q$21:$Q$60,0)),"NO RATE"),IFERROR(INDEX(Setup!$C$21:$C$60,MATCH(UPPER(TRIM($F687))&amp;"|"&amp;UPPER(TRIM($G687)),Setup!$P$21:$P$60,0)),IFERROR(INDEX(Setup!$C$21:$C$60,MATCH(UPPER(TRIM($G687))&amp;"|"&amp;UPPER(TRIM($F687)),Setup!$P$21:$P$60,0)),"NO RATE"))))</f>
        <v/>
      </c>
      <c r="J687" s="90" t="n"/>
      <c r="K687" s="89">
        <f>IF(OR($G687="",$H687="",NOT(ISNUMBER($I687))),"",ROUND($H687*$I687*(1+IF($J687="",Setup!$B$16,$J687)),2))</f>
        <v/>
      </c>
      <c r="L687" s="89">
        <f>IF($K687="","",ROUND($K687*Setup!$B$13,2))</f>
        <v/>
      </c>
      <c r="M687" s="89">
        <f>IF($K687="","",$K687-$L687)</f>
        <v/>
      </c>
      <c r="N687" s="89">
        <f>IF(OR($M687="",$D687=""),"",ROUND($M687*IFERROR(IF(VLOOKUP($D687,Setup!$A$76:$C$87,3,FALSE)="",Setup!$B$14,VLOOKUP($D687,Setup!$A$76:$C$87,3,FALSE)),Setup!$B$14),2))</f>
        <v/>
      </c>
      <c r="O687" s="89">
        <f>IF(OR($M687="",$E687=""),"",ROUND($M687*IFERROR(IF(VLOOKUP($E687,Setup!$A$76:$C$87,3,FALSE)="",Setup!$B$15,VLOOKUP($E687,Setup!$A$76:$C$87,3,FALSE)),Setup!$B$15),2))</f>
        <v/>
      </c>
      <c r="P687" s="91" t="n"/>
      <c r="Q687" s="91" t="n"/>
      <c r="R687" s="91" t="n"/>
      <c r="S687" s="91" t="n"/>
      <c r="T687" s="91" t="n"/>
      <c r="U687" s="89">
        <f>IF($K687="","",SUM($R687:$T687))</f>
        <v/>
      </c>
      <c r="V687" s="89">
        <f>IF($K687="","",$M687-(N($N687)+N($O687)+IF($P687="",Setup!$B$17,$P687)+N($Q687))-N($U687))</f>
        <v/>
      </c>
      <c r="W687" s="86" t="n"/>
      <c r="X687" s="87" t="n"/>
      <c r="Z687" s="92">
        <f>IF($A687="","",DATE(YEAR($A687),MONTH($A687),1))</f>
        <v/>
      </c>
    </row>
    <row r="688">
      <c r="A688" s="93" t="n"/>
      <c r="B688" s="94" t="n"/>
      <c r="C688" s="94" t="n"/>
      <c r="D688" s="95" t="n"/>
      <c r="E688" s="95" t="n"/>
      <c r="F688" s="95" t="n"/>
      <c r="G688" s="95" t="n"/>
      <c r="H688" s="96" t="n"/>
      <c r="I688" s="89">
        <f>IF($G688="","",IF($F688="",IFERROR(INDEX(Setup!$C$21:$C$60,MATCH("|"&amp;UPPER(TRIM($G688)),Setup!$Q$21:$Q$60,0)),"NO RATE"),IFERROR(INDEX(Setup!$C$21:$C$60,MATCH(UPPER(TRIM($F688))&amp;"|"&amp;UPPER(TRIM($G688)),Setup!$P$21:$P$60,0)),IFERROR(INDEX(Setup!$C$21:$C$60,MATCH(UPPER(TRIM($G688))&amp;"|"&amp;UPPER(TRIM($F688)),Setup!$P$21:$P$60,0)),"NO RATE"))))</f>
        <v/>
      </c>
      <c r="J688" s="97" t="n"/>
      <c r="K688" s="89">
        <f>IF(OR($G688="",$H688="",NOT(ISNUMBER($I688))),"",ROUND($H688*$I688*(1+IF($J688="",Setup!$B$16,$J688)),2))</f>
        <v/>
      </c>
      <c r="L688" s="89">
        <f>IF($K688="","",ROUND($K688*Setup!$B$13,2))</f>
        <v/>
      </c>
      <c r="M688" s="89">
        <f>IF($K688="","",$K688-$L688)</f>
        <v/>
      </c>
      <c r="N688" s="89">
        <f>IF(OR($M688="",$D688=""),"",ROUND($M688*IFERROR(IF(VLOOKUP($D688,Setup!$A$76:$C$87,3,FALSE)="",Setup!$B$14,VLOOKUP($D688,Setup!$A$76:$C$87,3,FALSE)),Setup!$B$14),2))</f>
        <v/>
      </c>
      <c r="O688" s="89">
        <f>IF(OR($M688="",$E688=""),"",ROUND($M688*IFERROR(IF(VLOOKUP($E688,Setup!$A$76:$C$87,3,FALSE)="",Setup!$B$15,VLOOKUP($E688,Setup!$A$76:$C$87,3,FALSE)),Setup!$B$15),2))</f>
        <v/>
      </c>
      <c r="P688" s="98" t="n"/>
      <c r="Q688" s="98" t="n"/>
      <c r="R688" s="98" t="n"/>
      <c r="S688" s="98" t="n"/>
      <c r="T688" s="98" t="n"/>
      <c r="U688" s="89">
        <f>IF($K688="","",SUM($R688:$T688))</f>
        <v/>
      </c>
      <c r="V688" s="89">
        <f>IF($K688="","",$M688-(N($N688)+N($O688)+IF($P688="",Setup!$B$17,$P688)+N($Q688))-N($U688))</f>
        <v/>
      </c>
      <c r="W688" s="94" t="n"/>
      <c r="X688" s="95" t="n"/>
      <c r="Z688" s="92">
        <f>IF($A688="","",DATE(YEAR($A688),MONTH($A688),1))</f>
        <v/>
      </c>
    </row>
    <row r="689">
      <c r="A689" s="85" t="n"/>
      <c r="B689" s="86" t="n"/>
      <c r="C689" s="86" t="n"/>
      <c r="D689" s="87" t="n"/>
      <c r="E689" s="87" t="n"/>
      <c r="F689" s="87" t="n"/>
      <c r="G689" s="87" t="n"/>
      <c r="H689" s="88" t="n"/>
      <c r="I689" s="89">
        <f>IF($G689="","",IF($F689="",IFERROR(INDEX(Setup!$C$21:$C$60,MATCH("|"&amp;UPPER(TRIM($G689)),Setup!$Q$21:$Q$60,0)),"NO RATE"),IFERROR(INDEX(Setup!$C$21:$C$60,MATCH(UPPER(TRIM($F689))&amp;"|"&amp;UPPER(TRIM($G689)),Setup!$P$21:$P$60,0)),IFERROR(INDEX(Setup!$C$21:$C$60,MATCH(UPPER(TRIM($G689))&amp;"|"&amp;UPPER(TRIM($F689)),Setup!$P$21:$P$60,0)),"NO RATE"))))</f>
        <v/>
      </c>
      <c r="J689" s="90" t="n"/>
      <c r="K689" s="89">
        <f>IF(OR($G689="",$H689="",NOT(ISNUMBER($I689))),"",ROUND($H689*$I689*(1+IF($J689="",Setup!$B$16,$J689)),2))</f>
        <v/>
      </c>
      <c r="L689" s="89">
        <f>IF($K689="","",ROUND($K689*Setup!$B$13,2))</f>
        <v/>
      </c>
      <c r="M689" s="89">
        <f>IF($K689="","",$K689-$L689)</f>
        <v/>
      </c>
      <c r="N689" s="89">
        <f>IF(OR($M689="",$D689=""),"",ROUND($M689*IFERROR(IF(VLOOKUP($D689,Setup!$A$76:$C$87,3,FALSE)="",Setup!$B$14,VLOOKUP($D689,Setup!$A$76:$C$87,3,FALSE)),Setup!$B$14),2))</f>
        <v/>
      </c>
      <c r="O689" s="89">
        <f>IF(OR($M689="",$E689=""),"",ROUND($M689*IFERROR(IF(VLOOKUP($E689,Setup!$A$76:$C$87,3,FALSE)="",Setup!$B$15,VLOOKUP($E689,Setup!$A$76:$C$87,3,FALSE)),Setup!$B$15),2))</f>
        <v/>
      </c>
      <c r="P689" s="91" t="n"/>
      <c r="Q689" s="91" t="n"/>
      <c r="R689" s="91" t="n"/>
      <c r="S689" s="91" t="n"/>
      <c r="T689" s="91" t="n"/>
      <c r="U689" s="89">
        <f>IF($K689="","",SUM($R689:$T689))</f>
        <v/>
      </c>
      <c r="V689" s="89">
        <f>IF($K689="","",$M689-(N($N689)+N($O689)+IF($P689="",Setup!$B$17,$P689)+N($Q689))-N($U689))</f>
        <v/>
      </c>
      <c r="W689" s="86" t="n"/>
      <c r="X689" s="87" t="n"/>
      <c r="Z689" s="92">
        <f>IF($A689="","",DATE(YEAR($A689),MONTH($A689),1))</f>
        <v/>
      </c>
    </row>
    <row r="690">
      <c r="A690" s="93" t="n"/>
      <c r="B690" s="94" t="n"/>
      <c r="C690" s="94" t="n"/>
      <c r="D690" s="95" t="n"/>
      <c r="E690" s="95" t="n"/>
      <c r="F690" s="95" t="n"/>
      <c r="G690" s="95" t="n"/>
      <c r="H690" s="96" t="n"/>
      <c r="I690" s="89">
        <f>IF($G690="","",IF($F690="",IFERROR(INDEX(Setup!$C$21:$C$60,MATCH("|"&amp;UPPER(TRIM($G690)),Setup!$Q$21:$Q$60,0)),"NO RATE"),IFERROR(INDEX(Setup!$C$21:$C$60,MATCH(UPPER(TRIM($F690))&amp;"|"&amp;UPPER(TRIM($G690)),Setup!$P$21:$P$60,0)),IFERROR(INDEX(Setup!$C$21:$C$60,MATCH(UPPER(TRIM($G690))&amp;"|"&amp;UPPER(TRIM($F690)),Setup!$P$21:$P$60,0)),"NO RATE"))))</f>
        <v/>
      </c>
      <c r="J690" s="97" t="n"/>
      <c r="K690" s="89">
        <f>IF(OR($G690="",$H690="",NOT(ISNUMBER($I690))),"",ROUND($H690*$I690*(1+IF($J690="",Setup!$B$16,$J690)),2))</f>
        <v/>
      </c>
      <c r="L690" s="89">
        <f>IF($K690="","",ROUND($K690*Setup!$B$13,2))</f>
        <v/>
      </c>
      <c r="M690" s="89">
        <f>IF($K690="","",$K690-$L690)</f>
        <v/>
      </c>
      <c r="N690" s="89">
        <f>IF(OR($M690="",$D690=""),"",ROUND($M690*IFERROR(IF(VLOOKUP($D690,Setup!$A$76:$C$87,3,FALSE)="",Setup!$B$14,VLOOKUP($D690,Setup!$A$76:$C$87,3,FALSE)),Setup!$B$14),2))</f>
        <v/>
      </c>
      <c r="O690" s="89">
        <f>IF(OR($M690="",$E690=""),"",ROUND($M690*IFERROR(IF(VLOOKUP($E690,Setup!$A$76:$C$87,3,FALSE)="",Setup!$B$15,VLOOKUP($E690,Setup!$A$76:$C$87,3,FALSE)),Setup!$B$15),2))</f>
        <v/>
      </c>
      <c r="P690" s="98" t="n"/>
      <c r="Q690" s="98" t="n"/>
      <c r="R690" s="98" t="n"/>
      <c r="S690" s="98" t="n"/>
      <c r="T690" s="98" t="n"/>
      <c r="U690" s="89">
        <f>IF($K690="","",SUM($R690:$T690))</f>
        <v/>
      </c>
      <c r="V690" s="89">
        <f>IF($K690="","",$M690-(N($N690)+N($O690)+IF($P690="",Setup!$B$17,$P690)+N($Q690))-N($U690))</f>
        <v/>
      </c>
      <c r="W690" s="94" t="n"/>
      <c r="X690" s="95" t="n"/>
      <c r="Z690" s="92">
        <f>IF($A690="","",DATE(YEAR($A690),MONTH($A690),1))</f>
        <v/>
      </c>
    </row>
    <row r="691">
      <c r="A691" s="85" t="n"/>
      <c r="B691" s="86" t="n"/>
      <c r="C691" s="86" t="n"/>
      <c r="D691" s="87" t="n"/>
      <c r="E691" s="87" t="n"/>
      <c r="F691" s="87" t="n"/>
      <c r="G691" s="87" t="n"/>
      <c r="H691" s="88" t="n"/>
      <c r="I691" s="89">
        <f>IF($G691="","",IF($F691="",IFERROR(INDEX(Setup!$C$21:$C$60,MATCH("|"&amp;UPPER(TRIM($G691)),Setup!$Q$21:$Q$60,0)),"NO RATE"),IFERROR(INDEX(Setup!$C$21:$C$60,MATCH(UPPER(TRIM($F691))&amp;"|"&amp;UPPER(TRIM($G691)),Setup!$P$21:$P$60,0)),IFERROR(INDEX(Setup!$C$21:$C$60,MATCH(UPPER(TRIM($G691))&amp;"|"&amp;UPPER(TRIM($F691)),Setup!$P$21:$P$60,0)),"NO RATE"))))</f>
        <v/>
      </c>
      <c r="J691" s="90" t="n"/>
      <c r="K691" s="89">
        <f>IF(OR($G691="",$H691="",NOT(ISNUMBER($I691))),"",ROUND($H691*$I691*(1+IF($J691="",Setup!$B$16,$J691)),2))</f>
        <v/>
      </c>
      <c r="L691" s="89">
        <f>IF($K691="","",ROUND($K691*Setup!$B$13,2))</f>
        <v/>
      </c>
      <c r="M691" s="89">
        <f>IF($K691="","",$K691-$L691)</f>
        <v/>
      </c>
      <c r="N691" s="89">
        <f>IF(OR($M691="",$D691=""),"",ROUND($M691*IFERROR(IF(VLOOKUP($D691,Setup!$A$76:$C$87,3,FALSE)="",Setup!$B$14,VLOOKUP($D691,Setup!$A$76:$C$87,3,FALSE)),Setup!$B$14),2))</f>
        <v/>
      </c>
      <c r="O691" s="89">
        <f>IF(OR($M691="",$E691=""),"",ROUND($M691*IFERROR(IF(VLOOKUP($E691,Setup!$A$76:$C$87,3,FALSE)="",Setup!$B$15,VLOOKUP($E691,Setup!$A$76:$C$87,3,FALSE)),Setup!$B$15),2))</f>
        <v/>
      </c>
      <c r="P691" s="91" t="n"/>
      <c r="Q691" s="91" t="n"/>
      <c r="R691" s="91" t="n"/>
      <c r="S691" s="91" t="n"/>
      <c r="T691" s="91" t="n"/>
      <c r="U691" s="89">
        <f>IF($K691="","",SUM($R691:$T691))</f>
        <v/>
      </c>
      <c r="V691" s="89">
        <f>IF($K691="","",$M691-(N($N691)+N($O691)+IF($P691="",Setup!$B$17,$P691)+N($Q691))-N($U691))</f>
        <v/>
      </c>
      <c r="W691" s="86" t="n"/>
      <c r="X691" s="87" t="n"/>
      <c r="Z691" s="92">
        <f>IF($A691="","",DATE(YEAR($A691),MONTH($A691),1))</f>
        <v/>
      </c>
    </row>
    <row r="692">
      <c r="A692" s="93" t="n"/>
      <c r="B692" s="94" t="n"/>
      <c r="C692" s="94" t="n"/>
      <c r="D692" s="95" t="n"/>
      <c r="E692" s="95" t="n"/>
      <c r="F692" s="95" t="n"/>
      <c r="G692" s="95" t="n"/>
      <c r="H692" s="96" t="n"/>
      <c r="I692" s="89">
        <f>IF($G692="","",IF($F692="",IFERROR(INDEX(Setup!$C$21:$C$60,MATCH("|"&amp;UPPER(TRIM($G692)),Setup!$Q$21:$Q$60,0)),"NO RATE"),IFERROR(INDEX(Setup!$C$21:$C$60,MATCH(UPPER(TRIM($F692))&amp;"|"&amp;UPPER(TRIM($G692)),Setup!$P$21:$P$60,0)),IFERROR(INDEX(Setup!$C$21:$C$60,MATCH(UPPER(TRIM($G692))&amp;"|"&amp;UPPER(TRIM($F692)),Setup!$P$21:$P$60,0)),"NO RATE"))))</f>
        <v/>
      </c>
      <c r="J692" s="97" t="n"/>
      <c r="K692" s="89">
        <f>IF(OR($G692="",$H692="",NOT(ISNUMBER($I692))),"",ROUND($H692*$I692*(1+IF($J692="",Setup!$B$16,$J692)),2))</f>
        <v/>
      </c>
      <c r="L692" s="89">
        <f>IF($K692="","",ROUND($K692*Setup!$B$13,2))</f>
        <v/>
      </c>
      <c r="M692" s="89">
        <f>IF($K692="","",$K692-$L692)</f>
        <v/>
      </c>
      <c r="N692" s="89">
        <f>IF(OR($M692="",$D692=""),"",ROUND($M692*IFERROR(IF(VLOOKUP($D692,Setup!$A$76:$C$87,3,FALSE)="",Setup!$B$14,VLOOKUP($D692,Setup!$A$76:$C$87,3,FALSE)),Setup!$B$14),2))</f>
        <v/>
      </c>
      <c r="O692" s="89">
        <f>IF(OR($M692="",$E692=""),"",ROUND($M692*IFERROR(IF(VLOOKUP($E692,Setup!$A$76:$C$87,3,FALSE)="",Setup!$B$15,VLOOKUP($E692,Setup!$A$76:$C$87,3,FALSE)),Setup!$B$15),2))</f>
        <v/>
      </c>
      <c r="P692" s="98" t="n"/>
      <c r="Q692" s="98" t="n"/>
      <c r="R692" s="98" t="n"/>
      <c r="S692" s="98" t="n"/>
      <c r="T692" s="98" t="n"/>
      <c r="U692" s="89">
        <f>IF($K692="","",SUM($R692:$T692))</f>
        <v/>
      </c>
      <c r="V692" s="89">
        <f>IF($K692="","",$M692-(N($N692)+N($O692)+IF($P692="",Setup!$B$17,$P692)+N($Q692))-N($U692))</f>
        <v/>
      </c>
      <c r="W692" s="94" t="n"/>
      <c r="X692" s="95" t="n"/>
      <c r="Z692" s="92">
        <f>IF($A692="","",DATE(YEAR($A692),MONTH($A692),1))</f>
        <v/>
      </c>
    </row>
    <row r="693">
      <c r="A693" s="85" t="n"/>
      <c r="B693" s="86" t="n"/>
      <c r="C693" s="86" t="n"/>
      <c r="D693" s="87" t="n"/>
      <c r="E693" s="87" t="n"/>
      <c r="F693" s="87" t="n"/>
      <c r="G693" s="87" t="n"/>
      <c r="H693" s="88" t="n"/>
      <c r="I693" s="89">
        <f>IF($G693="","",IF($F693="",IFERROR(INDEX(Setup!$C$21:$C$60,MATCH("|"&amp;UPPER(TRIM($G693)),Setup!$Q$21:$Q$60,0)),"NO RATE"),IFERROR(INDEX(Setup!$C$21:$C$60,MATCH(UPPER(TRIM($F693))&amp;"|"&amp;UPPER(TRIM($G693)),Setup!$P$21:$P$60,0)),IFERROR(INDEX(Setup!$C$21:$C$60,MATCH(UPPER(TRIM($G693))&amp;"|"&amp;UPPER(TRIM($F693)),Setup!$P$21:$P$60,0)),"NO RATE"))))</f>
        <v/>
      </c>
      <c r="J693" s="90" t="n"/>
      <c r="K693" s="89">
        <f>IF(OR($G693="",$H693="",NOT(ISNUMBER($I693))),"",ROUND($H693*$I693*(1+IF($J693="",Setup!$B$16,$J693)),2))</f>
        <v/>
      </c>
      <c r="L693" s="89">
        <f>IF($K693="","",ROUND($K693*Setup!$B$13,2))</f>
        <v/>
      </c>
      <c r="M693" s="89">
        <f>IF($K693="","",$K693-$L693)</f>
        <v/>
      </c>
      <c r="N693" s="89">
        <f>IF(OR($M693="",$D693=""),"",ROUND($M693*IFERROR(IF(VLOOKUP($D693,Setup!$A$76:$C$87,3,FALSE)="",Setup!$B$14,VLOOKUP($D693,Setup!$A$76:$C$87,3,FALSE)),Setup!$B$14),2))</f>
        <v/>
      </c>
      <c r="O693" s="89">
        <f>IF(OR($M693="",$E693=""),"",ROUND($M693*IFERROR(IF(VLOOKUP($E693,Setup!$A$76:$C$87,3,FALSE)="",Setup!$B$15,VLOOKUP($E693,Setup!$A$76:$C$87,3,FALSE)),Setup!$B$15),2))</f>
        <v/>
      </c>
      <c r="P693" s="91" t="n"/>
      <c r="Q693" s="91" t="n"/>
      <c r="R693" s="91" t="n"/>
      <c r="S693" s="91" t="n"/>
      <c r="T693" s="91" t="n"/>
      <c r="U693" s="89">
        <f>IF($K693="","",SUM($R693:$T693))</f>
        <v/>
      </c>
      <c r="V693" s="89">
        <f>IF($K693="","",$M693-(N($N693)+N($O693)+IF($P693="",Setup!$B$17,$P693)+N($Q693))-N($U693))</f>
        <v/>
      </c>
      <c r="W693" s="86" t="n"/>
      <c r="X693" s="87" t="n"/>
      <c r="Z693" s="92">
        <f>IF($A693="","",DATE(YEAR($A693),MONTH($A693),1))</f>
        <v/>
      </c>
    </row>
    <row r="694">
      <c r="A694" s="93" t="n"/>
      <c r="B694" s="94" t="n"/>
      <c r="C694" s="94" t="n"/>
      <c r="D694" s="95" t="n"/>
      <c r="E694" s="95" t="n"/>
      <c r="F694" s="95" t="n"/>
      <c r="G694" s="95" t="n"/>
      <c r="H694" s="96" t="n"/>
      <c r="I694" s="89">
        <f>IF($G694="","",IF($F694="",IFERROR(INDEX(Setup!$C$21:$C$60,MATCH("|"&amp;UPPER(TRIM($G694)),Setup!$Q$21:$Q$60,0)),"NO RATE"),IFERROR(INDEX(Setup!$C$21:$C$60,MATCH(UPPER(TRIM($F694))&amp;"|"&amp;UPPER(TRIM($G694)),Setup!$P$21:$P$60,0)),IFERROR(INDEX(Setup!$C$21:$C$60,MATCH(UPPER(TRIM($G694))&amp;"|"&amp;UPPER(TRIM($F694)),Setup!$P$21:$P$60,0)),"NO RATE"))))</f>
        <v/>
      </c>
      <c r="J694" s="97" t="n"/>
      <c r="K694" s="89">
        <f>IF(OR($G694="",$H694="",NOT(ISNUMBER($I694))),"",ROUND($H694*$I694*(1+IF($J694="",Setup!$B$16,$J694)),2))</f>
        <v/>
      </c>
      <c r="L694" s="89">
        <f>IF($K694="","",ROUND($K694*Setup!$B$13,2))</f>
        <v/>
      </c>
      <c r="M694" s="89">
        <f>IF($K694="","",$K694-$L694)</f>
        <v/>
      </c>
      <c r="N694" s="89">
        <f>IF(OR($M694="",$D694=""),"",ROUND($M694*IFERROR(IF(VLOOKUP($D694,Setup!$A$76:$C$87,3,FALSE)="",Setup!$B$14,VLOOKUP($D694,Setup!$A$76:$C$87,3,FALSE)),Setup!$B$14),2))</f>
        <v/>
      </c>
      <c r="O694" s="89">
        <f>IF(OR($M694="",$E694=""),"",ROUND($M694*IFERROR(IF(VLOOKUP($E694,Setup!$A$76:$C$87,3,FALSE)="",Setup!$B$15,VLOOKUP($E694,Setup!$A$76:$C$87,3,FALSE)),Setup!$B$15),2))</f>
        <v/>
      </c>
      <c r="P694" s="98" t="n"/>
      <c r="Q694" s="98" t="n"/>
      <c r="R694" s="98" t="n"/>
      <c r="S694" s="98" t="n"/>
      <c r="T694" s="98" t="n"/>
      <c r="U694" s="89">
        <f>IF($K694="","",SUM($R694:$T694))</f>
        <v/>
      </c>
      <c r="V694" s="89">
        <f>IF($K694="","",$M694-(N($N694)+N($O694)+IF($P694="",Setup!$B$17,$P694)+N($Q694))-N($U694))</f>
        <v/>
      </c>
      <c r="W694" s="94" t="n"/>
      <c r="X694" s="95" t="n"/>
      <c r="Z694" s="92">
        <f>IF($A694="","",DATE(YEAR($A694),MONTH($A694),1))</f>
        <v/>
      </c>
    </row>
    <row r="695">
      <c r="A695" s="85" t="n"/>
      <c r="B695" s="86" t="n"/>
      <c r="C695" s="86" t="n"/>
      <c r="D695" s="87" t="n"/>
      <c r="E695" s="87" t="n"/>
      <c r="F695" s="87" t="n"/>
      <c r="G695" s="87" t="n"/>
      <c r="H695" s="88" t="n"/>
      <c r="I695" s="89">
        <f>IF($G695="","",IF($F695="",IFERROR(INDEX(Setup!$C$21:$C$60,MATCH("|"&amp;UPPER(TRIM($G695)),Setup!$Q$21:$Q$60,0)),"NO RATE"),IFERROR(INDEX(Setup!$C$21:$C$60,MATCH(UPPER(TRIM($F695))&amp;"|"&amp;UPPER(TRIM($G695)),Setup!$P$21:$P$60,0)),IFERROR(INDEX(Setup!$C$21:$C$60,MATCH(UPPER(TRIM($G695))&amp;"|"&amp;UPPER(TRIM($F695)),Setup!$P$21:$P$60,0)),"NO RATE"))))</f>
        <v/>
      </c>
      <c r="J695" s="90" t="n"/>
      <c r="K695" s="89">
        <f>IF(OR($G695="",$H695="",NOT(ISNUMBER($I695))),"",ROUND($H695*$I695*(1+IF($J695="",Setup!$B$16,$J695)),2))</f>
        <v/>
      </c>
      <c r="L695" s="89">
        <f>IF($K695="","",ROUND($K695*Setup!$B$13,2))</f>
        <v/>
      </c>
      <c r="M695" s="89">
        <f>IF($K695="","",$K695-$L695)</f>
        <v/>
      </c>
      <c r="N695" s="89">
        <f>IF(OR($M695="",$D695=""),"",ROUND($M695*IFERROR(IF(VLOOKUP($D695,Setup!$A$76:$C$87,3,FALSE)="",Setup!$B$14,VLOOKUP($D695,Setup!$A$76:$C$87,3,FALSE)),Setup!$B$14),2))</f>
        <v/>
      </c>
      <c r="O695" s="89">
        <f>IF(OR($M695="",$E695=""),"",ROUND($M695*IFERROR(IF(VLOOKUP($E695,Setup!$A$76:$C$87,3,FALSE)="",Setup!$B$15,VLOOKUP($E695,Setup!$A$76:$C$87,3,FALSE)),Setup!$B$15),2))</f>
        <v/>
      </c>
      <c r="P695" s="91" t="n"/>
      <c r="Q695" s="91" t="n"/>
      <c r="R695" s="91" t="n"/>
      <c r="S695" s="91" t="n"/>
      <c r="T695" s="91" t="n"/>
      <c r="U695" s="89">
        <f>IF($K695="","",SUM($R695:$T695))</f>
        <v/>
      </c>
      <c r="V695" s="89">
        <f>IF($K695="","",$M695-(N($N695)+N($O695)+IF($P695="",Setup!$B$17,$P695)+N($Q695))-N($U695))</f>
        <v/>
      </c>
      <c r="W695" s="86" t="n"/>
      <c r="X695" s="87" t="n"/>
      <c r="Z695" s="92">
        <f>IF($A695="","",DATE(YEAR($A695),MONTH($A695),1))</f>
        <v/>
      </c>
    </row>
    <row r="696">
      <c r="A696" s="93" t="n"/>
      <c r="B696" s="94" t="n"/>
      <c r="C696" s="94" t="n"/>
      <c r="D696" s="95" t="n"/>
      <c r="E696" s="95" t="n"/>
      <c r="F696" s="95" t="n"/>
      <c r="G696" s="95" t="n"/>
      <c r="H696" s="96" t="n"/>
      <c r="I696" s="89">
        <f>IF($G696="","",IF($F696="",IFERROR(INDEX(Setup!$C$21:$C$60,MATCH("|"&amp;UPPER(TRIM($G696)),Setup!$Q$21:$Q$60,0)),"NO RATE"),IFERROR(INDEX(Setup!$C$21:$C$60,MATCH(UPPER(TRIM($F696))&amp;"|"&amp;UPPER(TRIM($G696)),Setup!$P$21:$P$60,0)),IFERROR(INDEX(Setup!$C$21:$C$60,MATCH(UPPER(TRIM($G696))&amp;"|"&amp;UPPER(TRIM($F696)),Setup!$P$21:$P$60,0)),"NO RATE"))))</f>
        <v/>
      </c>
      <c r="J696" s="97" t="n"/>
      <c r="K696" s="89">
        <f>IF(OR($G696="",$H696="",NOT(ISNUMBER($I696))),"",ROUND($H696*$I696*(1+IF($J696="",Setup!$B$16,$J696)),2))</f>
        <v/>
      </c>
      <c r="L696" s="89">
        <f>IF($K696="","",ROUND($K696*Setup!$B$13,2))</f>
        <v/>
      </c>
      <c r="M696" s="89">
        <f>IF($K696="","",$K696-$L696)</f>
        <v/>
      </c>
      <c r="N696" s="89">
        <f>IF(OR($M696="",$D696=""),"",ROUND($M696*IFERROR(IF(VLOOKUP($D696,Setup!$A$76:$C$87,3,FALSE)="",Setup!$B$14,VLOOKUP($D696,Setup!$A$76:$C$87,3,FALSE)),Setup!$B$14),2))</f>
        <v/>
      </c>
      <c r="O696" s="89">
        <f>IF(OR($M696="",$E696=""),"",ROUND($M696*IFERROR(IF(VLOOKUP($E696,Setup!$A$76:$C$87,3,FALSE)="",Setup!$B$15,VLOOKUP($E696,Setup!$A$76:$C$87,3,FALSE)),Setup!$B$15),2))</f>
        <v/>
      </c>
      <c r="P696" s="98" t="n"/>
      <c r="Q696" s="98" t="n"/>
      <c r="R696" s="98" t="n"/>
      <c r="S696" s="98" t="n"/>
      <c r="T696" s="98" t="n"/>
      <c r="U696" s="89">
        <f>IF($K696="","",SUM($R696:$T696))</f>
        <v/>
      </c>
      <c r="V696" s="89">
        <f>IF($K696="","",$M696-(N($N696)+N($O696)+IF($P696="",Setup!$B$17,$P696)+N($Q696))-N($U696))</f>
        <v/>
      </c>
      <c r="W696" s="94" t="n"/>
      <c r="X696" s="95" t="n"/>
      <c r="Z696" s="92">
        <f>IF($A696="","",DATE(YEAR($A696),MONTH($A696),1))</f>
        <v/>
      </c>
    </row>
    <row r="697">
      <c r="A697" s="85" t="n"/>
      <c r="B697" s="86" t="n"/>
      <c r="C697" s="86" t="n"/>
      <c r="D697" s="87" t="n"/>
      <c r="E697" s="87" t="n"/>
      <c r="F697" s="87" t="n"/>
      <c r="G697" s="87" t="n"/>
      <c r="H697" s="88" t="n"/>
      <c r="I697" s="89">
        <f>IF($G697="","",IF($F697="",IFERROR(INDEX(Setup!$C$21:$C$60,MATCH("|"&amp;UPPER(TRIM($G697)),Setup!$Q$21:$Q$60,0)),"NO RATE"),IFERROR(INDEX(Setup!$C$21:$C$60,MATCH(UPPER(TRIM($F697))&amp;"|"&amp;UPPER(TRIM($G697)),Setup!$P$21:$P$60,0)),IFERROR(INDEX(Setup!$C$21:$C$60,MATCH(UPPER(TRIM($G697))&amp;"|"&amp;UPPER(TRIM($F697)),Setup!$P$21:$P$60,0)),"NO RATE"))))</f>
        <v/>
      </c>
      <c r="J697" s="90" t="n"/>
      <c r="K697" s="89">
        <f>IF(OR($G697="",$H697="",NOT(ISNUMBER($I697))),"",ROUND($H697*$I697*(1+IF($J697="",Setup!$B$16,$J697)),2))</f>
        <v/>
      </c>
      <c r="L697" s="89">
        <f>IF($K697="","",ROUND($K697*Setup!$B$13,2))</f>
        <v/>
      </c>
      <c r="M697" s="89">
        <f>IF($K697="","",$K697-$L697)</f>
        <v/>
      </c>
      <c r="N697" s="89">
        <f>IF(OR($M697="",$D697=""),"",ROUND($M697*IFERROR(IF(VLOOKUP($D697,Setup!$A$76:$C$87,3,FALSE)="",Setup!$B$14,VLOOKUP($D697,Setup!$A$76:$C$87,3,FALSE)),Setup!$B$14),2))</f>
        <v/>
      </c>
      <c r="O697" s="89">
        <f>IF(OR($M697="",$E697=""),"",ROUND($M697*IFERROR(IF(VLOOKUP($E697,Setup!$A$76:$C$87,3,FALSE)="",Setup!$B$15,VLOOKUP($E697,Setup!$A$76:$C$87,3,FALSE)),Setup!$B$15),2))</f>
        <v/>
      </c>
      <c r="P697" s="91" t="n"/>
      <c r="Q697" s="91" t="n"/>
      <c r="R697" s="91" t="n"/>
      <c r="S697" s="91" t="n"/>
      <c r="T697" s="91" t="n"/>
      <c r="U697" s="89">
        <f>IF($K697="","",SUM($R697:$T697))</f>
        <v/>
      </c>
      <c r="V697" s="89">
        <f>IF($K697="","",$M697-(N($N697)+N($O697)+IF($P697="",Setup!$B$17,$P697)+N($Q697))-N($U697))</f>
        <v/>
      </c>
      <c r="W697" s="86" t="n"/>
      <c r="X697" s="87" t="n"/>
      <c r="Z697" s="92">
        <f>IF($A697="","",DATE(YEAR($A697),MONTH($A697),1))</f>
        <v/>
      </c>
    </row>
    <row r="698">
      <c r="A698" s="93" t="n"/>
      <c r="B698" s="94" t="n"/>
      <c r="C698" s="94" t="n"/>
      <c r="D698" s="95" t="n"/>
      <c r="E698" s="95" t="n"/>
      <c r="F698" s="95" t="n"/>
      <c r="G698" s="95" t="n"/>
      <c r="H698" s="96" t="n"/>
      <c r="I698" s="89">
        <f>IF($G698="","",IF($F698="",IFERROR(INDEX(Setup!$C$21:$C$60,MATCH("|"&amp;UPPER(TRIM($G698)),Setup!$Q$21:$Q$60,0)),"NO RATE"),IFERROR(INDEX(Setup!$C$21:$C$60,MATCH(UPPER(TRIM($F698))&amp;"|"&amp;UPPER(TRIM($G698)),Setup!$P$21:$P$60,0)),IFERROR(INDEX(Setup!$C$21:$C$60,MATCH(UPPER(TRIM($G698))&amp;"|"&amp;UPPER(TRIM($F698)),Setup!$P$21:$P$60,0)),"NO RATE"))))</f>
        <v/>
      </c>
      <c r="J698" s="97" t="n"/>
      <c r="K698" s="89">
        <f>IF(OR($G698="",$H698="",NOT(ISNUMBER($I698))),"",ROUND($H698*$I698*(1+IF($J698="",Setup!$B$16,$J698)),2))</f>
        <v/>
      </c>
      <c r="L698" s="89">
        <f>IF($K698="","",ROUND($K698*Setup!$B$13,2))</f>
        <v/>
      </c>
      <c r="M698" s="89">
        <f>IF($K698="","",$K698-$L698)</f>
        <v/>
      </c>
      <c r="N698" s="89">
        <f>IF(OR($M698="",$D698=""),"",ROUND($M698*IFERROR(IF(VLOOKUP($D698,Setup!$A$76:$C$87,3,FALSE)="",Setup!$B$14,VLOOKUP($D698,Setup!$A$76:$C$87,3,FALSE)),Setup!$B$14),2))</f>
        <v/>
      </c>
      <c r="O698" s="89">
        <f>IF(OR($M698="",$E698=""),"",ROUND($M698*IFERROR(IF(VLOOKUP($E698,Setup!$A$76:$C$87,3,FALSE)="",Setup!$B$15,VLOOKUP($E698,Setup!$A$76:$C$87,3,FALSE)),Setup!$B$15),2))</f>
        <v/>
      </c>
      <c r="P698" s="98" t="n"/>
      <c r="Q698" s="98" t="n"/>
      <c r="R698" s="98" t="n"/>
      <c r="S698" s="98" t="n"/>
      <c r="T698" s="98" t="n"/>
      <c r="U698" s="89">
        <f>IF($K698="","",SUM($R698:$T698))</f>
        <v/>
      </c>
      <c r="V698" s="89">
        <f>IF($K698="","",$M698-(N($N698)+N($O698)+IF($P698="",Setup!$B$17,$P698)+N($Q698))-N($U698))</f>
        <v/>
      </c>
      <c r="W698" s="94" t="n"/>
      <c r="X698" s="95" t="n"/>
      <c r="Z698" s="92">
        <f>IF($A698="","",DATE(YEAR($A698),MONTH($A698),1))</f>
        <v/>
      </c>
    </row>
    <row r="699">
      <c r="A699" s="85" t="n"/>
      <c r="B699" s="86" t="n"/>
      <c r="C699" s="86" t="n"/>
      <c r="D699" s="87" t="n"/>
      <c r="E699" s="87" t="n"/>
      <c r="F699" s="87" t="n"/>
      <c r="G699" s="87" t="n"/>
      <c r="H699" s="88" t="n"/>
      <c r="I699" s="89">
        <f>IF($G699="","",IF($F699="",IFERROR(INDEX(Setup!$C$21:$C$60,MATCH("|"&amp;UPPER(TRIM($G699)),Setup!$Q$21:$Q$60,0)),"NO RATE"),IFERROR(INDEX(Setup!$C$21:$C$60,MATCH(UPPER(TRIM($F699))&amp;"|"&amp;UPPER(TRIM($G699)),Setup!$P$21:$P$60,0)),IFERROR(INDEX(Setup!$C$21:$C$60,MATCH(UPPER(TRIM($G699))&amp;"|"&amp;UPPER(TRIM($F699)),Setup!$P$21:$P$60,0)),"NO RATE"))))</f>
        <v/>
      </c>
      <c r="J699" s="90" t="n"/>
      <c r="K699" s="89">
        <f>IF(OR($G699="",$H699="",NOT(ISNUMBER($I699))),"",ROUND($H699*$I699*(1+IF($J699="",Setup!$B$16,$J699)),2))</f>
        <v/>
      </c>
      <c r="L699" s="89">
        <f>IF($K699="","",ROUND($K699*Setup!$B$13,2))</f>
        <v/>
      </c>
      <c r="M699" s="89">
        <f>IF($K699="","",$K699-$L699)</f>
        <v/>
      </c>
      <c r="N699" s="89">
        <f>IF(OR($M699="",$D699=""),"",ROUND($M699*IFERROR(IF(VLOOKUP($D699,Setup!$A$76:$C$87,3,FALSE)="",Setup!$B$14,VLOOKUP($D699,Setup!$A$76:$C$87,3,FALSE)),Setup!$B$14),2))</f>
        <v/>
      </c>
      <c r="O699" s="89">
        <f>IF(OR($M699="",$E699=""),"",ROUND($M699*IFERROR(IF(VLOOKUP($E699,Setup!$A$76:$C$87,3,FALSE)="",Setup!$B$15,VLOOKUP($E699,Setup!$A$76:$C$87,3,FALSE)),Setup!$B$15),2))</f>
        <v/>
      </c>
      <c r="P699" s="91" t="n"/>
      <c r="Q699" s="91" t="n"/>
      <c r="R699" s="91" t="n"/>
      <c r="S699" s="91" t="n"/>
      <c r="T699" s="91" t="n"/>
      <c r="U699" s="89">
        <f>IF($K699="","",SUM($R699:$T699))</f>
        <v/>
      </c>
      <c r="V699" s="89">
        <f>IF($K699="","",$M699-(N($N699)+N($O699)+IF($P699="",Setup!$B$17,$P699)+N($Q699))-N($U699))</f>
        <v/>
      </c>
      <c r="W699" s="86" t="n"/>
      <c r="X699" s="87" t="n"/>
      <c r="Z699" s="92">
        <f>IF($A699="","",DATE(YEAR($A699),MONTH($A699),1))</f>
        <v/>
      </c>
    </row>
    <row r="700">
      <c r="A700" s="93" t="n"/>
      <c r="B700" s="94" t="n"/>
      <c r="C700" s="94" t="n"/>
      <c r="D700" s="95" t="n"/>
      <c r="E700" s="95" t="n"/>
      <c r="F700" s="95" t="n"/>
      <c r="G700" s="95" t="n"/>
      <c r="H700" s="96" t="n"/>
      <c r="I700" s="89">
        <f>IF($G700="","",IF($F700="",IFERROR(INDEX(Setup!$C$21:$C$60,MATCH("|"&amp;UPPER(TRIM($G700)),Setup!$Q$21:$Q$60,0)),"NO RATE"),IFERROR(INDEX(Setup!$C$21:$C$60,MATCH(UPPER(TRIM($F700))&amp;"|"&amp;UPPER(TRIM($G700)),Setup!$P$21:$P$60,0)),IFERROR(INDEX(Setup!$C$21:$C$60,MATCH(UPPER(TRIM($G700))&amp;"|"&amp;UPPER(TRIM($F700)),Setup!$P$21:$P$60,0)),"NO RATE"))))</f>
        <v/>
      </c>
      <c r="J700" s="97" t="n"/>
      <c r="K700" s="89">
        <f>IF(OR($G700="",$H700="",NOT(ISNUMBER($I700))),"",ROUND($H700*$I700*(1+IF($J700="",Setup!$B$16,$J700)),2))</f>
        <v/>
      </c>
      <c r="L700" s="89">
        <f>IF($K700="","",ROUND($K700*Setup!$B$13,2))</f>
        <v/>
      </c>
      <c r="M700" s="89">
        <f>IF($K700="","",$K700-$L700)</f>
        <v/>
      </c>
      <c r="N700" s="89">
        <f>IF(OR($M700="",$D700=""),"",ROUND($M700*IFERROR(IF(VLOOKUP($D700,Setup!$A$76:$C$87,3,FALSE)="",Setup!$B$14,VLOOKUP($D700,Setup!$A$76:$C$87,3,FALSE)),Setup!$B$14),2))</f>
        <v/>
      </c>
      <c r="O700" s="89">
        <f>IF(OR($M700="",$E700=""),"",ROUND($M700*IFERROR(IF(VLOOKUP($E700,Setup!$A$76:$C$87,3,FALSE)="",Setup!$B$15,VLOOKUP($E700,Setup!$A$76:$C$87,3,FALSE)),Setup!$B$15),2))</f>
        <v/>
      </c>
      <c r="P700" s="98" t="n"/>
      <c r="Q700" s="98" t="n"/>
      <c r="R700" s="98" t="n"/>
      <c r="S700" s="98" t="n"/>
      <c r="T700" s="98" t="n"/>
      <c r="U700" s="89">
        <f>IF($K700="","",SUM($R700:$T700))</f>
        <v/>
      </c>
      <c r="V700" s="89">
        <f>IF($K700="","",$M700-(N($N700)+N($O700)+IF($P700="",Setup!$B$17,$P700)+N($Q700))-N($U700))</f>
        <v/>
      </c>
      <c r="W700" s="94" t="n"/>
      <c r="X700" s="95" t="n"/>
      <c r="Z700" s="92">
        <f>IF($A700="","",DATE(YEAR($A700),MONTH($A700),1))</f>
        <v/>
      </c>
    </row>
    <row r="701">
      <c r="A701" s="85" t="n"/>
      <c r="B701" s="86" t="n"/>
      <c r="C701" s="86" t="n"/>
      <c r="D701" s="87" t="n"/>
      <c r="E701" s="87" t="n"/>
      <c r="F701" s="87" t="n"/>
      <c r="G701" s="87" t="n"/>
      <c r="H701" s="88" t="n"/>
      <c r="I701" s="89">
        <f>IF($G701="","",IF($F701="",IFERROR(INDEX(Setup!$C$21:$C$60,MATCH("|"&amp;UPPER(TRIM($G701)),Setup!$Q$21:$Q$60,0)),"NO RATE"),IFERROR(INDEX(Setup!$C$21:$C$60,MATCH(UPPER(TRIM($F701))&amp;"|"&amp;UPPER(TRIM($G701)),Setup!$P$21:$P$60,0)),IFERROR(INDEX(Setup!$C$21:$C$60,MATCH(UPPER(TRIM($G701))&amp;"|"&amp;UPPER(TRIM($F701)),Setup!$P$21:$P$60,0)),"NO RATE"))))</f>
        <v/>
      </c>
      <c r="J701" s="90" t="n"/>
      <c r="K701" s="89">
        <f>IF(OR($G701="",$H701="",NOT(ISNUMBER($I701))),"",ROUND($H701*$I701*(1+IF($J701="",Setup!$B$16,$J701)),2))</f>
        <v/>
      </c>
      <c r="L701" s="89">
        <f>IF($K701="","",ROUND($K701*Setup!$B$13,2))</f>
        <v/>
      </c>
      <c r="M701" s="89">
        <f>IF($K701="","",$K701-$L701)</f>
        <v/>
      </c>
      <c r="N701" s="89">
        <f>IF(OR($M701="",$D701=""),"",ROUND($M701*IFERROR(IF(VLOOKUP($D701,Setup!$A$76:$C$87,3,FALSE)="",Setup!$B$14,VLOOKUP($D701,Setup!$A$76:$C$87,3,FALSE)),Setup!$B$14),2))</f>
        <v/>
      </c>
      <c r="O701" s="89">
        <f>IF(OR($M701="",$E701=""),"",ROUND($M701*IFERROR(IF(VLOOKUP($E701,Setup!$A$76:$C$87,3,FALSE)="",Setup!$B$15,VLOOKUP($E701,Setup!$A$76:$C$87,3,FALSE)),Setup!$B$15),2))</f>
        <v/>
      </c>
      <c r="P701" s="91" t="n"/>
      <c r="Q701" s="91" t="n"/>
      <c r="R701" s="91" t="n"/>
      <c r="S701" s="91" t="n"/>
      <c r="T701" s="91" t="n"/>
      <c r="U701" s="89">
        <f>IF($K701="","",SUM($R701:$T701))</f>
        <v/>
      </c>
      <c r="V701" s="89">
        <f>IF($K701="","",$M701-(N($N701)+N($O701)+IF($P701="",Setup!$B$17,$P701)+N($Q701))-N($U701))</f>
        <v/>
      </c>
      <c r="W701" s="86" t="n"/>
      <c r="X701" s="87" t="n"/>
      <c r="Z701" s="92">
        <f>IF($A701="","",DATE(YEAR($A701),MONTH($A701),1))</f>
        <v/>
      </c>
    </row>
    <row r="702">
      <c r="A702" s="93" t="n"/>
      <c r="B702" s="94" t="n"/>
      <c r="C702" s="94" t="n"/>
      <c r="D702" s="95" t="n"/>
      <c r="E702" s="95" t="n"/>
      <c r="F702" s="95" t="n"/>
      <c r="G702" s="95" t="n"/>
      <c r="H702" s="96" t="n"/>
      <c r="I702" s="89">
        <f>IF($G702="","",IF($F702="",IFERROR(INDEX(Setup!$C$21:$C$60,MATCH("|"&amp;UPPER(TRIM($G702)),Setup!$Q$21:$Q$60,0)),"NO RATE"),IFERROR(INDEX(Setup!$C$21:$C$60,MATCH(UPPER(TRIM($F702))&amp;"|"&amp;UPPER(TRIM($G702)),Setup!$P$21:$P$60,0)),IFERROR(INDEX(Setup!$C$21:$C$60,MATCH(UPPER(TRIM($G702))&amp;"|"&amp;UPPER(TRIM($F702)),Setup!$P$21:$P$60,0)),"NO RATE"))))</f>
        <v/>
      </c>
      <c r="J702" s="97" t="n"/>
      <c r="K702" s="89">
        <f>IF(OR($G702="",$H702="",NOT(ISNUMBER($I702))),"",ROUND($H702*$I702*(1+IF($J702="",Setup!$B$16,$J702)),2))</f>
        <v/>
      </c>
      <c r="L702" s="89">
        <f>IF($K702="","",ROUND($K702*Setup!$B$13,2))</f>
        <v/>
      </c>
      <c r="M702" s="89">
        <f>IF($K702="","",$K702-$L702)</f>
        <v/>
      </c>
      <c r="N702" s="89">
        <f>IF(OR($M702="",$D702=""),"",ROUND($M702*IFERROR(IF(VLOOKUP($D702,Setup!$A$76:$C$87,3,FALSE)="",Setup!$B$14,VLOOKUP($D702,Setup!$A$76:$C$87,3,FALSE)),Setup!$B$14),2))</f>
        <v/>
      </c>
      <c r="O702" s="89">
        <f>IF(OR($M702="",$E702=""),"",ROUND($M702*IFERROR(IF(VLOOKUP($E702,Setup!$A$76:$C$87,3,FALSE)="",Setup!$B$15,VLOOKUP($E702,Setup!$A$76:$C$87,3,FALSE)),Setup!$B$15),2))</f>
        <v/>
      </c>
      <c r="P702" s="98" t="n"/>
      <c r="Q702" s="98" t="n"/>
      <c r="R702" s="98" t="n"/>
      <c r="S702" s="98" t="n"/>
      <c r="T702" s="98" t="n"/>
      <c r="U702" s="89">
        <f>IF($K702="","",SUM($R702:$T702))</f>
        <v/>
      </c>
      <c r="V702" s="89">
        <f>IF($K702="","",$M702-(N($N702)+N($O702)+IF($P702="",Setup!$B$17,$P702)+N($Q702))-N($U702))</f>
        <v/>
      </c>
      <c r="W702" s="94" t="n"/>
      <c r="X702" s="95" t="n"/>
      <c r="Z702" s="92">
        <f>IF($A702="","",DATE(YEAR($A702),MONTH($A702),1))</f>
        <v/>
      </c>
    </row>
    <row r="703">
      <c r="A703" s="85" t="n"/>
      <c r="B703" s="86" t="n"/>
      <c r="C703" s="86" t="n"/>
      <c r="D703" s="87" t="n"/>
      <c r="E703" s="87" t="n"/>
      <c r="F703" s="87" t="n"/>
      <c r="G703" s="87" t="n"/>
      <c r="H703" s="88" t="n"/>
      <c r="I703" s="89">
        <f>IF($G703="","",IF($F703="",IFERROR(INDEX(Setup!$C$21:$C$60,MATCH("|"&amp;UPPER(TRIM($G703)),Setup!$Q$21:$Q$60,0)),"NO RATE"),IFERROR(INDEX(Setup!$C$21:$C$60,MATCH(UPPER(TRIM($F703))&amp;"|"&amp;UPPER(TRIM($G703)),Setup!$P$21:$P$60,0)),IFERROR(INDEX(Setup!$C$21:$C$60,MATCH(UPPER(TRIM($G703))&amp;"|"&amp;UPPER(TRIM($F703)),Setup!$P$21:$P$60,0)),"NO RATE"))))</f>
        <v/>
      </c>
      <c r="J703" s="90" t="n"/>
      <c r="K703" s="89">
        <f>IF(OR($G703="",$H703="",NOT(ISNUMBER($I703))),"",ROUND($H703*$I703*(1+IF($J703="",Setup!$B$16,$J703)),2))</f>
        <v/>
      </c>
      <c r="L703" s="89">
        <f>IF($K703="","",ROUND($K703*Setup!$B$13,2))</f>
        <v/>
      </c>
      <c r="M703" s="89">
        <f>IF($K703="","",$K703-$L703)</f>
        <v/>
      </c>
      <c r="N703" s="89">
        <f>IF(OR($M703="",$D703=""),"",ROUND($M703*IFERROR(IF(VLOOKUP($D703,Setup!$A$76:$C$87,3,FALSE)="",Setup!$B$14,VLOOKUP($D703,Setup!$A$76:$C$87,3,FALSE)),Setup!$B$14),2))</f>
        <v/>
      </c>
      <c r="O703" s="89">
        <f>IF(OR($M703="",$E703=""),"",ROUND($M703*IFERROR(IF(VLOOKUP($E703,Setup!$A$76:$C$87,3,FALSE)="",Setup!$B$15,VLOOKUP($E703,Setup!$A$76:$C$87,3,FALSE)),Setup!$B$15),2))</f>
        <v/>
      </c>
      <c r="P703" s="91" t="n"/>
      <c r="Q703" s="91" t="n"/>
      <c r="R703" s="91" t="n"/>
      <c r="S703" s="91" t="n"/>
      <c r="T703" s="91" t="n"/>
      <c r="U703" s="89">
        <f>IF($K703="","",SUM($R703:$T703))</f>
        <v/>
      </c>
      <c r="V703" s="89">
        <f>IF($K703="","",$M703-(N($N703)+N($O703)+IF($P703="",Setup!$B$17,$P703)+N($Q703))-N($U703))</f>
        <v/>
      </c>
      <c r="W703" s="86" t="n"/>
      <c r="X703" s="87" t="n"/>
      <c r="Z703" s="92">
        <f>IF($A703="","",DATE(YEAR($A703),MONTH($A703),1))</f>
        <v/>
      </c>
    </row>
    <row r="704">
      <c r="A704" s="93" t="n"/>
      <c r="B704" s="94" t="n"/>
      <c r="C704" s="94" t="n"/>
      <c r="D704" s="95" t="n"/>
      <c r="E704" s="95" t="n"/>
      <c r="F704" s="95" t="n"/>
      <c r="G704" s="95" t="n"/>
      <c r="H704" s="96" t="n"/>
      <c r="I704" s="89">
        <f>IF($G704="","",IF($F704="",IFERROR(INDEX(Setup!$C$21:$C$60,MATCH("|"&amp;UPPER(TRIM($G704)),Setup!$Q$21:$Q$60,0)),"NO RATE"),IFERROR(INDEX(Setup!$C$21:$C$60,MATCH(UPPER(TRIM($F704))&amp;"|"&amp;UPPER(TRIM($G704)),Setup!$P$21:$P$60,0)),IFERROR(INDEX(Setup!$C$21:$C$60,MATCH(UPPER(TRIM($G704))&amp;"|"&amp;UPPER(TRIM($F704)),Setup!$P$21:$P$60,0)),"NO RATE"))))</f>
        <v/>
      </c>
      <c r="J704" s="97" t="n"/>
      <c r="K704" s="89">
        <f>IF(OR($G704="",$H704="",NOT(ISNUMBER($I704))),"",ROUND($H704*$I704*(1+IF($J704="",Setup!$B$16,$J704)),2))</f>
        <v/>
      </c>
      <c r="L704" s="89">
        <f>IF($K704="","",ROUND($K704*Setup!$B$13,2))</f>
        <v/>
      </c>
      <c r="M704" s="89">
        <f>IF($K704="","",$K704-$L704)</f>
        <v/>
      </c>
      <c r="N704" s="89">
        <f>IF(OR($M704="",$D704=""),"",ROUND($M704*IFERROR(IF(VLOOKUP($D704,Setup!$A$76:$C$87,3,FALSE)="",Setup!$B$14,VLOOKUP($D704,Setup!$A$76:$C$87,3,FALSE)),Setup!$B$14),2))</f>
        <v/>
      </c>
      <c r="O704" s="89">
        <f>IF(OR($M704="",$E704=""),"",ROUND($M704*IFERROR(IF(VLOOKUP($E704,Setup!$A$76:$C$87,3,FALSE)="",Setup!$B$15,VLOOKUP($E704,Setup!$A$76:$C$87,3,FALSE)),Setup!$B$15),2))</f>
        <v/>
      </c>
      <c r="P704" s="98" t="n"/>
      <c r="Q704" s="98" t="n"/>
      <c r="R704" s="98" t="n"/>
      <c r="S704" s="98" t="n"/>
      <c r="T704" s="98" t="n"/>
      <c r="U704" s="89">
        <f>IF($K704="","",SUM($R704:$T704))</f>
        <v/>
      </c>
      <c r="V704" s="89">
        <f>IF($K704="","",$M704-(N($N704)+N($O704)+IF($P704="",Setup!$B$17,$P704)+N($Q704))-N($U704))</f>
        <v/>
      </c>
      <c r="W704" s="94" t="n"/>
      <c r="X704" s="95" t="n"/>
      <c r="Z704" s="92">
        <f>IF($A704="","",DATE(YEAR($A704),MONTH($A704),1))</f>
        <v/>
      </c>
    </row>
    <row r="705">
      <c r="A705" s="85" t="n"/>
      <c r="B705" s="86" t="n"/>
      <c r="C705" s="86" t="n"/>
      <c r="D705" s="87" t="n"/>
      <c r="E705" s="87" t="n"/>
      <c r="F705" s="87" t="n"/>
      <c r="G705" s="87" t="n"/>
      <c r="H705" s="88" t="n"/>
      <c r="I705" s="89">
        <f>IF($G705="","",IF($F705="",IFERROR(INDEX(Setup!$C$21:$C$60,MATCH("|"&amp;UPPER(TRIM($G705)),Setup!$Q$21:$Q$60,0)),"NO RATE"),IFERROR(INDEX(Setup!$C$21:$C$60,MATCH(UPPER(TRIM($F705))&amp;"|"&amp;UPPER(TRIM($G705)),Setup!$P$21:$P$60,0)),IFERROR(INDEX(Setup!$C$21:$C$60,MATCH(UPPER(TRIM($G705))&amp;"|"&amp;UPPER(TRIM($F705)),Setup!$P$21:$P$60,0)),"NO RATE"))))</f>
        <v/>
      </c>
      <c r="J705" s="90" t="n"/>
      <c r="K705" s="89">
        <f>IF(OR($G705="",$H705="",NOT(ISNUMBER($I705))),"",ROUND($H705*$I705*(1+IF($J705="",Setup!$B$16,$J705)),2))</f>
        <v/>
      </c>
      <c r="L705" s="89">
        <f>IF($K705="","",ROUND($K705*Setup!$B$13,2))</f>
        <v/>
      </c>
      <c r="M705" s="89">
        <f>IF($K705="","",$K705-$L705)</f>
        <v/>
      </c>
      <c r="N705" s="89">
        <f>IF(OR($M705="",$D705=""),"",ROUND($M705*IFERROR(IF(VLOOKUP($D705,Setup!$A$76:$C$87,3,FALSE)="",Setup!$B$14,VLOOKUP($D705,Setup!$A$76:$C$87,3,FALSE)),Setup!$B$14),2))</f>
        <v/>
      </c>
      <c r="O705" s="89">
        <f>IF(OR($M705="",$E705=""),"",ROUND($M705*IFERROR(IF(VLOOKUP($E705,Setup!$A$76:$C$87,3,FALSE)="",Setup!$B$15,VLOOKUP($E705,Setup!$A$76:$C$87,3,FALSE)),Setup!$B$15),2))</f>
        <v/>
      </c>
      <c r="P705" s="91" t="n"/>
      <c r="Q705" s="91" t="n"/>
      <c r="R705" s="91" t="n"/>
      <c r="S705" s="91" t="n"/>
      <c r="T705" s="91" t="n"/>
      <c r="U705" s="89">
        <f>IF($K705="","",SUM($R705:$T705))</f>
        <v/>
      </c>
      <c r="V705" s="89">
        <f>IF($K705="","",$M705-(N($N705)+N($O705)+IF($P705="",Setup!$B$17,$P705)+N($Q705))-N($U705))</f>
        <v/>
      </c>
      <c r="W705" s="86" t="n"/>
      <c r="X705" s="87" t="n"/>
      <c r="Z705" s="92">
        <f>IF($A705="","",DATE(YEAR($A705),MONTH($A705),1))</f>
        <v/>
      </c>
    </row>
    <row r="706">
      <c r="A706" s="93" t="n"/>
      <c r="B706" s="94" t="n"/>
      <c r="C706" s="94" t="n"/>
      <c r="D706" s="95" t="n"/>
      <c r="E706" s="95" t="n"/>
      <c r="F706" s="95" t="n"/>
      <c r="G706" s="95" t="n"/>
      <c r="H706" s="96" t="n"/>
      <c r="I706" s="89">
        <f>IF($G706="","",IF($F706="",IFERROR(INDEX(Setup!$C$21:$C$60,MATCH("|"&amp;UPPER(TRIM($G706)),Setup!$Q$21:$Q$60,0)),"NO RATE"),IFERROR(INDEX(Setup!$C$21:$C$60,MATCH(UPPER(TRIM($F706))&amp;"|"&amp;UPPER(TRIM($G706)),Setup!$P$21:$P$60,0)),IFERROR(INDEX(Setup!$C$21:$C$60,MATCH(UPPER(TRIM($G706))&amp;"|"&amp;UPPER(TRIM($F706)),Setup!$P$21:$P$60,0)),"NO RATE"))))</f>
        <v/>
      </c>
      <c r="J706" s="97" t="n"/>
      <c r="K706" s="89">
        <f>IF(OR($G706="",$H706="",NOT(ISNUMBER($I706))),"",ROUND($H706*$I706*(1+IF($J706="",Setup!$B$16,$J706)),2))</f>
        <v/>
      </c>
      <c r="L706" s="89">
        <f>IF($K706="","",ROUND($K706*Setup!$B$13,2))</f>
        <v/>
      </c>
      <c r="M706" s="89">
        <f>IF($K706="","",$K706-$L706)</f>
        <v/>
      </c>
      <c r="N706" s="89">
        <f>IF(OR($M706="",$D706=""),"",ROUND($M706*IFERROR(IF(VLOOKUP($D706,Setup!$A$76:$C$87,3,FALSE)="",Setup!$B$14,VLOOKUP($D706,Setup!$A$76:$C$87,3,FALSE)),Setup!$B$14),2))</f>
        <v/>
      </c>
      <c r="O706" s="89">
        <f>IF(OR($M706="",$E706=""),"",ROUND($M706*IFERROR(IF(VLOOKUP($E706,Setup!$A$76:$C$87,3,FALSE)="",Setup!$B$15,VLOOKUP($E706,Setup!$A$76:$C$87,3,FALSE)),Setup!$B$15),2))</f>
        <v/>
      </c>
      <c r="P706" s="98" t="n"/>
      <c r="Q706" s="98" t="n"/>
      <c r="R706" s="98" t="n"/>
      <c r="S706" s="98" t="n"/>
      <c r="T706" s="98" t="n"/>
      <c r="U706" s="89">
        <f>IF($K706="","",SUM($R706:$T706))</f>
        <v/>
      </c>
      <c r="V706" s="89">
        <f>IF($K706="","",$M706-(N($N706)+N($O706)+IF($P706="",Setup!$B$17,$P706)+N($Q706))-N($U706))</f>
        <v/>
      </c>
      <c r="W706" s="94" t="n"/>
      <c r="X706" s="95" t="n"/>
      <c r="Z706" s="92">
        <f>IF($A706="","",DATE(YEAR($A706),MONTH($A706),1))</f>
        <v/>
      </c>
    </row>
    <row r="707">
      <c r="A707" s="85" t="n"/>
      <c r="B707" s="86" t="n"/>
      <c r="C707" s="86" t="n"/>
      <c r="D707" s="87" t="n"/>
      <c r="E707" s="87" t="n"/>
      <c r="F707" s="87" t="n"/>
      <c r="G707" s="87" t="n"/>
      <c r="H707" s="88" t="n"/>
      <c r="I707" s="89">
        <f>IF($G707="","",IF($F707="",IFERROR(INDEX(Setup!$C$21:$C$60,MATCH("|"&amp;UPPER(TRIM($G707)),Setup!$Q$21:$Q$60,0)),"NO RATE"),IFERROR(INDEX(Setup!$C$21:$C$60,MATCH(UPPER(TRIM($F707))&amp;"|"&amp;UPPER(TRIM($G707)),Setup!$P$21:$P$60,0)),IFERROR(INDEX(Setup!$C$21:$C$60,MATCH(UPPER(TRIM($G707))&amp;"|"&amp;UPPER(TRIM($F707)),Setup!$P$21:$P$60,0)),"NO RATE"))))</f>
        <v/>
      </c>
      <c r="J707" s="90" t="n"/>
      <c r="K707" s="89">
        <f>IF(OR($G707="",$H707="",NOT(ISNUMBER($I707))),"",ROUND($H707*$I707*(1+IF($J707="",Setup!$B$16,$J707)),2))</f>
        <v/>
      </c>
      <c r="L707" s="89">
        <f>IF($K707="","",ROUND($K707*Setup!$B$13,2))</f>
        <v/>
      </c>
      <c r="M707" s="89">
        <f>IF($K707="","",$K707-$L707)</f>
        <v/>
      </c>
      <c r="N707" s="89">
        <f>IF(OR($M707="",$D707=""),"",ROUND($M707*IFERROR(IF(VLOOKUP($D707,Setup!$A$76:$C$87,3,FALSE)="",Setup!$B$14,VLOOKUP($D707,Setup!$A$76:$C$87,3,FALSE)),Setup!$B$14),2))</f>
        <v/>
      </c>
      <c r="O707" s="89">
        <f>IF(OR($M707="",$E707=""),"",ROUND($M707*IFERROR(IF(VLOOKUP($E707,Setup!$A$76:$C$87,3,FALSE)="",Setup!$B$15,VLOOKUP($E707,Setup!$A$76:$C$87,3,FALSE)),Setup!$B$15),2))</f>
        <v/>
      </c>
      <c r="P707" s="91" t="n"/>
      <c r="Q707" s="91" t="n"/>
      <c r="R707" s="91" t="n"/>
      <c r="S707" s="91" t="n"/>
      <c r="T707" s="91" t="n"/>
      <c r="U707" s="89">
        <f>IF($K707="","",SUM($R707:$T707))</f>
        <v/>
      </c>
      <c r="V707" s="89">
        <f>IF($K707="","",$M707-(N($N707)+N($O707)+IF($P707="",Setup!$B$17,$P707)+N($Q707))-N($U707))</f>
        <v/>
      </c>
      <c r="W707" s="86" t="n"/>
      <c r="X707" s="87" t="n"/>
      <c r="Z707" s="92">
        <f>IF($A707="","",DATE(YEAR($A707),MONTH($A707),1))</f>
        <v/>
      </c>
    </row>
    <row r="708">
      <c r="A708" s="93" t="n"/>
      <c r="B708" s="94" t="n"/>
      <c r="C708" s="94" t="n"/>
      <c r="D708" s="95" t="n"/>
      <c r="E708" s="95" t="n"/>
      <c r="F708" s="95" t="n"/>
      <c r="G708" s="95" t="n"/>
      <c r="H708" s="96" t="n"/>
      <c r="I708" s="89">
        <f>IF($G708="","",IF($F708="",IFERROR(INDEX(Setup!$C$21:$C$60,MATCH("|"&amp;UPPER(TRIM($G708)),Setup!$Q$21:$Q$60,0)),"NO RATE"),IFERROR(INDEX(Setup!$C$21:$C$60,MATCH(UPPER(TRIM($F708))&amp;"|"&amp;UPPER(TRIM($G708)),Setup!$P$21:$P$60,0)),IFERROR(INDEX(Setup!$C$21:$C$60,MATCH(UPPER(TRIM($G708))&amp;"|"&amp;UPPER(TRIM($F708)),Setup!$P$21:$P$60,0)),"NO RATE"))))</f>
        <v/>
      </c>
      <c r="J708" s="97" t="n"/>
      <c r="K708" s="89">
        <f>IF(OR($G708="",$H708="",NOT(ISNUMBER($I708))),"",ROUND($H708*$I708*(1+IF($J708="",Setup!$B$16,$J708)),2))</f>
        <v/>
      </c>
      <c r="L708" s="89">
        <f>IF($K708="","",ROUND($K708*Setup!$B$13,2))</f>
        <v/>
      </c>
      <c r="M708" s="89">
        <f>IF($K708="","",$K708-$L708)</f>
        <v/>
      </c>
      <c r="N708" s="89">
        <f>IF(OR($M708="",$D708=""),"",ROUND($M708*IFERROR(IF(VLOOKUP($D708,Setup!$A$76:$C$87,3,FALSE)="",Setup!$B$14,VLOOKUP($D708,Setup!$A$76:$C$87,3,FALSE)),Setup!$B$14),2))</f>
        <v/>
      </c>
      <c r="O708" s="89">
        <f>IF(OR($M708="",$E708=""),"",ROUND($M708*IFERROR(IF(VLOOKUP($E708,Setup!$A$76:$C$87,3,FALSE)="",Setup!$B$15,VLOOKUP($E708,Setup!$A$76:$C$87,3,FALSE)),Setup!$B$15),2))</f>
        <v/>
      </c>
      <c r="P708" s="98" t="n"/>
      <c r="Q708" s="98" t="n"/>
      <c r="R708" s="98" t="n"/>
      <c r="S708" s="98" t="n"/>
      <c r="T708" s="98" t="n"/>
      <c r="U708" s="89">
        <f>IF($K708="","",SUM($R708:$T708))</f>
        <v/>
      </c>
      <c r="V708" s="89">
        <f>IF($K708="","",$M708-(N($N708)+N($O708)+IF($P708="",Setup!$B$17,$P708)+N($Q708))-N($U708))</f>
        <v/>
      </c>
      <c r="W708" s="94" t="n"/>
      <c r="X708" s="95" t="n"/>
      <c r="Z708" s="92">
        <f>IF($A708="","",DATE(YEAR($A708),MONTH($A708),1))</f>
        <v/>
      </c>
    </row>
    <row r="709">
      <c r="A709" s="85" t="n"/>
      <c r="B709" s="86" t="n"/>
      <c r="C709" s="86" t="n"/>
      <c r="D709" s="87" t="n"/>
      <c r="E709" s="87" t="n"/>
      <c r="F709" s="87" t="n"/>
      <c r="G709" s="87" t="n"/>
      <c r="H709" s="88" t="n"/>
      <c r="I709" s="89">
        <f>IF($G709="","",IF($F709="",IFERROR(INDEX(Setup!$C$21:$C$60,MATCH("|"&amp;UPPER(TRIM($G709)),Setup!$Q$21:$Q$60,0)),"NO RATE"),IFERROR(INDEX(Setup!$C$21:$C$60,MATCH(UPPER(TRIM($F709))&amp;"|"&amp;UPPER(TRIM($G709)),Setup!$P$21:$P$60,0)),IFERROR(INDEX(Setup!$C$21:$C$60,MATCH(UPPER(TRIM($G709))&amp;"|"&amp;UPPER(TRIM($F709)),Setup!$P$21:$P$60,0)),"NO RATE"))))</f>
        <v/>
      </c>
      <c r="J709" s="90" t="n"/>
      <c r="K709" s="89">
        <f>IF(OR($G709="",$H709="",NOT(ISNUMBER($I709))),"",ROUND($H709*$I709*(1+IF($J709="",Setup!$B$16,$J709)),2))</f>
        <v/>
      </c>
      <c r="L709" s="89">
        <f>IF($K709="","",ROUND($K709*Setup!$B$13,2))</f>
        <v/>
      </c>
      <c r="M709" s="89">
        <f>IF($K709="","",$K709-$L709)</f>
        <v/>
      </c>
      <c r="N709" s="89">
        <f>IF(OR($M709="",$D709=""),"",ROUND($M709*IFERROR(IF(VLOOKUP($D709,Setup!$A$76:$C$87,3,FALSE)="",Setup!$B$14,VLOOKUP($D709,Setup!$A$76:$C$87,3,FALSE)),Setup!$B$14),2))</f>
        <v/>
      </c>
      <c r="O709" s="89">
        <f>IF(OR($M709="",$E709=""),"",ROUND($M709*IFERROR(IF(VLOOKUP($E709,Setup!$A$76:$C$87,3,FALSE)="",Setup!$B$15,VLOOKUP($E709,Setup!$A$76:$C$87,3,FALSE)),Setup!$B$15),2))</f>
        <v/>
      </c>
      <c r="P709" s="91" t="n"/>
      <c r="Q709" s="91" t="n"/>
      <c r="R709" s="91" t="n"/>
      <c r="S709" s="91" t="n"/>
      <c r="T709" s="91" t="n"/>
      <c r="U709" s="89">
        <f>IF($K709="","",SUM($R709:$T709))</f>
        <v/>
      </c>
      <c r="V709" s="89">
        <f>IF($K709="","",$M709-(N($N709)+N($O709)+IF($P709="",Setup!$B$17,$P709)+N($Q709))-N($U709))</f>
        <v/>
      </c>
      <c r="W709" s="86" t="n"/>
      <c r="X709" s="87" t="n"/>
      <c r="Z709" s="92">
        <f>IF($A709="","",DATE(YEAR($A709),MONTH($A709),1))</f>
        <v/>
      </c>
    </row>
    <row r="710">
      <c r="A710" s="93" t="n"/>
      <c r="B710" s="94" t="n"/>
      <c r="C710" s="94" t="n"/>
      <c r="D710" s="95" t="n"/>
      <c r="E710" s="95" t="n"/>
      <c r="F710" s="95" t="n"/>
      <c r="G710" s="95" t="n"/>
      <c r="H710" s="96" t="n"/>
      <c r="I710" s="89">
        <f>IF($G710="","",IF($F710="",IFERROR(INDEX(Setup!$C$21:$C$60,MATCH("|"&amp;UPPER(TRIM($G710)),Setup!$Q$21:$Q$60,0)),"NO RATE"),IFERROR(INDEX(Setup!$C$21:$C$60,MATCH(UPPER(TRIM($F710))&amp;"|"&amp;UPPER(TRIM($G710)),Setup!$P$21:$P$60,0)),IFERROR(INDEX(Setup!$C$21:$C$60,MATCH(UPPER(TRIM($G710))&amp;"|"&amp;UPPER(TRIM($F710)),Setup!$P$21:$P$60,0)),"NO RATE"))))</f>
        <v/>
      </c>
      <c r="J710" s="97" t="n"/>
      <c r="K710" s="89">
        <f>IF(OR($G710="",$H710="",NOT(ISNUMBER($I710))),"",ROUND($H710*$I710*(1+IF($J710="",Setup!$B$16,$J710)),2))</f>
        <v/>
      </c>
      <c r="L710" s="89">
        <f>IF($K710="","",ROUND($K710*Setup!$B$13,2))</f>
        <v/>
      </c>
      <c r="M710" s="89">
        <f>IF($K710="","",$K710-$L710)</f>
        <v/>
      </c>
      <c r="N710" s="89">
        <f>IF(OR($M710="",$D710=""),"",ROUND($M710*IFERROR(IF(VLOOKUP($D710,Setup!$A$76:$C$87,3,FALSE)="",Setup!$B$14,VLOOKUP($D710,Setup!$A$76:$C$87,3,FALSE)),Setup!$B$14),2))</f>
        <v/>
      </c>
      <c r="O710" s="89">
        <f>IF(OR($M710="",$E710=""),"",ROUND($M710*IFERROR(IF(VLOOKUP($E710,Setup!$A$76:$C$87,3,FALSE)="",Setup!$B$15,VLOOKUP($E710,Setup!$A$76:$C$87,3,FALSE)),Setup!$B$15),2))</f>
        <v/>
      </c>
      <c r="P710" s="98" t="n"/>
      <c r="Q710" s="98" t="n"/>
      <c r="R710" s="98" t="n"/>
      <c r="S710" s="98" t="n"/>
      <c r="T710" s="98" t="n"/>
      <c r="U710" s="89">
        <f>IF($K710="","",SUM($R710:$T710))</f>
        <v/>
      </c>
      <c r="V710" s="89">
        <f>IF($K710="","",$M710-(N($N710)+N($O710)+IF($P710="",Setup!$B$17,$P710)+N($Q710))-N($U710))</f>
        <v/>
      </c>
      <c r="W710" s="94" t="n"/>
      <c r="X710" s="95" t="n"/>
      <c r="Z710" s="92">
        <f>IF($A710="","",DATE(YEAR($A710),MONTH($A710),1))</f>
        <v/>
      </c>
    </row>
    <row r="711">
      <c r="A711" s="85" t="n"/>
      <c r="B711" s="86" t="n"/>
      <c r="C711" s="86" t="n"/>
      <c r="D711" s="87" t="n"/>
      <c r="E711" s="87" t="n"/>
      <c r="F711" s="87" t="n"/>
      <c r="G711" s="87" t="n"/>
      <c r="H711" s="88" t="n"/>
      <c r="I711" s="89">
        <f>IF($G711="","",IF($F711="",IFERROR(INDEX(Setup!$C$21:$C$60,MATCH("|"&amp;UPPER(TRIM($G711)),Setup!$Q$21:$Q$60,0)),"NO RATE"),IFERROR(INDEX(Setup!$C$21:$C$60,MATCH(UPPER(TRIM($F711))&amp;"|"&amp;UPPER(TRIM($G711)),Setup!$P$21:$P$60,0)),IFERROR(INDEX(Setup!$C$21:$C$60,MATCH(UPPER(TRIM($G711))&amp;"|"&amp;UPPER(TRIM($F711)),Setup!$P$21:$P$60,0)),"NO RATE"))))</f>
        <v/>
      </c>
      <c r="J711" s="90" t="n"/>
      <c r="K711" s="89">
        <f>IF(OR($G711="",$H711="",NOT(ISNUMBER($I711))),"",ROUND($H711*$I711*(1+IF($J711="",Setup!$B$16,$J711)),2))</f>
        <v/>
      </c>
      <c r="L711" s="89">
        <f>IF($K711="","",ROUND($K711*Setup!$B$13,2))</f>
        <v/>
      </c>
      <c r="M711" s="89">
        <f>IF($K711="","",$K711-$L711)</f>
        <v/>
      </c>
      <c r="N711" s="89">
        <f>IF(OR($M711="",$D711=""),"",ROUND($M711*IFERROR(IF(VLOOKUP($D711,Setup!$A$76:$C$87,3,FALSE)="",Setup!$B$14,VLOOKUP($D711,Setup!$A$76:$C$87,3,FALSE)),Setup!$B$14),2))</f>
        <v/>
      </c>
      <c r="O711" s="89">
        <f>IF(OR($M711="",$E711=""),"",ROUND($M711*IFERROR(IF(VLOOKUP($E711,Setup!$A$76:$C$87,3,FALSE)="",Setup!$B$15,VLOOKUP($E711,Setup!$A$76:$C$87,3,FALSE)),Setup!$B$15),2))</f>
        <v/>
      </c>
      <c r="P711" s="91" t="n"/>
      <c r="Q711" s="91" t="n"/>
      <c r="R711" s="91" t="n"/>
      <c r="S711" s="91" t="n"/>
      <c r="T711" s="91" t="n"/>
      <c r="U711" s="89">
        <f>IF($K711="","",SUM($R711:$T711))</f>
        <v/>
      </c>
      <c r="V711" s="89">
        <f>IF($K711="","",$M711-(N($N711)+N($O711)+IF($P711="",Setup!$B$17,$P711)+N($Q711))-N($U711))</f>
        <v/>
      </c>
      <c r="W711" s="86" t="n"/>
      <c r="X711" s="87" t="n"/>
      <c r="Z711" s="92">
        <f>IF($A711="","",DATE(YEAR($A711),MONTH($A711),1))</f>
        <v/>
      </c>
    </row>
    <row r="712">
      <c r="A712" s="93" t="n"/>
      <c r="B712" s="94" t="n"/>
      <c r="C712" s="94" t="n"/>
      <c r="D712" s="95" t="n"/>
      <c r="E712" s="95" t="n"/>
      <c r="F712" s="95" t="n"/>
      <c r="G712" s="95" t="n"/>
      <c r="H712" s="96" t="n"/>
      <c r="I712" s="89">
        <f>IF($G712="","",IF($F712="",IFERROR(INDEX(Setup!$C$21:$C$60,MATCH("|"&amp;UPPER(TRIM($G712)),Setup!$Q$21:$Q$60,0)),"NO RATE"),IFERROR(INDEX(Setup!$C$21:$C$60,MATCH(UPPER(TRIM($F712))&amp;"|"&amp;UPPER(TRIM($G712)),Setup!$P$21:$P$60,0)),IFERROR(INDEX(Setup!$C$21:$C$60,MATCH(UPPER(TRIM($G712))&amp;"|"&amp;UPPER(TRIM($F712)),Setup!$P$21:$P$60,0)),"NO RATE"))))</f>
        <v/>
      </c>
      <c r="J712" s="97" t="n"/>
      <c r="K712" s="89">
        <f>IF(OR($G712="",$H712="",NOT(ISNUMBER($I712))),"",ROUND($H712*$I712*(1+IF($J712="",Setup!$B$16,$J712)),2))</f>
        <v/>
      </c>
      <c r="L712" s="89">
        <f>IF($K712="","",ROUND($K712*Setup!$B$13,2))</f>
        <v/>
      </c>
      <c r="M712" s="89">
        <f>IF($K712="","",$K712-$L712)</f>
        <v/>
      </c>
      <c r="N712" s="89">
        <f>IF(OR($M712="",$D712=""),"",ROUND($M712*IFERROR(IF(VLOOKUP($D712,Setup!$A$76:$C$87,3,FALSE)="",Setup!$B$14,VLOOKUP($D712,Setup!$A$76:$C$87,3,FALSE)),Setup!$B$14),2))</f>
        <v/>
      </c>
      <c r="O712" s="89">
        <f>IF(OR($M712="",$E712=""),"",ROUND($M712*IFERROR(IF(VLOOKUP($E712,Setup!$A$76:$C$87,3,FALSE)="",Setup!$B$15,VLOOKUP($E712,Setup!$A$76:$C$87,3,FALSE)),Setup!$B$15),2))</f>
        <v/>
      </c>
      <c r="P712" s="98" t="n"/>
      <c r="Q712" s="98" t="n"/>
      <c r="R712" s="98" t="n"/>
      <c r="S712" s="98" t="n"/>
      <c r="T712" s="98" t="n"/>
      <c r="U712" s="89">
        <f>IF($K712="","",SUM($R712:$T712))</f>
        <v/>
      </c>
      <c r="V712" s="89">
        <f>IF($K712="","",$M712-(N($N712)+N($O712)+IF($P712="",Setup!$B$17,$P712)+N($Q712))-N($U712))</f>
        <v/>
      </c>
      <c r="W712" s="94" t="n"/>
      <c r="X712" s="95" t="n"/>
      <c r="Z712" s="92">
        <f>IF($A712="","",DATE(YEAR($A712),MONTH($A712),1))</f>
        <v/>
      </c>
    </row>
    <row r="713">
      <c r="A713" s="85" t="n"/>
      <c r="B713" s="86" t="n"/>
      <c r="C713" s="86" t="n"/>
      <c r="D713" s="87" t="n"/>
      <c r="E713" s="87" t="n"/>
      <c r="F713" s="87" t="n"/>
      <c r="G713" s="87" t="n"/>
      <c r="H713" s="88" t="n"/>
      <c r="I713" s="89">
        <f>IF($G713="","",IF($F713="",IFERROR(INDEX(Setup!$C$21:$C$60,MATCH("|"&amp;UPPER(TRIM($G713)),Setup!$Q$21:$Q$60,0)),"NO RATE"),IFERROR(INDEX(Setup!$C$21:$C$60,MATCH(UPPER(TRIM($F713))&amp;"|"&amp;UPPER(TRIM($G713)),Setup!$P$21:$P$60,0)),IFERROR(INDEX(Setup!$C$21:$C$60,MATCH(UPPER(TRIM($G713))&amp;"|"&amp;UPPER(TRIM($F713)),Setup!$P$21:$P$60,0)),"NO RATE"))))</f>
        <v/>
      </c>
      <c r="J713" s="90" t="n"/>
      <c r="K713" s="89">
        <f>IF(OR($G713="",$H713="",NOT(ISNUMBER($I713))),"",ROUND($H713*$I713*(1+IF($J713="",Setup!$B$16,$J713)),2))</f>
        <v/>
      </c>
      <c r="L713" s="89">
        <f>IF($K713="","",ROUND($K713*Setup!$B$13,2))</f>
        <v/>
      </c>
      <c r="M713" s="89">
        <f>IF($K713="","",$K713-$L713)</f>
        <v/>
      </c>
      <c r="N713" s="89">
        <f>IF(OR($M713="",$D713=""),"",ROUND($M713*IFERROR(IF(VLOOKUP($D713,Setup!$A$76:$C$87,3,FALSE)="",Setup!$B$14,VLOOKUP($D713,Setup!$A$76:$C$87,3,FALSE)),Setup!$B$14),2))</f>
        <v/>
      </c>
      <c r="O713" s="89">
        <f>IF(OR($M713="",$E713=""),"",ROUND($M713*IFERROR(IF(VLOOKUP($E713,Setup!$A$76:$C$87,3,FALSE)="",Setup!$B$15,VLOOKUP($E713,Setup!$A$76:$C$87,3,FALSE)),Setup!$B$15),2))</f>
        <v/>
      </c>
      <c r="P713" s="91" t="n"/>
      <c r="Q713" s="91" t="n"/>
      <c r="R713" s="91" t="n"/>
      <c r="S713" s="91" t="n"/>
      <c r="T713" s="91" t="n"/>
      <c r="U713" s="89">
        <f>IF($K713="","",SUM($R713:$T713))</f>
        <v/>
      </c>
      <c r="V713" s="89">
        <f>IF($K713="","",$M713-(N($N713)+N($O713)+IF($P713="",Setup!$B$17,$P713)+N($Q713))-N($U713))</f>
        <v/>
      </c>
      <c r="W713" s="86" t="n"/>
      <c r="X713" s="87" t="n"/>
      <c r="Z713" s="92">
        <f>IF($A713="","",DATE(YEAR($A713),MONTH($A713),1))</f>
        <v/>
      </c>
    </row>
    <row r="714">
      <c r="A714" s="93" t="n"/>
      <c r="B714" s="94" t="n"/>
      <c r="C714" s="94" t="n"/>
      <c r="D714" s="95" t="n"/>
      <c r="E714" s="95" t="n"/>
      <c r="F714" s="95" t="n"/>
      <c r="G714" s="95" t="n"/>
      <c r="H714" s="96" t="n"/>
      <c r="I714" s="89">
        <f>IF($G714="","",IF($F714="",IFERROR(INDEX(Setup!$C$21:$C$60,MATCH("|"&amp;UPPER(TRIM($G714)),Setup!$Q$21:$Q$60,0)),"NO RATE"),IFERROR(INDEX(Setup!$C$21:$C$60,MATCH(UPPER(TRIM($F714))&amp;"|"&amp;UPPER(TRIM($G714)),Setup!$P$21:$P$60,0)),IFERROR(INDEX(Setup!$C$21:$C$60,MATCH(UPPER(TRIM($G714))&amp;"|"&amp;UPPER(TRIM($F714)),Setup!$P$21:$P$60,0)),"NO RATE"))))</f>
        <v/>
      </c>
      <c r="J714" s="97" t="n"/>
      <c r="K714" s="89">
        <f>IF(OR($G714="",$H714="",NOT(ISNUMBER($I714))),"",ROUND($H714*$I714*(1+IF($J714="",Setup!$B$16,$J714)),2))</f>
        <v/>
      </c>
      <c r="L714" s="89">
        <f>IF($K714="","",ROUND($K714*Setup!$B$13,2))</f>
        <v/>
      </c>
      <c r="M714" s="89">
        <f>IF($K714="","",$K714-$L714)</f>
        <v/>
      </c>
      <c r="N714" s="89">
        <f>IF(OR($M714="",$D714=""),"",ROUND($M714*IFERROR(IF(VLOOKUP($D714,Setup!$A$76:$C$87,3,FALSE)="",Setup!$B$14,VLOOKUP($D714,Setup!$A$76:$C$87,3,FALSE)),Setup!$B$14),2))</f>
        <v/>
      </c>
      <c r="O714" s="89">
        <f>IF(OR($M714="",$E714=""),"",ROUND($M714*IFERROR(IF(VLOOKUP($E714,Setup!$A$76:$C$87,3,FALSE)="",Setup!$B$15,VLOOKUP($E714,Setup!$A$76:$C$87,3,FALSE)),Setup!$B$15),2))</f>
        <v/>
      </c>
      <c r="P714" s="98" t="n"/>
      <c r="Q714" s="98" t="n"/>
      <c r="R714" s="98" t="n"/>
      <c r="S714" s="98" t="n"/>
      <c r="T714" s="98" t="n"/>
      <c r="U714" s="89">
        <f>IF($K714="","",SUM($R714:$T714))</f>
        <v/>
      </c>
      <c r="V714" s="89">
        <f>IF($K714="","",$M714-(N($N714)+N($O714)+IF($P714="",Setup!$B$17,$P714)+N($Q714))-N($U714))</f>
        <v/>
      </c>
      <c r="W714" s="94" t="n"/>
      <c r="X714" s="95" t="n"/>
      <c r="Z714" s="92">
        <f>IF($A714="","",DATE(YEAR($A714),MONTH($A714),1))</f>
        <v/>
      </c>
    </row>
    <row r="715">
      <c r="A715" s="85" t="n"/>
      <c r="B715" s="86" t="n"/>
      <c r="C715" s="86" t="n"/>
      <c r="D715" s="87" t="n"/>
      <c r="E715" s="87" t="n"/>
      <c r="F715" s="87" t="n"/>
      <c r="G715" s="87" t="n"/>
      <c r="H715" s="88" t="n"/>
      <c r="I715" s="89">
        <f>IF($G715="","",IF($F715="",IFERROR(INDEX(Setup!$C$21:$C$60,MATCH("|"&amp;UPPER(TRIM($G715)),Setup!$Q$21:$Q$60,0)),"NO RATE"),IFERROR(INDEX(Setup!$C$21:$C$60,MATCH(UPPER(TRIM($F715))&amp;"|"&amp;UPPER(TRIM($G715)),Setup!$P$21:$P$60,0)),IFERROR(INDEX(Setup!$C$21:$C$60,MATCH(UPPER(TRIM($G715))&amp;"|"&amp;UPPER(TRIM($F715)),Setup!$P$21:$P$60,0)),"NO RATE"))))</f>
        <v/>
      </c>
      <c r="J715" s="90" t="n"/>
      <c r="K715" s="89">
        <f>IF(OR($G715="",$H715="",NOT(ISNUMBER($I715))),"",ROUND($H715*$I715*(1+IF($J715="",Setup!$B$16,$J715)),2))</f>
        <v/>
      </c>
      <c r="L715" s="89">
        <f>IF($K715="","",ROUND($K715*Setup!$B$13,2))</f>
        <v/>
      </c>
      <c r="M715" s="89">
        <f>IF($K715="","",$K715-$L715)</f>
        <v/>
      </c>
      <c r="N715" s="89">
        <f>IF(OR($M715="",$D715=""),"",ROUND($M715*IFERROR(IF(VLOOKUP($D715,Setup!$A$76:$C$87,3,FALSE)="",Setup!$B$14,VLOOKUP($D715,Setup!$A$76:$C$87,3,FALSE)),Setup!$B$14),2))</f>
        <v/>
      </c>
      <c r="O715" s="89">
        <f>IF(OR($M715="",$E715=""),"",ROUND($M715*IFERROR(IF(VLOOKUP($E715,Setup!$A$76:$C$87,3,FALSE)="",Setup!$B$15,VLOOKUP($E715,Setup!$A$76:$C$87,3,FALSE)),Setup!$B$15),2))</f>
        <v/>
      </c>
      <c r="P715" s="91" t="n"/>
      <c r="Q715" s="91" t="n"/>
      <c r="R715" s="91" t="n"/>
      <c r="S715" s="91" t="n"/>
      <c r="T715" s="91" t="n"/>
      <c r="U715" s="89">
        <f>IF($K715="","",SUM($R715:$T715))</f>
        <v/>
      </c>
      <c r="V715" s="89">
        <f>IF($K715="","",$M715-(N($N715)+N($O715)+IF($P715="",Setup!$B$17,$P715)+N($Q715))-N($U715))</f>
        <v/>
      </c>
      <c r="W715" s="86" t="n"/>
      <c r="X715" s="87" t="n"/>
      <c r="Z715" s="92">
        <f>IF($A715="","",DATE(YEAR($A715),MONTH($A715),1))</f>
        <v/>
      </c>
    </row>
    <row r="716">
      <c r="A716" s="93" t="n"/>
      <c r="B716" s="94" t="n"/>
      <c r="C716" s="94" t="n"/>
      <c r="D716" s="95" t="n"/>
      <c r="E716" s="95" t="n"/>
      <c r="F716" s="95" t="n"/>
      <c r="G716" s="95" t="n"/>
      <c r="H716" s="96" t="n"/>
      <c r="I716" s="89">
        <f>IF($G716="","",IF($F716="",IFERROR(INDEX(Setup!$C$21:$C$60,MATCH("|"&amp;UPPER(TRIM($G716)),Setup!$Q$21:$Q$60,0)),"NO RATE"),IFERROR(INDEX(Setup!$C$21:$C$60,MATCH(UPPER(TRIM($F716))&amp;"|"&amp;UPPER(TRIM($G716)),Setup!$P$21:$P$60,0)),IFERROR(INDEX(Setup!$C$21:$C$60,MATCH(UPPER(TRIM($G716))&amp;"|"&amp;UPPER(TRIM($F716)),Setup!$P$21:$P$60,0)),"NO RATE"))))</f>
        <v/>
      </c>
      <c r="J716" s="97" t="n"/>
      <c r="K716" s="89">
        <f>IF(OR($G716="",$H716="",NOT(ISNUMBER($I716))),"",ROUND($H716*$I716*(1+IF($J716="",Setup!$B$16,$J716)),2))</f>
        <v/>
      </c>
      <c r="L716" s="89">
        <f>IF($K716="","",ROUND($K716*Setup!$B$13,2))</f>
        <v/>
      </c>
      <c r="M716" s="89">
        <f>IF($K716="","",$K716-$L716)</f>
        <v/>
      </c>
      <c r="N716" s="89">
        <f>IF(OR($M716="",$D716=""),"",ROUND($M716*IFERROR(IF(VLOOKUP($D716,Setup!$A$76:$C$87,3,FALSE)="",Setup!$B$14,VLOOKUP($D716,Setup!$A$76:$C$87,3,FALSE)),Setup!$B$14),2))</f>
        <v/>
      </c>
      <c r="O716" s="89">
        <f>IF(OR($M716="",$E716=""),"",ROUND($M716*IFERROR(IF(VLOOKUP($E716,Setup!$A$76:$C$87,3,FALSE)="",Setup!$B$15,VLOOKUP($E716,Setup!$A$76:$C$87,3,FALSE)),Setup!$B$15),2))</f>
        <v/>
      </c>
      <c r="P716" s="98" t="n"/>
      <c r="Q716" s="98" t="n"/>
      <c r="R716" s="98" t="n"/>
      <c r="S716" s="98" t="n"/>
      <c r="T716" s="98" t="n"/>
      <c r="U716" s="89">
        <f>IF($K716="","",SUM($R716:$T716))</f>
        <v/>
      </c>
      <c r="V716" s="89">
        <f>IF($K716="","",$M716-(N($N716)+N($O716)+IF($P716="",Setup!$B$17,$P716)+N($Q716))-N($U716))</f>
        <v/>
      </c>
      <c r="W716" s="94" t="n"/>
      <c r="X716" s="95" t="n"/>
      <c r="Z716" s="92">
        <f>IF($A716="","",DATE(YEAR($A716),MONTH($A716),1))</f>
        <v/>
      </c>
    </row>
    <row r="717">
      <c r="A717" s="85" t="n"/>
      <c r="B717" s="86" t="n"/>
      <c r="C717" s="86" t="n"/>
      <c r="D717" s="87" t="n"/>
      <c r="E717" s="87" t="n"/>
      <c r="F717" s="87" t="n"/>
      <c r="G717" s="87" t="n"/>
      <c r="H717" s="88" t="n"/>
      <c r="I717" s="89">
        <f>IF($G717="","",IF($F717="",IFERROR(INDEX(Setup!$C$21:$C$60,MATCH("|"&amp;UPPER(TRIM($G717)),Setup!$Q$21:$Q$60,0)),"NO RATE"),IFERROR(INDEX(Setup!$C$21:$C$60,MATCH(UPPER(TRIM($F717))&amp;"|"&amp;UPPER(TRIM($G717)),Setup!$P$21:$P$60,0)),IFERROR(INDEX(Setup!$C$21:$C$60,MATCH(UPPER(TRIM($G717))&amp;"|"&amp;UPPER(TRIM($F717)),Setup!$P$21:$P$60,0)),"NO RATE"))))</f>
        <v/>
      </c>
      <c r="J717" s="90" t="n"/>
      <c r="K717" s="89">
        <f>IF(OR($G717="",$H717="",NOT(ISNUMBER($I717))),"",ROUND($H717*$I717*(1+IF($J717="",Setup!$B$16,$J717)),2))</f>
        <v/>
      </c>
      <c r="L717" s="89">
        <f>IF($K717="","",ROUND($K717*Setup!$B$13,2))</f>
        <v/>
      </c>
      <c r="M717" s="89">
        <f>IF($K717="","",$K717-$L717)</f>
        <v/>
      </c>
      <c r="N717" s="89">
        <f>IF(OR($M717="",$D717=""),"",ROUND($M717*IFERROR(IF(VLOOKUP($D717,Setup!$A$76:$C$87,3,FALSE)="",Setup!$B$14,VLOOKUP($D717,Setup!$A$76:$C$87,3,FALSE)),Setup!$B$14),2))</f>
        <v/>
      </c>
      <c r="O717" s="89">
        <f>IF(OR($M717="",$E717=""),"",ROUND($M717*IFERROR(IF(VLOOKUP($E717,Setup!$A$76:$C$87,3,FALSE)="",Setup!$B$15,VLOOKUP($E717,Setup!$A$76:$C$87,3,FALSE)),Setup!$B$15),2))</f>
        <v/>
      </c>
      <c r="P717" s="91" t="n"/>
      <c r="Q717" s="91" t="n"/>
      <c r="R717" s="91" t="n"/>
      <c r="S717" s="91" t="n"/>
      <c r="T717" s="91" t="n"/>
      <c r="U717" s="89">
        <f>IF($K717="","",SUM($R717:$T717))</f>
        <v/>
      </c>
      <c r="V717" s="89">
        <f>IF($K717="","",$M717-(N($N717)+N($O717)+IF($P717="",Setup!$B$17,$P717)+N($Q717))-N($U717))</f>
        <v/>
      </c>
      <c r="W717" s="86" t="n"/>
      <c r="X717" s="87" t="n"/>
      <c r="Z717" s="92">
        <f>IF($A717="","",DATE(YEAR($A717),MONTH($A717),1))</f>
        <v/>
      </c>
    </row>
    <row r="718">
      <c r="A718" s="93" t="n"/>
      <c r="B718" s="94" t="n"/>
      <c r="C718" s="94" t="n"/>
      <c r="D718" s="95" t="n"/>
      <c r="E718" s="95" t="n"/>
      <c r="F718" s="95" t="n"/>
      <c r="G718" s="95" t="n"/>
      <c r="H718" s="96" t="n"/>
      <c r="I718" s="89">
        <f>IF($G718="","",IF($F718="",IFERROR(INDEX(Setup!$C$21:$C$60,MATCH("|"&amp;UPPER(TRIM($G718)),Setup!$Q$21:$Q$60,0)),"NO RATE"),IFERROR(INDEX(Setup!$C$21:$C$60,MATCH(UPPER(TRIM($F718))&amp;"|"&amp;UPPER(TRIM($G718)),Setup!$P$21:$P$60,0)),IFERROR(INDEX(Setup!$C$21:$C$60,MATCH(UPPER(TRIM($G718))&amp;"|"&amp;UPPER(TRIM($F718)),Setup!$P$21:$P$60,0)),"NO RATE"))))</f>
        <v/>
      </c>
      <c r="J718" s="97" t="n"/>
      <c r="K718" s="89">
        <f>IF(OR($G718="",$H718="",NOT(ISNUMBER($I718))),"",ROUND($H718*$I718*(1+IF($J718="",Setup!$B$16,$J718)),2))</f>
        <v/>
      </c>
      <c r="L718" s="89">
        <f>IF($K718="","",ROUND($K718*Setup!$B$13,2))</f>
        <v/>
      </c>
      <c r="M718" s="89">
        <f>IF($K718="","",$K718-$L718)</f>
        <v/>
      </c>
      <c r="N718" s="89">
        <f>IF(OR($M718="",$D718=""),"",ROUND($M718*IFERROR(IF(VLOOKUP($D718,Setup!$A$76:$C$87,3,FALSE)="",Setup!$B$14,VLOOKUP($D718,Setup!$A$76:$C$87,3,FALSE)),Setup!$B$14),2))</f>
        <v/>
      </c>
      <c r="O718" s="89">
        <f>IF(OR($M718="",$E718=""),"",ROUND($M718*IFERROR(IF(VLOOKUP($E718,Setup!$A$76:$C$87,3,FALSE)="",Setup!$B$15,VLOOKUP($E718,Setup!$A$76:$C$87,3,FALSE)),Setup!$B$15),2))</f>
        <v/>
      </c>
      <c r="P718" s="98" t="n"/>
      <c r="Q718" s="98" t="n"/>
      <c r="R718" s="98" t="n"/>
      <c r="S718" s="98" t="n"/>
      <c r="T718" s="98" t="n"/>
      <c r="U718" s="89">
        <f>IF($K718="","",SUM($R718:$T718))</f>
        <v/>
      </c>
      <c r="V718" s="89">
        <f>IF($K718="","",$M718-(N($N718)+N($O718)+IF($P718="",Setup!$B$17,$P718)+N($Q718))-N($U718))</f>
        <v/>
      </c>
      <c r="W718" s="94" t="n"/>
      <c r="X718" s="95" t="n"/>
      <c r="Z718" s="92">
        <f>IF($A718="","",DATE(YEAR($A718),MONTH($A718),1))</f>
        <v/>
      </c>
    </row>
    <row r="719">
      <c r="A719" s="85" t="n"/>
      <c r="B719" s="86" t="n"/>
      <c r="C719" s="86" t="n"/>
      <c r="D719" s="87" t="n"/>
      <c r="E719" s="87" t="n"/>
      <c r="F719" s="87" t="n"/>
      <c r="G719" s="87" t="n"/>
      <c r="H719" s="88" t="n"/>
      <c r="I719" s="89">
        <f>IF($G719="","",IF($F719="",IFERROR(INDEX(Setup!$C$21:$C$60,MATCH("|"&amp;UPPER(TRIM($G719)),Setup!$Q$21:$Q$60,0)),"NO RATE"),IFERROR(INDEX(Setup!$C$21:$C$60,MATCH(UPPER(TRIM($F719))&amp;"|"&amp;UPPER(TRIM($G719)),Setup!$P$21:$P$60,0)),IFERROR(INDEX(Setup!$C$21:$C$60,MATCH(UPPER(TRIM($G719))&amp;"|"&amp;UPPER(TRIM($F719)),Setup!$P$21:$P$60,0)),"NO RATE"))))</f>
        <v/>
      </c>
      <c r="J719" s="90" t="n"/>
      <c r="K719" s="89">
        <f>IF(OR($G719="",$H719="",NOT(ISNUMBER($I719))),"",ROUND($H719*$I719*(1+IF($J719="",Setup!$B$16,$J719)),2))</f>
        <v/>
      </c>
      <c r="L719" s="89">
        <f>IF($K719="","",ROUND($K719*Setup!$B$13,2))</f>
        <v/>
      </c>
      <c r="M719" s="89">
        <f>IF($K719="","",$K719-$L719)</f>
        <v/>
      </c>
      <c r="N719" s="89">
        <f>IF(OR($M719="",$D719=""),"",ROUND($M719*IFERROR(IF(VLOOKUP($D719,Setup!$A$76:$C$87,3,FALSE)="",Setup!$B$14,VLOOKUP($D719,Setup!$A$76:$C$87,3,FALSE)),Setup!$B$14),2))</f>
        <v/>
      </c>
      <c r="O719" s="89">
        <f>IF(OR($M719="",$E719=""),"",ROUND($M719*IFERROR(IF(VLOOKUP($E719,Setup!$A$76:$C$87,3,FALSE)="",Setup!$B$15,VLOOKUP($E719,Setup!$A$76:$C$87,3,FALSE)),Setup!$B$15),2))</f>
        <v/>
      </c>
      <c r="P719" s="91" t="n"/>
      <c r="Q719" s="91" t="n"/>
      <c r="R719" s="91" t="n"/>
      <c r="S719" s="91" t="n"/>
      <c r="T719" s="91" t="n"/>
      <c r="U719" s="89">
        <f>IF($K719="","",SUM($R719:$T719))</f>
        <v/>
      </c>
      <c r="V719" s="89">
        <f>IF($K719="","",$M719-(N($N719)+N($O719)+IF($P719="",Setup!$B$17,$P719)+N($Q719))-N($U719))</f>
        <v/>
      </c>
      <c r="W719" s="86" t="n"/>
      <c r="X719" s="87" t="n"/>
      <c r="Z719" s="92">
        <f>IF($A719="","",DATE(YEAR($A719),MONTH($A719),1))</f>
        <v/>
      </c>
    </row>
    <row r="720">
      <c r="A720" s="93" t="n"/>
      <c r="B720" s="94" t="n"/>
      <c r="C720" s="94" t="n"/>
      <c r="D720" s="95" t="n"/>
      <c r="E720" s="95" t="n"/>
      <c r="F720" s="95" t="n"/>
      <c r="G720" s="95" t="n"/>
      <c r="H720" s="96" t="n"/>
      <c r="I720" s="89">
        <f>IF($G720="","",IF($F720="",IFERROR(INDEX(Setup!$C$21:$C$60,MATCH("|"&amp;UPPER(TRIM($G720)),Setup!$Q$21:$Q$60,0)),"NO RATE"),IFERROR(INDEX(Setup!$C$21:$C$60,MATCH(UPPER(TRIM($F720))&amp;"|"&amp;UPPER(TRIM($G720)),Setup!$P$21:$P$60,0)),IFERROR(INDEX(Setup!$C$21:$C$60,MATCH(UPPER(TRIM($G720))&amp;"|"&amp;UPPER(TRIM($F720)),Setup!$P$21:$P$60,0)),"NO RATE"))))</f>
        <v/>
      </c>
      <c r="J720" s="97" t="n"/>
      <c r="K720" s="89">
        <f>IF(OR($G720="",$H720="",NOT(ISNUMBER($I720))),"",ROUND($H720*$I720*(1+IF($J720="",Setup!$B$16,$J720)),2))</f>
        <v/>
      </c>
      <c r="L720" s="89">
        <f>IF($K720="","",ROUND($K720*Setup!$B$13,2))</f>
        <v/>
      </c>
      <c r="M720" s="89">
        <f>IF($K720="","",$K720-$L720)</f>
        <v/>
      </c>
      <c r="N720" s="89">
        <f>IF(OR($M720="",$D720=""),"",ROUND($M720*IFERROR(IF(VLOOKUP($D720,Setup!$A$76:$C$87,3,FALSE)="",Setup!$B$14,VLOOKUP($D720,Setup!$A$76:$C$87,3,FALSE)),Setup!$B$14),2))</f>
        <v/>
      </c>
      <c r="O720" s="89">
        <f>IF(OR($M720="",$E720=""),"",ROUND($M720*IFERROR(IF(VLOOKUP($E720,Setup!$A$76:$C$87,3,FALSE)="",Setup!$B$15,VLOOKUP($E720,Setup!$A$76:$C$87,3,FALSE)),Setup!$B$15),2))</f>
        <v/>
      </c>
      <c r="P720" s="98" t="n"/>
      <c r="Q720" s="98" t="n"/>
      <c r="R720" s="98" t="n"/>
      <c r="S720" s="98" t="n"/>
      <c r="T720" s="98" t="n"/>
      <c r="U720" s="89">
        <f>IF($K720="","",SUM($R720:$T720))</f>
        <v/>
      </c>
      <c r="V720" s="89">
        <f>IF($K720="","",$M720-(N($N720)+N($O720)+IF($P720="",Setup!$B$17,$P720)+N($Q720))-N($U720))</f>
        <v/>
      </c>
      <c r="W720" s="94" t="n"/>
      <c r="X720" s="95" t="n"/>
      <c r="Z720" s="92">
        <f>IF($A720="","",DATE(YEAR($A720),MONTH($A720),1))</f>
        <v/>
      </c>
    </row>
    <row r="721">
      <c r="A721" s="85" t="n"/>
      <c r="B721" s="86" t="n"/>
      <c r="C721" s="86" t="n"/>
      <c r="D721" s="87" t="n"/>
      <c r="E721" s="87" t="n"/>
      <c r="F721" s="87" t="n"/>
      <c r="G721" s="87" t="n"/>
      <c r="H721" s="88" t="n"/>
      <c r="I721" s="89">
        <f>IF($G721="","",IF($F721="",IFERROR(INDEX(Setup!$C$21:$C$60,MATCH("|"&amp;UPPER(TRIM($G721)),Setup!$Q$21:$Q$60,0)),"NO RATE"),IFERROR(INDEX(Setup!$C$21:$C$60,MATCH(UPPER(TRIM($F721))&amp;"|"&amp;UPPER(TRIM($G721)),Setup!$P$21:$P$60,0)),IFERROR(INDEX(Setup!$C$21:$C$60,MATCH(UPPER(TRIM($G721))&amp;"|"&amp;UPPER(TRIM($F721)),Setup!$P$21:$P$60,0)),"NO RATE"))))</f>
        <v/>
      </c>
      <c r="J721" s="90" t="n"/>
      <c r="K721" s="89">
        <f>IF(OR($G721="",$H721="",NOT(ISNUMBER($I721))),"",ROUND($H721*$I721*(1+IF($J721="",Setup!$B$16,$J721)),2))</f>
        <v/>
      </c>
      <c r="L721" s="89">
        <f>IF($K721="","",ROUND($K721*Setup!$B$13,2))</f>
        <v/>
      </c>
      <c r="M721" s="89">
        <f>IF($K721="","",$K721-$L721)</f>
        <v/>
      </c>
      <c r="N721" s="89">
        <f>IF(OR($M721="",$D721=""),"",ROUND($M721*IFERROR(IF(VLOOKUP($D721,Setup!$A$76:$C$87,3,FALSE)="",Setup!$B$14,VLOOKUP($D721,Setup!$A$76:$C$87,3,FALSE)),Setup!$B$14),2))</f>
        <v/>
      </c>
      <c r="O721" s="89">
        <f>IF(OR($M721="",$E721=""),"",ROUND($M721*IFERROR(IF(VLOOKUP($E721,Setup!$A$76:$C$87,3,FALSE)="",Setup!$B$15,VLOOKUP($E721,Setup!$A$76:$C$87,3,FALSE)),Setup!$B$15),2))</f>
        <v/>
      </c>
      <c r="P721" s="91" t="n"/>
      <c r="Q721" s="91" t="n"/>
      <c r="R721" s="91" t="n"/>
      <c r="S721" s="91" t="n"/>
      <c r="T721" s="91" t="n"/>
      <c r="U721" s="89">
        <f>IF($K721="","",SUM($R721:$T721))</f>
        <v/>
      </c>
      <c r="V721" s="89">
        <f>IF($K721="","",$M721-(N($N721)+N($O721)+IF($P721="",Setup!$B$17,$P721)+N($Q721))-N($U721))</f>
        <v/>
      </c>
      <c r="W721" s="86" t="n"/>
      <c r="X721" s="87" t="n"/>
      <c r="Z721" s="92">
        <f>IF($A721="","",DATE(YEAR($A721),MONTH($A721),1))</f>
        <v/>
      </c>
    </row>
    <row r="722">
      <c r="A722" s="93" t="n"/>
      <c r="B722" s="94" t="n"/>
      <c r="C722" s="94" t="n"/>
      <c r="D722" s="95" t="n"/>
      <c r="E722" s="95" t="n"/>
      <c r="F722" s="95" t="n"/>
      <c r="G722" s="95" t="n"/>
      <c r="H722" s="96" t="n"/>
      <c r="I722" s="89">
        <f>IF($G722="","",IF($F722="",IFERROR(INDEX(Setup!$C$21:$C$60,MATCH("|"&amp;UPPER(TRIM($G722)),Setup!$Q$21:$Q$60,0)),"NO RATE"),IFERROR(INDEX(Setup!$C$21:$C$60,MATCH(UPPER(TRIM($F722))&amp;"|"&amp;UPPER(TRIM($G722)),Setup!$P$21:$P$60,0)),IFERROR(INDEX(Setup!$C$21:$C$60,MATCH(UPPER(TRIM($G722))&amp;"|"&amp;UPPER(TRIM($F722)),Setup!$P$21:$P$60,0)),"NO RATE"))))</f>
        <v/>
      </c>
      <c r="J722" s="97" t="n"/>
      <c r="K722" s="89">
        <f>IF(OR($G722="",$H722="",NOT(ISNUMBER($I722))),"",ROUND($H722*$I722*(1+IF($J722="",Setup!$B$16,$J722)),2))</f>
        <v/>
      </c>
      <c r="L722" s="89">
        <f>IF($K722="","",ROUND($K722*Setup!$B$13,2))</f>
        <v/>
      </c>
      <c r="M722" s="89">
        <f>IF($K722="","",$K722-$L722)</f>
        <v/>
      </c>
      <c r="N722" s="89">
        <f>IF(OR($M722="",$D722=""),"",ROUND($M722*IFERROR(IF(VLOOKUP($D722,Setup!$A$76:$C$87,3,FALSE)="",Setup!$B$14,VLOOKUP($D722,Setup!$A$76:$C$87,3,FALSE)),Setup!$B$14),2))</f>
        <v/>
      </c>
      <c r="O722" s="89">
        <f>IF(OR($M722="",$E722=""),"",ROUND($M722*IFERROR(IF(VLOOKUP($E722,Setup!$A$76:$C$87,3,FALSE)="",Setup!$B$15,VLOOKUP($E722,Setup!$A$76:$C$87,3,FALSE)),Setup!$B$15),2))</f>
        <v/>
      </c>
      <c r="P722" s="98" t="n"/>
      <c r="Q722" s="98" t="n"/>
      <c r="R722" s="98" t="n"/>
      <c r="S722" s="98" t="n"/>
      <c r="T722" s="98" t="n"/>
      <c r="U722" s="89">
        <f>IF($K722="","",SUM($R722:$T722))</f>
        <v/>
      </c>
      <c r="V722" s="89">
        <f>IF($K722="","",$M722-(N($N722)+N($O722)+IF($P722="",Setup!$B$17,$P722)+N($Q722))-N($U722))</f>
        <v/>
      </c>
      <c r="W722" s="94" t="n"/>
      <c r="X722" s="95" t="n"/>
      <c r="Z722" s="92">
        <f>IF($A722="","",DATE(YEAR($A722),MONTH($A722),1))</f>
        <v/>
      </c>
    </row>
    <row r="723">
      <c r="A723" s="85" t="n"/>
      <c r="B723" s="86" t="n"/>
      <c r="C723" s="86" t="n"/>
      <c r="D723" s="87" t="n"/>
      <c r="E723" s="87" t="n"/>
      <c r="F723" s="87" t="n"/>
      <c r="G723" s="87" t="n"/>
      <c r="H723" s="88" t="n"/>
      <c r="I723" s="89">
        <f>IF($G723="","",IF($F723="",IFERROR(INDEX(Setup!$C$21:$C$60,MATCH("|"&amp;UPPER(TRIM($G723)),Setup!$Q$21:$Q$60,0)),"NO RATE"),IFERROR(INDEX(Setup!$C$21:$C$60,MATCH(UPPER(TRIM($F723))&amp;"|"&amp;UPPER(TRIM($G723)),Setup!$P$21:$P$60,0)),IFERROR(INDEX(Setup!$C$21:$C$60,MATCH(UPPER(TRIM($G723))&amp;"|"&amp;UPPER(TRIM($F723)),Setup!$P$21:$P$60,0)),"NO RATE"))))</f>
        <v/>
      </c>
      <c r="J723" s="90" t="n"/>
      <c r="K723" s="89">
        <f>IF(OR($G723="",$H723="",NOT(ISNUMBER($I723))),"",ROUND($H723*$I723*(1+IF($J723="",Setup!$B$16,$J723)),2))</f>
        <v/>
      </c>
      <c r="L723" s="89">
        <f>IF($K723="","",ROUND($K723*Setup!$B$13,2))</f>
        <v/>
      </c>
      <c r="M723" s="89">
        <f>IF($K723="","",$K723-$L723)</f>
        <v/>
      </c>
      <c r="N723" s="89">
        <f>IF(OR($M723="",$D723=""),"",ROUND($M723*IFERROR(IF(VLOOKUP($D723,Setup!$A$76:$C$87,3,FALSE)="",Setup!$B$14,VLOOKUP($D723,Setup!$A$76:$C$87,3,FALSE)),Setup!$B$14),2))</f>
        <v/>
      </c>
      <c r="O723" s="89">
        <f>IF(OR($M723="",$E723=""),"",ROUND($M723*IFERROR(IF(VLOOKUP($E723,Setup!$A$76:$C$87,3,FALSE)="",Setup!$B$15,VLOOKUP($E723,Setup!$A$76:$C$87,3,FALSE)),Setup!$B$15),2))</f>
        <v/>
      </c>
      <c r="P723" s="91" t="n"/>
      <c r="Q723" s="91" t="n"/>
      <c r="R723" s="91" t="n"/>
      <c r="S723" s="91" t="n"/>
      <c r="T723" s="91" t="n"/>
      <c r="U723" s="89">
        <f>IF($K723="","",SUM($R723:$T723))</f>
        <v/>
      </c>
      <c r="V723" s="89">
        <f>IF($K723="","",$M723-(N($N723)+N($O723)+IF($P723="",Setup!$B$17,$P723)+N($Q723))-N($U723))</f>
        <v/>
      </c>
      <c r="W723" s="86" t="n"/>
      <c r="X723" s="87" t="n"/>
      <c r="Z723" s="92">
        <f>IF($A723="","",DATE(YEAR($A723),MONTH($A723),1))</f>
        <v/>
      </c>
    </row>
    <row r="724">
      <c r="A724" s="93" t="n"/>
      <c r="B724" s="94" t="n"/>
      <c r="C724" s="94" t="n"/>
      <c r="D724" s="95" t="n"/>
      <c r="E724" s="95" t="n"/>
      <c r="F724" s="95" t="n"/>
      <c r="G724" s="95" t="n"/>
      <c r="H724" s="96" t="n"/>
      <c r="I724" s="89">
        <f>IF($G724="","",IF($F724="",IFERROR(INDEX(Setup!$C$21:$C$60,MATCH("|"&amp;UPPER(TRIM($G724)),Setup!$Q$21:$Q$60,0)),"NO RATE"),IFERROR(INDEX(Setup!$C$21:$C$60,MATCH(UPPER(TRIM($F724))&amp;"|"&amp;UPPER(TRIM($G724)),Setup!$P$21:$P$60,0)),IFERROR(INDEX(Setup!$C$21:$C$60,MATCH(UPPER(TRIM($G724))&amp;"|"&amp;UPPER(TRIM($F724)),Setup!$P$21:$P$60,0)),"NO RATE"))))</f>
        <v/>
      </c>
      <c r="J724" s="97" t="n"/>
      <c r="K724" s="89">
        <f>IF(OR($G724="",$H724="",NOT(ISNUMBER($I724))),"",ROUND($H724*$I724*(1+IF($J724="",Setup!$B$16,$J724)),2))</f>
        <v/>
      </c>
      <c r="L724" s="89">
        <f>IF($K724="","",ROUND($K724*Setup!$B$13,2))</f>
        <v/>
      </c>
      <c r="M724" s="89">
        <f>IF($K724="","",$K724-$L724)</f>
        <v/>
      </c>
      <c r="N724" s="89">
        <f>IF(OR($M724="",$D724=""),"",ROUND($M724*IFERROR(IF(VLOOKUP($D724,Setup!$A$76:$C$87,3,FALSE)="",Setup!$B$14,VLOOKUP($D724,Setup!$A$76:$C$87,3,FALSE)),Setup!$B$14),2))</f>
        <v/>
      </c>
      <c r="O724" s="89">
        <f>IF(OR($M724="",$E724=""),"",ROUND($M724*IFERROR(IF(VLOOKUP($E724,Setup!$A$76:$C$87,3,FALSE)="",Setup!$B$15,VLOOKUP($E724,Setup!$A$76:$C$87,3,FALSE)),Setup!$B$15),2))</f>
        <v/>
      </c>
      <c r="P724" s="98" t="n"/>
      <c r="Q724" s="98" t="n"/>
      <c r="R724" s="98" t="n"/>
      <c r="S724" s="98" t="n"/>
      <c r="T724" s="98" t="n"/>
      <c r="U724" s="89">
        <f>IF($K724="","",SUM($R724:$T724))</f>
        <v/>
      </c>
      <c r="V724" s="89">
        <f>IF($K724="","",$M724-(N($N724)+N($O724)+IF($P724="",Setup!$B$17,$P724)+N($Q724))-N($U724))</f>
        <v/>
      </c>
      <c r="W724" s="94" t="n"/>
      <c r="X724" s="95" t="n"/>
      <c r="Z724" s="92">
        <f>IF($A724="","",DATE(YEAR($A724),MONTH($A724),1))</f>
        <v/>
      </c>
    </row>
    <row r="725">
      <c r="A725" s="85" t="n"/>
      <c r="B725" s="86" t="n"/>
      <c r="C725" s="86" t="n"/>
      <c r="D725" s="87" t="n"/>
      <c r="E725" s="87" t="n"/>
      <c r="F725" s="87" t="n"/>
      <c r="G725" s="87" t="n"/>
      <c r="H725" s="88" t="n"/>
      <c r="I725" s="89">
        <f>IF($G725="","",IF($F725="",IFERROR(INDEX(Setup!$C$21:$C$60,MATCH("|"&amp;UPPER(TRIM($G725)),Setup!$Q$21:$Q$60,0)),"NO RATE"),IFERROR(INDEX(Setup!$C$21:$C$60,MATCH(UPPER(TRIM($F725))&amp;"|"&amp;UPPER(TRIM($G725)),Setup!$P$21:$P$60,0)),IFERROR(INDEX(Setup!$C$21:$C$60,MATCH(UPPER(TRIM($G725))&amp;"|"&amp;UPPER(TRIM($F725)),Setup!$P$21:$P$60,0)),"NO RATE"))))</f>
        <v/>
      </c>
      <c r="J725" s="90" t="n"/>
      <c r="K725" s="89">
        <f>IF(OR($G725="",$H725="",NOT(ISNUMBER($I725))),"",ROUND($H725*$I725*(1+IF($J725="",Setup!$B$16,$J725)),2))</f>
        <v/>
      </c>
      <c r="L725" s="89">
        <f>IF($K725="","",ROUND($K725*Setup!$B$13,2))</f>
        <v/>
      </c>
      <c r="M725" s="89">
        <f>IF($K725="","",$K725-$L725)</f>
        <v/>
      </c>
      <c r="N725" s="89">
        <f>IF(OR($M725="",$D725=""),"",ROUND($M725*IFERROR(IF(VLOOKUP($D725,Setup!$A$76:$C$87,3,FALSE)="",Setup!$B$14,VLOOKUP($D725,Setup!$A$76:$C$87,3,FALSE)),Setup!$B$14),2))</f>
        <v/>
      </c>
      <c r="O725" s="89">
        <f>IF(OR($M725="",$E725=""),"",ROUND($M725*IFERROR(IF(VLOOKUP($E725,Setup!$A$76:$C$87,3,FALSE)="",Setup!$B$15,VLOOKUP($E725,Setup!$A$76:$C$87,3,FALSE)),Setup!$B$15),2))</f>
        <v/>
      </c>
      <c r="P725" s="91" t="n"/>
      <c r="Q725" s="91" t="n"/>
      <c r="R725" s="91" t="n"/>
      <c r="S725" s="91" t="n"/>
      <c r="T725" s="91" t="n"/>
      <c r="U725" s="89">
        <f>IF($K725="","",SUM($R725:$T725))</f>
        <v/>
      </c>
      <c r="V725" s="89">
        <f>IF($K725="","",$M725-(N($N725)+N($O725)+IF($P725="",Setup!$B$17,$P725)+N($Q725))-N($U725))</f>
        <v/>
      </c>
      <c r="W725" s="86" t="n"/>
      <c r="X725" s="87" t="n"/>
      <c r="Z725" s="92">
        <f>IF($A725="","",DATE(YEAR($A725),MONTH($A725),1))</f>
        <v/>
      </c>
    </row>
    <row r="726">
      <c r="A726" s="93" t="n"/>
      <c r="B726" s="94" t="n"/>
      <c r="C726" s="94" t="n"/>
      <c r="D726" s="95" t="n"/>
      <c r="E726" s="95" t="n"/>
      <c r="F726" s="95" t="n"/>
      <c r="G726" s="95" t="n"/>
      <c r="H726" s="96" t="n"/>
      <c r="I726" s="89">
        <f>IF($G726="","",IF($F726="",IFERROR(INDEX(Setup!$C$21:$C$60,MATCH("|"&amp;UPPER(TRIM($G726)),Setup!$Q$21:$Q$60,0)),"NO RATE"),IFERROR(INDEX(Setup!$C$21:$C$60,MATCH(UPPER(TRIM($F726))&amp;"|"&amp;UPPER(TRIM($G726)),Setup!$P$21:$P$60,0)),IFERROR(INDEX(Setup!$C$21:$C$60,MATCH(UPPER(TRIM($G726))&amp;"|"&amp;UPPER(TRIM($F726)),Setup!$P$21:$P$60,0)),"NO RATE"))))</f>
        <v/>
      </c>
      <c r="J726" s="97" t="n"/>
      <c r="K726" s="89">
        <f>IF(OR($G726="",$H726="",NOT(ISNUMBER($I726))),"",ROUND($H726*$I726*(1+IF($J726="",Setup!$B$16,$J726)),2))</f>
        <v/>
      </c>
      <c r="L726" s="89">
        <f>IF($K726="","",ROUND($K726*Setup!$B$13,2))</f>
        <v/>
      </c>
      <c r="M726" s="89">
        <f>IF($K726="","",$K726-$L726)</f>
        <v/>
      </c>
      <c r="N726" s="89">
        <f>IF(OR($M726="",$D726=""),"",ROUND($M726*IFERROR(IF(VLOOKUP($D726,Setup!$A$76:$C$87,3,FALSE)="",Setup!$B$14,VLOOKUP($D726,Setup!$A$76:$C$87,3,FALSE)),Setup!$B$14),2))</f>
        <v/>
      </c>
      <c r="O726" s="89">
        <f>IF(OR($M726="",$E726=""),"",ROUND($M726*IFERROR(IF(VLOOKUP($E726,Setup!$A$76:$C$87,3,FALSE)="",Setup!$B$15,VLOOKUP($E726,Setup!$A$76:$C$87,3,FALSE)),Setup!$B$15),2))</f>
        <v/>
      </c>
      <c r="P726" s="98" t="n"/>
      <c r="Q726" s="98" t="n"/>
      <c r="R726" s="98" t="n"/>
      <c r="S726" s="98" t="n"/>
      <c r="T726" s="98" t="n"/>
      <c r="U726" s="89">
        <f>IF($K726="","",SUM($R726:$T726))</f>
        <v/>
      </c>
      <c r="V726" s="89">
        <f>IF($K726="","",$M726-(N($N726)+N($O726)+IF($P726="",Setup!$B$17,$P726)+N($Q726))-N($U726))</f>
        <v/>
      </c>
      <c r="W726" s="94" t="n"/>
      <c r="X726" s="95" t="n"/>
      <c r="Z726" s="92">
        <f>IF($A726="","",DATE(YEAR($A726),MONTH($A726),1))</f>
        <v/>
      </c>
    </row>
    <row r="727">
      <c r="A727" s="85" t="n"/>
      <c r="B727" s="86" t="n"/>
      <c r="C727" s="86" t="n"/>
      <c r="D727" s="87" t="n"/>
      <c r="E727" s="87" t="n"/>
      <c r="F727" s="87" t="n"/>
      <c r="G727" s="87" t="n"/>
      <c r="H727" s="88" t="n"/>
      <c r="I727" s="89">
        <f>IF($G727="","",IF($F727="",IFERROR(INDEX(Setup!$C$21:$C$60,MATCH("|"&amp;UPPER(TRIM($G727)),Setup!$Q$21:$Q$60,0)),"NO RATE"),IFERROR(INDEX(Setup!$C$21:$C$60,MATCH(UPPER(TRIM($F727))&amp;"|"&amp;UPPER(TRIM($G727)),Setup!$P$21:$P$60,0)),IFERROR(INDEX(Setup!$C$21:$C$60,MATCH(UPPER(TRIM($G727))&amp;"|"&amp;UPPER(TRIM($F727)),Setup!$P$21:$P$60,0)),"NO RATE"))))</f>
        <v/>
      </c>
      <c r="J727" s="90" t="n"/>
      <c r="K727" s="89">
        <f>IF(OR($G727="",$H727="",NOT(ISNUMBER($I727))),"",ROUND($H727*$I727*(1+IF($J727="",Setup!$B$16,$J727)),2))</f>
        <v/>
      </c>
      <c r="L727" s="89">
        <f>IF($K727="","",ROUND($K727*Setup!$B$13,2))</f>
        <v/>
      </c>
      <c r="M727" s="89">
        <f>IF($K727="","",$K727-$L727)</f>
        <v/>
      </c>
      <c r="N727" s="89">
        <f>IF(OR($M727="",$D727=""),"",ROUND($M727*IFERROR(IF(VLOOKUP($D727,Setup!$A$76:$C$87,3,FALSE)="",Setup!$B$14,VLOOKUP($D727,Setup!$A$76:$C$87,3,FALSE)),Setup!$B$14),2))</f>
        <v/>
      </c>
      <c r="O727" s="89">
        <f>IF(OR($M727="",$E727=""),"",ROUND($M727*IFERROR(IF(VLOOKUP($E727,Setup!$A$76:$C$87,3,FALSE)="",Setup!$B$15,VLOOKUP($E727,Setup!$A$76:$C$87,3,FALSE)),Setup!$B$15),2))</f>
        <v/>
      </c>
      <c r="P727" s="91" t="n"/>
      <c r="Q727" s="91" t="n"/>
      <c r="R727" s="91" t="n"/>
      <c r="S727" s="91" t="n"/>
      <c r="T727" s="91" t="n"/>
      <c r="U727" s="89">
        <f>IF($K727="","",SUM($R727:$T727))</f>
        <v/>
      </c>
      <c r="V727" s="89">
        <f>IF($K727="","",$M727-(N($N727)+N($O727)+IF($P727="",Setup!$B$17,$P727)+N($Q727))-N($U727))</f>
        <v/>
      </c>
      <c r="W727" s="86" t="n"/>
      <c r="X727" s="87" t="n"/>
      <c r="Z727" s="92">
        <f>IF($A727="","",DATE(YEAR($A727),MONTH($A727),1))</f>
        <v/>
      </c>
    </row>
    <row r="728">
      <c r="A728" s="93" t="n"/>
      <c r="B728" s="94" t="n"/>
      <c r="C728" s="94" t="n"/>
      <c r="D728" s="95" t="n"/>
      <c r="E728" s="95" t="n"/>
      <c r="F728" s="95" t="n"/>
      <c r="G728" s="95" t="n"/>
      <c r="H728" s="96" t="n"/>
      <c r="I728" s="89">
        <f>IF($G728="","",IF($F728="",IFERROR(INDEX(Setup!$C$21:$C$60,MATCH("|"&amp;UPPER(TRIM($G728)),Setup!$Q$21:$Q$60,0)),"NO RATE"),IFERROR(INDEX(Setup!$C$21:$C$60,MATCH(UPPER(TRIM($F728))&amp;"|"&amp;UPPER(TRIM($G728)),Setup!$P$21:$P$60,0)),IFERROR(INDEX(Setup!$C$21:$C$60,MATCH(UPPER(TRIM($G728))&amp;"|"&amp;UPPER(TRIM($F728)),Setup!$P$21:$P$60,0)),"NO RATE"))))</f>
        <v/>
      </c>
      <c r="J728" s="97" t="n"/>
      <c r="K728" s="89">
        <f>IF(OR($G728="",$H728="",NOT(ISNUMBER($I728))),"",ROUND($H728*$I728*(1+IF($J728="",Setup!$B$16,$J728)),2))</f>
        <v/>
      </c>
      <c r="L728" s="89">
        <f>IF($K728="","",ROUND($K728*Setup!$B$13,2))</f>
        <v/>
      </c>
      <c r="M728" s="89">
        <f>IF($K728="","",$K728-$L728)</f>
        <v/>
      </c>
      <c r="N728" s="89">
        <f>IF(OR($M728="",$D728=""),"",ROUND($M728*IFERROR(IF(VLOOKUP($D728,Setup!$A$76:$C$87,3,FALSE)="",Setup!$B$14,VLOOKUP($D728,Setup!$A$76:$C$87,3,FALSE)),Setup!$B$14),2))</f>
        <v/>
      </c>
      <c r="O728" s="89">
        <f>IF(OR($M728="",$E728=""),"",ROUND($M728*IFERROR(IF(VLOOKUP($E728,Setup!$A$76:$C$87,3,FALSE)="",Setup!$B$15,VLOOKUP($E728,Setup!$A$76:$C$87,3,FALSE)),Setup!$B$15),2))</f>
        <v/>
      </c>
      <c r="P728" s="98" t="n"/>
      <c r="Q728" s="98" t="n"/>
      <c r="R728" s="98" t="n"/>
      <c r="S728" s="98" t="n"/>
      <c r="T728" s="98" t="n"/>
      <c r="U728" s="89">
        <f>IF($K728="","",SUM($R728:$T728))</f>
        <v/>
      </c>
      <c r="V728" s="89">
        <f>IF($K728="","",$M728-(N($N728)+N($O728)+IF($P728="",Setup!$B$17,$P728)+N($Q728))-N($U728))</f>
        <v/>
      </c>
      <c r="W728" s="94" t="n"/>
      <c r="X728" s="95" t="n"/>
      <c r="Z728" s="92">
        <f>IF($A728="","",DATE(YEAR($A728),MONTH($A728),1))</f>
        <v/>
      </c>
    </row>
    <row r="729">
      <c r="A729" s="85" t="n"/>
      <c r="B729" s="86" t="n"/>
      <c r="C729" s="86" t="n"/>
      <c r="D729" s="87" t="n"/>
      <c r="E729" s="87" t="n"/>
      <c r="F729" s="87" t="n"/>
      <c r="G729" s="87" t="n"/>
      <c r="H729" s="88" t="n"/>
      <c r="I729" s="89">
        <f>IF($G729="","",IF($F729="",IFERROR(INDEX(Setup!$C$21:$C$60,MATCH("|"&amp;UPPER(TRIM($G729)),Setup!$Q$21:$Q$60,0)),"NO RATE"),IFERROR(INDEX(Setup!$C$21:$C$60,MATCH(UPPER(TRIM($F729))&amp;"|"&amp;UPPER(TRIM($G729)),Setup!$P$21:$P$60,0)),IFERROR(INDEX(Setup!$C$21:$C$60,MATCH(UPPER(TRIM($G729))&amp;"|"&amp;UPPER(TRIM($F729)),Setup!$P$21:$P$60,0)),"NO RATE"))))</f>
        <v/>
      </c>
      <c r="J729" s="90" t="n"/>
      <c r="K729" s="89">
        <f>IF(OR($G729="",$H729="",NOT(ISNUMBER($I729))),"",ROUND($H729*$I729*(1+IF($J729="",Setup!$B$16,$J729)),2))</f>
        <v/>
      </c>
      <c r="L729" s="89">
        <f>IF($K729="","",ROUND($K729*Setup!$B$13,2))</f>
        <v/>
      </c>
      <c r="M729" s="89">
        <f>IF($K729="","",$K729-$L729)</f>
        <v/>
      </c>
      <c r="N729" s="89">
        <f>IF(OR($M729="",$D729=""),"",ROUND($M729*IFERROR(IF(VLOOKUP($D729,Setup!$A$76:$C$87,3,FALSE)="",Setup!$B$14,VLOOKUP($D729,Setup!$A$76:$C$87,3,FALSE)),Setup!$B$14),2))</f>
        <v/>
      </c>
      <c r="O729" s="89">
        <f>IF(OR($M729="",$E729=""),"",ROUND($M729*IFERROR(IF(VLOOKUP($E729,Setup!$A$76:$C$87,3,FALSE)="",Setup!$B$15,VLOOKUP($E729,Setup!$A$76:$C$87,3,FALSE)),Setup!$B$15),2))</f>
        <v/>
      </c>
      <c r="P729" s="91" t="n"/>
      <c r="Q729" s="91" t="n"/>
      <c r="R729" s="91" t="n"/>
      <c r="S729" s="91" t="n"/>
      <c r="T729" s="91" t="n"/>
      <c r="U729" s="89">
        <f>IF($K729="","",SUM($R729:$T729))</f>
        <v/>
      </c>
      <c r="V729" s="89">
        <f>IF($K729="","",$M729-(N($N729)+N($O729)+IF($P729="",Setup!$B$17,$P729)+N($Q729))-N($U729))</f>
        <v/>
      </c>
      <c r="W729" s="86" t="n"/>
      <c r="X729" s="87" t="n"/>
      <c r="Z729" s="92">
        <f>IF($A729="","",DATE(YEAR($A729),MONTH($A729),1))</f>
        <v/>
      </c>
    </row>
    <row r="730">
      <c r="A730" s="93" t="n"/>
      <c r="B730" s="94" t="n"/>
      <c r="C730" s="94" t="n"/>
      <c r="D730" s="95" t="n"/>
      <c r="E730" s="95" t="n"/>
      <c r="F730" s="95" t="n"/>
      <c r="G730" s="95" t="n"/>
      <c r="H730" s="96" t="n"/>
      <c r="I730" s="89">
        <f>IF($G730="","",IF($F730="",IFERROR(INDEX(Setup!$C$21:$C$60,MATCH("|"&amp;UPPER(TRIM($G730)),Setup!$Q$21:$Q$60,0)),"NO RATE"),IFERROR(INDEX(Setup!$C$21:$C$60,MATCH(UPPER(TRIM($F730))&amp;"|"&amp;UPPER(TRIM($G730)),Setup!$P$21:$P$60,0)),IFERROR(INDEX(Setup!$C$21:$C$60,MATCH(UPPER(TRIM($G730))&amp;"|"&amp;UPPER(TRIM($F730)),Setup!$P$21:$P$60,0)),"NO RATE"))))</f>
        <v/>
      </c>
      <c r="J730" s="97" t="n"/>
      <c r="K730" s="89">
        <f>IF(OR($G730="",$H730="",NOT(ISNUMBER($I730))),"",ROUND($H730*$I730*(1+IF($J730="",Setup!$B$16,$J730)),2))</f>
        <v/>
      </c>
      <c r="L730" s="89">
        <f>IF($K730="","",ROUND($K730*Setup!$B$13,2))</f>
        <v/>
      </c>
      <c r="M730" s="89">
        <f>IF($K730="","",$K730-$L730)</f>
        <v/>
      </c>
      <c r="N730" s="89">
        <f>IF(OR($M730="",$D730=""),"",ROUND($M730*IFERROR(IF(VLOOKUP($D730,Setup!$A$76:$C$87,3,FALSE)="",Setup!$B$14,VLOOKUP($D730,Setup!$A$76:$C$87,3,FALSE)),Setup!$B$14),2))</f>
        <v/>
      </c>
      <c r="O730" s="89">
        <f>IF(OR($M730="",$E730=""),"",ROUND($M730*IFERROR(IF(VLOOKUP($E730,Setup!$A$76:$C$87,3,FALSE)="",Setup!$B$15,VLOOKUP($E730,Setup!$A$76:$C$87,3,FALSE)),Setup!$B$15),2))</f>
        <v/>
      </c>
      <c r="P730" s="98" t="n"/>
      <c r="Q730" s="98" t="n"/>
      <c r="R730" s="98" t="n"/>
      <c r="S730" s="98" t="n"/>
      <c r="T730" s="98" t="n"/>
      <c r="U730" s="89">
        <f>IF($K730="","",SUM($R730:$T730))</f>
        <v/>
      </c>
      <c r="V730" s="89">
        <f>IF($K730="","",$M730-(N($N730)+N($O730)+IF($P730="",Setup!$B$17,$P730)+N($Q730))-N($U730))</f>
        <v/>
      </c>
      <c r="W730" s="94" t="n"/>
      <c r="X730" s="95" t="n"/>
      <c r="Z730" s="92">
        <f>IF($A730="","",DATE(YEAR($A730),MONTH($A730),1))</f>
        <v/>
      </c>
    </row>
    <row r="731">
      <c r="A731" s="85" t="n"/>
      <c r="B731" s="86" t="n"/>
      <c r="C731" s="86" t="n"/>
      <c r="D731" s="87" t="n"/>
      <c r="E731" s="87" t="n"/>
      <c r="F731" s="87" t="n"/>
      <c r="G731" s="87" t="n"/>
      <c r="H731" s="88" t="n"/>
      <c r="I731" s="89">
        <f>IF($G731="","",IF($F731="",IFERROR(INDEX(Setup!$C$21:$C$60,MATCH("|"&amp;UPPER(TRIM($G731)),Setup!$Q$21:$Q$60,0)),"NO RATE"),IFERROR(INDEX(Setup!$C$21:$C$60,MATCH(UPPER(TRIM($F731))&amp;"|"&amp;UPPER(TRIM($G731)),Setup!$P$21:$P$60,0)),IFERROR(INDEX(Setup!$C$21:$C$60,MATCH(UPPER(TRIM($G731))&amp;"|"&amp;UPPER(TRIM($F731)),Setup!$P$21:$P$60,0)),"NO RATE"))))</f>
        <v/>
      </c>
      <c r="J731" s="90" t="n"/>
      <c r="K731" s="89">
        <f>IF(OR($G731="",$H731="",NOT(ISNUMBER($I731))),"",ROUND($H731*$I731*(1+IF($J731="",Setup!$B$16,$J731)),2))</f>
        <v/>
      </c>
      <c r="L731" s="89">
        <f>IF($K731="","",ROUND($K731*Setup!$B$13,2))</f>
        <v/>
      </c>
      <c r="M731" s="89">
        <f>IF($K731="","",$K731-$L731)</f>
        <v/>
      </c>
      <c r="N731" s="89">
        <f>IF(OR($M731="",$D731=""),"",ROUND($M731*IFERROR(IF(VLOOKUP($D731,Setup!$A$76:$C$87,3,FALSE)="",Setup!$B$14,VLOOKUP($D731,Setup!$A$76:$C$87,3,FALSE)),Setup!$B$14),2))</f>
        <v/>
      </c>
      <c r="O731" s="89">
        <f>IF(OR($M731="",$E731=""),"",ROUND($M731*IFERROR(IF(VLOOKUP($E731,Setup!$A$76:$C$87,3,FALSE)="",Setup!$B$15,VLOOKUP($E731,Setup!$A$76:$C$87,3,FALSE)),Setup!$B$15),2))</f>
        <v/>
      </c>
      <c r="P731" s="91" t="n"/>
      <c r="Q731" s="91" t="n"/>
      <c r="R731" s="91" t="n"/>
      <c r="S731" s="91" t="n"/>
      <c r="T731" s="91" t="n"/>
      <c r="U731" s="89">
        <f>IF($K731="","",SUM($R731:$T731))</f>
        <v/>
      </c>
      <c r="V731" s="89">
        <f>IF($K731="","",$M731-(N($N731)+N($O731)+IF($P731="",Setup!$B$17,$P731)+N($Q731))-N($U731))</f>
        <v/>
      </c>
      <c r="W731" s="86" t="n"/>
      <c r="X731" s="87" t="n"/>
      <c r="Z731" s="92">
        <f>IF($A731="","",DATE(YEAR($A731),MONTH($A731),1))</f>
        <v/>
      </c>
    </row>
    <row r="732">
      <c r="A732" s="93" t="n"/>
      <c r="B732" s="94" t="n"/>
      <c r="C732" s="94" t="n"/>
      <c r="D732" s="95" t="n"/>
      <c r="E732" s="95" t="n"/>
      <c r="F732" s="95" t="n"/>
      <c r="G732" s="95" t="n"/>
      <c r="H732" s="96" t="n"/>
      <c r="I732" s="89">
        <f>IF($G732="","",IF($F732="",IFERROR(INDEX(Setup!$C$21:$C$60,MATCH("|"&amp;UPPER(TRIM($G732)),Setup!$Q$21:$Q$60,0)),"NO RATE"),IFERROR(INDEX(Setup!$C$21:$C$60,MATCH(UPPER(TRIM($F732))&amp;"|"&amp;UPPER(TRIM($G732)),Setup!$P$21:$P$60,0)),IFERROR(INDEX(Setup!$C$21:$C$60,MATCH(UPPER(TRIM($G732))&amp;"|"&amp;UPPER(TRIM($F732)),Setup!$P$21:$P$60,0)),"NO RATE"))))</f>
        <v/>
      </c>
      <c r="J732" s="97" t="n"/>
      <c r="K732" s="89">
        <f>IF(OR($G732="",$H732="",NOT(ISNUMBER($I732))),"",ROUND($H732*$I732*(1+IF($J732="",Setup!$B$16,$J732)),2))</f>
        <v/>
      </c>
      <c r="L732" s="89">
        <f>IF($K732="","",ROUND($K732*Setup!$B$13,2))</f>
        <v/>
      </c>
      <c r="M732" s="89">
        <f>IF($K732="","",$K732-$L732)</f>
        <v/>
      </c>
      <c r="N732" s="89">
        <f>IF(OR($M732="",$D732=""),"",ROUND($M732*IFERROR(IF(VLOOKUP($D732,Setup!$A$76:$C$87,3,FALSE)="",Setup!$B$14,VLOOKUP($D732,Setup!$A$76:$C$87,3,FALSE)),Setup!$B$14),2))</f>
        <v/>
      </c>
      <c r="O732" s="89">
        <f>IF(OR($M732="",$E732=""),"",ROUND($M732*IFERROR(IF(VLOOKUP($E732,Setup!$A$76:$C$87,3,FALSE)="",Setup!$B$15,VLOOKUP($E732,Setup!$A$76:$C$87,3,FALSE)),Setup!$B$15),2))</f>
        <v/>
      </c>
      <c r="P732" s="98" t="n"/>
      <c r="Q732" s="98" t="n"/>
      <c r="R732" s="98" t="n"/>
      <c r="S732" s="98" t="n"/>
      <c r="T732" s="98" t="n"/>
      <c r="U732" s="89">
        <f>IF($K732="","",SUM($R732:$T732))</f>
        <v/>
      </c>
      <c r="V732" s="89">
        <f>IF($K732="","",$M732-(N($N732)+N($O732)+IF($P732="",Setup!$B$17,$P732)+N($Q732))-N($U732))</f>
        <v/>
      </c>
      <c r="W732" s="94" t="n"/>
      <c r="X732" s="95" t="n"/>
      <c r="Z732" s="92">
        <f>IF($A732="","",DATE(YEAR($A732),MONTH($A732),1))</f>
        <v/>
      </c>
    </row>
    <row r="733">
      <c r="A733" s="85" t="n"/>
      <c r="B733" s="86" t="n"/>
      <c r="C733" s="86" t="n"/>
      <c r="D733" s="87" t="n"/>
      <c r="E733" s="87" t="n"/>
      <c r="F733" s="87" t="n"/>
      <c r="G733" s="87" t="n"/>
      <c r="H733" s="88" t="n"/>
      <c r="I733" s="89">
        <f>IF($G733="","",IF($F733="",IFERROR(INDEX(Setup!$C$21:$C$60,MATCH("|"&amp;UPPER(TRIM($G733)),Setup!$Q$21:$Q$60,0)),"NO RATE"),IFERROR(INDEX(Setup!$C$21:$C$60,MATCH(UPPER(TRIM($F733))&amp;"|"&amp;UPPER(TRIM($G733)),Setup!$P$21:$P$60,0)),IFERROR(INDEX(Setup!$C$21:$C$60,MATCH(UPPER(TRIM($G733))&amp;"|"&amp;UPPER(TRIM($F733)),Setup!$P$21:$P$60,0)),"NO RATE"))))</f>
        <v/>
      </c>
      <c r="J733" s="90" t="n"/>
      <c r="K733" s="89">
        <f>IF(OR($G733="",$H733="",NOT(ISNUMBER($I733))),"",ROUND($H733*$I733*(1+IF($J733="",Setup!$B$16,$J733)),2))</f>
        <v/>
      </c>
      <c r="L733" s="89">
        <f>IF($K733="","",ROUND($K733*Setup!$B$13,2))</f>
        <v/>
      </c>
      <c r="M733" s="89">
        <f>IF($K733="","",$K733-$L733)</f>
        <v/>
      </c>
      <c r="N733" s="89">
        <f>IF(OR($M733="",$D733=""),"",ROUND($M733*IFERROR(IF(VLOOKUP($D733,Setup!$A$76:$C$87,3,FALSE)="",Setup!$B$14,VLOOKUP($D733,Setup!$A$76:$C$87,3,FALSE)),Setup!$B$14),2))</f>
        <v/>
      </c>
      <c r="O733" s="89">
        <f>IF(OR($M733="",$E733=""),"",ROUND($M733*IFERROR(IF(VLOOKUP($E733,Setup!$A$76:$C$87,3,FALSE)="",Setup!$B$15,VLOOKUP($E733,Setup!$A$76:$C$87,3,FALSE)),Setup!$B$15),2))</f>
        <v/>
      </c>
      <c r="P733" s="91" t="n"/>
      <c r="Q733" s="91" t="n"/>
      <c r="R733" s="91" t="n"/>
      <c r="S733" s="91" t="n"/>
      <c r="T733" s="91" t="n"/>
      <c r="U733" s="89">
        <f>IF($K733="","",SUM($R733:$T733))</f>
        <v/>
      </c>
      <c r="V733" s="89">
        <f>IF($K733="","",$M733-(N($N733)+N($O733)+IF($P733="",Setup!$B$17,$P733)+N($Q733))-N($U733))</f>
        <v/>
      </c>
      <c r="W733" s="86" t="n"/>
      <c r="X733" s="87" t="n"/>
      <c r="Z733" s="92">
        <f>IF($A733="","",DATE(YEAR($A733),MONTH($A733),1))</f>
        <v/>
      </c>
    </row>
    <row r="734">
      <c r="A734" s="93" t="n"/>
      <c r="B734" s="94" t="n"/>
      <c r="C734" s="94" t="n"/>
      <c r="D734" s="95" t="n"/>
      <c r="E734" s="95" t="n"/>
      <c r="F734" s="95" t="n"/>
      <c r="G734" s="95" t="n"/>
      <c r="H734" s="96" t="n"/>
      <c r="I734" s="89">
        <f>IF($G734="","",IF($F734="",IFERROR(INDEX(Setup!$C$21:$C$60,MATCH("|"&amp;UPPER(TRIM($G734)),Setup!$Q$21:$Q$60,0)),"NO RATE"),IFERROR(INDEX(Setup!$C$21:$C$60,MATCH(UPPER(TRIM($F734))&amp;"|"&amp;UPPER(TRIM($G734)),Setup!$P$21:$P$60,0)),IFERROR(INDEX(Setup!$C$21:$C$60,MATCH(UPPER(TRIM($G734))&amp;"|"&amp;UPPER(TRIM($F734)),Setup!$P$21:$P$60,0)),"NO RATE"))))</f>
        <v/>
      </c>
      <c r="J734" s="97" t="n"/>
      <c r="K734" s="89">
        <f>IF(OR($G734="",$H734="",NOT(ISNUMBER($I734))),"",ROUND($H734*$I734*(1+IF($J734="",Setup!$B$16,$J734)),2))</f>
        <v/>
      </c>
      <c r="L734" s="89">
        <f>IF($K734="","",ROUND($K734*Setup!$B$13,2))</f>
        <v/>
      </c>
      <c r="M734" s="89">
        <f>IF($K734="","",$K734-$L734)</f>
        <v/>
      </c>
      <c r="N734" s="89">
        <f>IF(OR($M734="",$D734=""),"",ROUND($M734*IFERROR(IF(VLOOKUP($D734,Setup!$A$76:$C$87,3,FALSE)="",Setup!$B$14,VLOOKUP($D734,Setup!$A$76:$C$87,3,FALSE)),Setup!$B$14),2))</f>
        <v/>
      </c>
      <c r="O734" s="89">
        <f>IF(OR($M734="",$E734=""),"",ROUND($M734*IFERROR(IF(VLOOKUP($E734,Setup!$A$76:$C$87,3,FALSE)="",Setup!$B$15,VLOOKUP($E734,Setup!$A$76:$C$87,3,FALSE)),Setup!$B$15),2))</f>
        <v/>
      </c>
      <c r="P734" s="98" t="n"/>
      <c r="Q734" s="98" t="n"/>
      <c r="R734" s="98" t="n"/>
      <c r="S734" s="98" t="n"/>
      <c r="T734" s="98" t="n"/>
      <c r="U734" s="89">
        <f>IF($K734="","",SUM($R734:$T734))</f>
        <v/>
      </c>
      <c r="V734" s="89">
        <f>IF($K734="","",$M734-(N($N734)+N($O734)+IF($P734="",Setup!$B$17,$P734)+N($Q734))-N($U734))</f>
        <v/>
      </c>
      <c r="W734" s="94" t="n"/>
      <c r="X734" s="95" t="n"/>
      <c r="Z734" s="92">
        <f>IF($A734="","",DATE(YEAR($A734),MONTH($A734),1))</f>
        <v/>
      </c>
    </row>
    <row r="735">
      <c r="A735" s="85" t="n"/>
      <c r="B735" s="86" t="n"/>
      <c r="C735" s="86" t="n"/>
      <c r="D735" s="87" t="n"/>
      <c r="E735" s="87" t="n"/>
      <c r="F735" s="87" t="n"/>
      <c r="G735" s="87" t="n"/>
      <c r="H735" s="88" t="n"/>
      <c r="I735" s="89">
        <f>IF($G735="","",IF($F735="",IFERROR(INDEX(Setup!$C$21:$C$60,MATCH("|"&amp;UPPER(TRIM($G735)),Setup!$Q$21:$Q$60,0)),"NO RATE"),IFERROR(INDEX(Setup!$C$21:$C$60,MATCH(UPPER(TRIM($F735))&amp;"|"&amp;UPPER(TRIM($G735)),Setup!$P$21:$P$60,0)),IFERROR(INDEX(Setup!$C$21:$C$60,MATCH(UPPER(TRIM($G735))&amp;"|"&amp;UPPER(TRIM($F735)),Setup!$P$21:$P$60,0)),"NO RATE"))))</f>
        <v/>
      </c>
      <c r="J735" s="90" t="n"/>
      <c r="K735" s="89">
        <f>IF(OR($G735="",$H735="",NOT(ISNUMBER($I735))),"",ROUND($H735*$I735*(1+IF($J735="",Setup!$B$16,$J735)),2))</f>
        <v/>
      </c>
      <c r="L735" s="89">
        <f>IF($K735="","",ROUND($K735*Setup!$B$13,2))</f>
        <v/>
      </c>
      <c r="M735" s="89">
        <f>IF($K735="","",$K735-$L735)</f>
        <v/>
      </c>
      <c r="N735" s="89">
        <f>IF(OR($M735="",$D735=""),"",ROUND($M735*IFERROR(IF(VLOOKUP($D735,Setup!$A$76:$C$87,3,FALSE)="",Setup!$B$14,VLOOKUP($D735,Setup!$A$76:$C$87,3,FALSE)),Setup!$B$14),2))</f>
        <v/>
      </c>
      <c r="O735" s="89">
        <f>IF(OR($M735="",$E735=""),"",ROUND($M735*IFERROR(IF(VLOOKUP($E735,Setup!$A$76:$C$87,3,FALSE)="",Setup!$B$15,VLOOKUP($E735,Setup!$A$76:$C$87,3,FALSE)),Setup!$B$15),2))</f>
        <v/>
      </c>
      <c r="P735" s="91" t="n"/>
      <c r="Q735" s="91" t="n"/>
      <c r="R735" s="91" t="n"/>
      <c r="S735" s="91" t="n"/>
      <c r="T735" s="91" t="n"/>
      <c r="U735" s="89">
        <f>IF($K735="","",SUM($R735:$T735))</f>
        <v/>
      </c>
      <c r="V735" s="89">
        <f>IF($K735="","",$M735-(N($N735)+N($O735)+IF($P735="",Setup!$B$17,$P735)+N($Q735))-N($U735))</f>
        <v/>
      </c>
      <c r="W735" s="86" t="n"/>
      <c r="X735" s="87" t="n"/>
      <c r="Z735" s="92">
        <f>IF($A735="","",DATE(YEAR($A735),MONTH($A735),1))</f>
        <v/>
      </c>
    </row>
    <row r="736">
      <c r="A736" s="93" t="n"/>
      <c r="B736" s="94" t="n"/>
      <c r="C736" s="94" t="n"/>
      <c r="D736" s="95" t="n"/>
      <c r="E736" s="95" t="n"/>
      <c r="F736" s="95" t="n"/>
      <c r="G736" s="95" t="n"/>
      <c r="H736" s="96" t="n"/>
      <c r="I736" s="89">
        <f>IF($G736="","",IF($F736="",IFERROR(INDEX(Setup!$C$21:$C$60,MATCH("|"&amp;UPPER(TRIM($G736)),Setup!$Q$21:$Q$60,0)),"NO RATE"),IFERROR(INDEX(Setup!$C$21:$C$60,MATCH(UPPER(TRIM($F736))&amp;"|"&amp;UPPER(TRIM($G736)),Setup!$P$21:$P$60,0)),IFERROR(INDEX(Setup!$C$21:$C$60,MATCH(UPPER(TRIM($G736))&amp;"|"&amp;UPPER(TRIM($F736)),Setup!$P$21:$P$60,0)),"NO RATE"))))</f>
        <v/>
      </c>
      <c r="J736" s="97" t="n"/>
      <c r="K736" s="89">
        <f>IF(OR($G736="",$H736="",NOT(ISNUMBER($I736))),"",ROUND($H736*$I736*(1+IF($J736="",Setup!$B$16,$J736)),2))</f>
        <v/>
      </c>
      <c r="L736" s="89">
        <f>IF($K736="","",ROUND($K736*Setup!$B$13,2))</f>
        <v/>
      </c>
      <c r="M736" s="89">
        <f>IF($K736="","",$K736-$L736)</f>
        <v/>
      </c>
      <c r="N736" s="89">
        <f>IF(OR($M736="",$D736=""),"",ROUND($M736*IFERROR(IF(VLOOKUP($D736,Setup!$A$76:$C$87,3,FALSE)="",Setup!$B$14,VLOOKUP($D736,Setup!$A$76:$C$87,3,FALSE)),Setup!$B$14),2))</f>
        <v/>
      </c>
      <c r="O736" s="89">
        <f>IF(OR($M736="",$E736=""),"",ROUND($M736*IFERROR(IF(VLOOKUP($E736,Setup!$A$76:$C$87,3,FALSE)="",Setup!$B$15,VLOOKUP($E736,Setup!$A$76:$C$87,3,FALSE)),Setup!$B$15),2))</f>
        <v/>
      </c>
      <c r="P736" s="98" t="n"/>
      <c r="Q736" s="98" t="n"/>
      <c r="R736" s="98" t="n"/>
      <c r="S736" s="98" t="n"/>
      <c r="T736" s="98" t="n"/>
      <c r="U736" s="89">
        <f>IF($K736="","",SUM($R736:$T736))</f>
        <v/>
      </c>
      <c r="V736" s="89">
        <f>IF($K736="","",$M736-(N($N736)+N($O736)+IF($P736="",Setup!$B$17,$P736)+N($Q736))-N($U736))</f>
        <v/>
      </c>
      <c r="W736" s="94" t="n"/>
      <c r="X736" s="95" t="n"/>
      <c r="Z736" s="92">
        <f>IF($A736="","",DATE(YEAR($A736),MONTH($A736),1))</f>
        <v/>
      </c>
    </row>
    <row r="737">
      <c r="A737" s="85" t="n"/>
      <c r="B737" s="86" t="n"/>
      <c r="C737" s="86" t="n"/>
      <c r="D737" s="87" t="n"/>
      <c r="E737" s="87" t="n"/>
      <c r="F737" s="87" t="n"/>
      <c r="G737" s="87" t="n"/>
      <c r="H737" s="88" t="n"/>
      <c r="I737" s="89">
        <f>IF($G737="","",IF($F737="",IFERROR(INDEX(Setup!$C$21:$C$60,MATCH("|"&amp;UPPER(TRIM($G737)),Setup!$Q$21:$Q$60,0)),"NO RATE"),IFERROR(INDEX(Setup!$C$21:$C$60,MATCH(UPPER(TRIM($F737))&amp;"|"&amp;UPPER(TRIM($G737)),Setup!$P$21:$P$60,0)),IFERROR(INDEX(Setup!$C$21:$C$60,MATCH(UPPER(TRIM($G737))&amp;"|"&amp;UPPER(TRIM($F737)),Setup!$P$21:$P$60,0)),"NO RATE"))))</f>
        <v/>
      </c>
      <c r="J737" s="90" t="n"/>
      <c r="K737" s="89">
        <f>IF(OR($G737="",$H737="",NOT(ISNUMBER($I737))),"",ROUND($H737*$I737*(1+IF($J737="",Setup!$B$16,$J737)),2))</f>
        <v/>
      </c>
      <c r="L737" s="89">
        <f>IF($K737="","",ROUND($K737*Setup!$B$13,2))</f>
        <v/>
      </c>
      <c r="M737" s="89">
        <f>IF($K737="","",$K737-$L737)</f>
        <v/>
      </c>
      <c r="N737" s="89">
        <f>IF(OR($M737="",$D737=""),"",ROUND($M737*IFERROR(IF(VLOOKUP($D737,Setup!$A$76:$C$87,3,FALSE)="",Setup!$B$14,VLOOKUP($D737,Setup!$A$76:$C$87,3,FALSE)),Setup!$B$14),2))</f>
        <v/>
      </c>
      <c r="O737" s="89">
        <f>IF(OR($M737="",$E737=""),"",ROUND($M737*IFERROR(IF(VLOOKUP($E737,Setup!$A$76:$C$87,3,FALSE)="",Setup!$B$15,VLOOKUP($E737,Setup!$A$76:$C$87,3,FALSE)),Setup!$B$15),2))</f>
        <v/>
      </c>
      <c r="P737" s="91" t="n"/>
      <c r="Q737" s="91" t="n"/>
      <c r="R737" s="91" t="n"/>
      <c r="S737" s="91" t="n"/>
      <c r="T737" s="91" t="n"/>
      <c r="U737" s="89">
        <f>IF($K737="","",SUM($R737:$T737))</f>
        <v/>
      </c>
      <c r="V737" s="89">
        <f>IF($K737="","",$M737-(N($N737)+N($O737)+IF($P737="",Setup!$B$17,$P737)+N($Q737))-N($U737))</f>
        <v/>
      </c>
      <c r="W737" s="86" t="n"/>
      <c r="X737" s="87" t="n"/>
      <c r="Z737" s="92">
        <f>IF($A737="","",DATE(YEAR($A737),MONTH($A737),1))</f>
        <v/>
      </c>
    </row>
    <row r="738">
      <c r="A738" s="93" t="n"/>
      <c r="B738" s="94" t="n"/>
      <c r="C738" s="94" t="n"/>
      <c r="D738" s="95" t="n"/>
      <c r="E738" s="95" t="n"/>
      <c r="F738" s="95" t="n"/>
      <c r="G738" s="95" t="n"/>
      <c r="H738" s="96" t="n"/>
      <c r="I738" s="89">
        <f>IF($G738="","",IF($F738="",IFERROR(INDEX(Setup!$C$21:$C$60,MATCH("|"&amp;UPPER(TRIM($G738)),Setup!$Q$21:$Q$60,0)),"NO RATE"),IFERROR(INDEX(Setup!$C$21:$C$60,MATCH(UPPER(TRIM($F738))&amp;"|"&amp;UPPER(TRIM($G738)),Setup!$P$21:$P$60,0)),IFERROR(INDEX(Setup!$C$21:$C$60,MATCH(UPPER(TRIM($G738))&amp;"|"&amp;UPPER(TRIM($F738)),Setup!$P$21:$P$60,0)),"NO RATE"))))</f>
        <v/>
      </c>
      <c r="J738" s="97" t="n"/>
      <c r="K738" s="89">
        <f>IF(OR($G738="",$H738="",NOT(ISNUMBER($I738))),"",ROUND($H738*$I738*(1+IF($J738="",Setup!$B$16,$J738)),2))</f>
        <v/>
      </c>
      <c r="L738" s="89">
        <f>IF($K738="","",ROUND($K738*Setup!$B$13,2))</f>
        <v/>
      </c>
      <c r="M738" s="89">
        <f>IF($K738="","",$K738-$L738)</f>
        <v/>
      </c>
      <c r="N738" s="89">
        <f>IF(OR($M738="",$D738=""),"",ROUND($M738*IFERROR(IF(VLOOKUP($D738,Setup!$A$76:$C$87,3,FALSE)="",Setup!$B$14,VLOOKUP($D738,Setup!$A$76:$C$87,3,FALSE)),Setup!$B$14),2))</f>
        <v/>
      </c>
      <c r="O738" s="89">
        <f>IF(OR($M738="",$E738=""),"",ROUND($M738*IFERROR(IF(VLOOKUP($E738,Setup!$A$76:$C$87,3,FALSE)="",Setup!$B$15,VLOOKUP($E738,Setup!$A$76:$C$87,3,FALSE)),Setup!$B$15),2))</f>
        <v/>
      </c>
      <c r="P738" s="98" t="n"/>
      <c r="Q738" s="98" t="n"/>
      <c r="R738" s="98" t="n"/>
      <c r="S738" s="98" t="n"/>
      <c r="T738" s="98" t="n"/>
      <c r="U738" s="89">
        <f>IF($K738="","",SUM($R738:$T738))</f>
        <v/>
      </c>
      <c r="V738" s="89">
        <f>IF($K738="","",$M738-(N($N738)+N($O738)+IF($P738="",Setup!$B$17,$P738)+N($Q738))-N($U738))</f>
        <v/>
      </c>
      <c r="W738" s="94" t="n"/>
      <c r="X738" s="95" t="n"/>
      <c r="Z738" s="92">
        <f>IF($A738="","",DATE(YEAR($A738),MONTH($A738),1))</f>
        <v/>
      </c>
    </row>
    <row r="739">
      <c r="A739" s="85" t="n"/>
      <c r="B739" s="86" t="n"/>
      <c r="C739" s="86" t="n"/>
      <c r="D739" s="87" t="n"/>
      <c r="E739" s="87" t="n"/>
      <c r="F739" s="87" t="n"/>
      <c r="G739" s="87" t="n"/>
      <c r="H739" s="88" t="n"/>
      <c r="I739" s="89">
        <f>IF($G739="","",IF($F739="",IFERROR(INDEX(Setup!$C$21:$C$60,MATCH("|"&amp;UPPER(TRIM($G739)),Setup!$Q$21:$Q$60,0)),"NO RATE"),IFERROR(INDEX(Setup!$C$21:$C$60,MATCH(UPPER(TRIM($F739))&amp;"|"&amp;UPPER(TRIM($G739)),Setup!$P$21:$P$60,0)),IFERROR(INDEX(Setup!$C$21:$C$60,MATCH(UPPER(TRIM($G739))&amp;"|"&amp;UPPER(TRIM($F739)),Setup!$P$21:$P$60,0)),"NO RATE"))))</f>
        <v/>
      </c>
      <c r="J739" s="90" t="n"/>
      <c r="K739" s="89">
        <f>IF(OR($G739="",$H739="",NOT(ISNUMBER($I739))),"",ROUND($H739*$I739*(1+IF($J739="",Setup!$B$16,$J739)),2))</f>
        <v/>
      </c>
      <c r="L739" s="89">
        <f>IF($K739="","",ROUND($K739*Setup!$B$13,2))</f>
        <v/>
      </c>
      <c r="M739" s="89">
        <f>IF($K739="","",$K739-$L739)</f>
        <v/>
      </c>
      <c r="N739" s="89">
        <f>IF(OR($M739="",$D739=""),"",ROUND($M739*IFERROR(IF(VLOOKUP($D739,Setup!$A$76:$C$87,3,FALSE)="",Setup!$B$14,VLOOKUP($D739,Setup!$A$76:$C$87,3,FALSE)),Setup!$B$14),2))</f>
        <v/>
      </c>
      <c r="O739" s="89">
        <f>IF(OR($M739="",$E739=""),"",ROUND($M739*IFERROR(IF(VLOOKUP($E739,Setup!$A$76:$C$87,3,FALSE)="",Setup!$B$15,VLOOKUP($E739,Setup!$A$76:$C$87,3,FALSE)),Setup!$B$15),2))</f>
        <v/>
      </c>
      <c r="P739" s="91" t="n"/>
      <c r="Q739" s="91" t="n"/>
      <c r="R739" s="91" t="n"/>
      <c r="S739" s="91" t="n"/>
      <c r="T739" s="91" t="n"/>
      <c r="U739" s="89">
        <f>IF($K739="","",SUM($R739:$T739))</f>
        <v/>
      </c>
      <c r="V739" s="89">
        <f>IF($K739="","",$M739-(N($N739)+N($O739)+IF($P739="",Setup!$B$17,$P739)+N($Q739))-N($U739))</f>
        <v/>
      </c>
      <c r="W739" s="86" t="n"/>
      <c r="X739" s="87" t="n"/>
      <c r="Z739" s="92">
        <f>IF($A739="","",DATE(YEAR($A739),MONTH($A739),1))</f>
        <v/>
      </c>
    </row>
    <row r="740">
      <c r="A740" s="93" t="n"/>
      <c r="B740" s="94" t="n"/>
      <c r="C740" s="94" t="n"/>
      <c r="D740" s="95" t="n"/>
      <c r="E740" s="95" t="n"/>
      <c r="F740" s="95" t="n"/>
      <c r="G740" s="95" t="n"/>
      <c r="H740" s="96" t="n"/>
      <c r="I740" s="89">
        <f>IF($G740="","",IF($F740="",IFERROR(INDEX(Setup!$C$21:$C$60,MATCH("|"&amp;UPPER(TRIM($G740)),Setup!$Q$21:$Q$60,0)),"NO RATE"),IFERROR(INDEX(Setup!$C$21:$C$60,MATCH(UPPER(TRIM($F740))&amp;"|"&amp;UPPER(TRIM($G740)),Setup!$P$21:$P$60,0)),IFERROR(INDEX(Setup!$C$21:$C$60,MATCH(UPPER(TRIM($G740))&amp;"|"&amp;UPPER(TRIM($F740)),Setup!$P$21:$P$60,0)),"NO RATE"))))</f>
        <v/>
      </c>
      <c r="J740" s="97" t="n"/>
      <c r="K740" s="89">
        <f>IF(OR($G740="",$H740="",NOT(ISNUMBER($I740))),"",ROUND($H740*$I740*(1+IF($J740="",Setup!$B$16,$J740)),2))</f>
        <v/>
      </c>
      <c r="L740" s="89">
        <f>IF($K740="","",ROUND($K740*Setup!$B$13,2))</f>
        <v/>
      </c>
      <c r="M740" s="89">
        <f>IF($K740="","",$K740-$L740)</f>
        <v/>
      </c>
      <c r="N740" s="89">
        <f>IF(OR($M740="",$D740=""),"",ROUND($M740*IFERROR(IF(VLOOKUP($D740,Setup!$A$76:$C$87,3,FALSE)="",Setup!$B$14,VLOOKUP($D740,Setup!$A$76:$C$87,3,FALSE)),Setup!$B$14),2))</f>
        <v/>
      </c>
      <c r="O740" s="89">
        <f>IF(OR($M740="",$E740=""),"",ROUND($M740*IFERROR(IF(VLOOKUP($E740,Setup!$A$76:$C$87,3,FALSE)="",Setup!$B$15,VLOOKUP($E740,Setup!$A$76:$C$87,3,FALSE)),Setup!$B$15),2))</f>
        <v/>
      </c>
      <c r="P740" s="98" t="n"/>
      <c r="Q740" s="98" t="n"/>
      <c r="R740" s="98" t="n"/>
      <c r="S740" s="98" t="n"/>
      <c r="T740" s="98" t="n"/>
      <c r="U740" s="89">
        <f>IF($K740="","",SUM($R740:$T740))</f>
        <v/>
      </c>
      <c r="V740" s="89">
        <f>IF($K740="","",$M740-(N($N740)+N($O740)+IF($P740="",Setup!$B$17,$P740)+N($Q740))-N($U740))</f>
        <v/>
      </c>
      <c r="W740" s="94" t="n"/>
      <c r="X740" s="95" t="n"/>
      <c r="Z740" s="92">
        <f>IF($A740="","",DATE(YEAR($A740),MONTH($A740),1))</f>
        <v/>
      </c>
    </row>
    <row r="741">
      <c r="A741" s="85" t="n"/>
      <c r="B741" s="86" t="n"/>
      <c r="C741" s="86" t="n"/>
      <c r="D741" s="87" t="n"/>
      <c r="E741" s="87" t="n"/>
      <c r="F741" s="87" t="n"/>
      <c r="G741" s="87" t="n"/>
      <c r="H741" s="88" t="n"/>
      <c r="I741" s="89">
        <f>IF($G741="","",IF($F741="",IFERROR(INDEX(Setup!$C$21:$C$60,MATCH("|"&amp;UPPER(TRIM($G741)),Setup!$Q$21:$Q$60,0)),"NO RATE"),IFERROR(INDEX(Setup!$C$21:$C$60,MATCH(UPPER(TRIM($F741))&amp;"|"&amp;UPPER(TRIM($G741)),Setup!$P$21:$P$60,0)),IFERROR(INDEX(Setup!$C$21:$C$60,MATCH(UPPER(TRIM($G741))&amp;"|"&amp;UPPER(TRIM($F741)),Setup!$P$21:$P$60,0)),"NO RATE"))))</f>
        <v/>
      </c>
      <c r="J741" s="90" t="n"/>
      <c r="K741" s="89">
        <f>IF(OR($G741="",$H741="",NOT(ISNUMBER($I741))),"",ROUND($H741*$I741*(1+IF($J741="",Setup!$B$16,$J741)),2))</f>
        <v/>
      </c>
      <c r="L741" s="89">
        <f>IF($K741="","",ROUND($K741*Setup!$B$13,2))</f>
        <v/>
      </c>
      <c r="M741" s="89">
        <f>IF($K741="","",$K741-$L741)</f>
        <v/>
      </c>
      <c r="N741" s="89">
        <f>IF(OR($M741="",$D741=""),"",ROUND($M741*IFERROR(IF(VLOOKUP($D741,Setup!$A$76:$C$87,3,FALSE)="",Setup!$B$14,VLOOKUP($D741,Setup!$A$76:$C$87,3,FALSE)),Setup!$B$14),2))</f>
        <v/>
      </c>
      <c r="O741" s="89">
        <f>IF(OR($M741="",$E741=""),"",ROUND($M741*IFERROR(IF(VLOOKUP($E741,Setup!$A$76:$C$87,3,FALSE)="",Setup!$B$15,VLOOKUP($E741,Setup!$A$76:$C$87,3,FALSE)),Setup!$B$15),2))</f>
        <v/>
      </c>
      <c r="P741" s="91" t="n"/>
      <c r="Q741" s="91" t="n"/>
      <c r="R741" s="91" t="n"/>
      <c r="S741" s="91" t="n"/>
      <c r="T741" s="91" t="n"/>
      <c r="U741" s="89">
        <f>IF($K741="","",SUM($R741:$T741))</f>
        <v/>
      </c>
      <c r="V741" s="89">
        <f>IF($K741="","",$M741-(N($N741)+N($O741)+IF($P741="",Setup!$B$17,$P741)+N($Q741))-N($U741))</f>
        <v/>
      </c>
      <c r="W741" s="86" t="n"/>
      <c r="X741" s="87" t="n"/>
      <c r="Z741" s="92">
        <f>IF($A741="","",DATE(YEAR($A741),MONTH($A741),1))</f>
        <v/>
      </c>
    </row>
    <row r="742">
      <c r="A742" s="93" t="n"/>
      <c r="B742" s="94" t="n"/>
      <c r="C742" s="94" t="n"/>
      <c r="D742" s="95" t="n"/>
      <c r="E742" s="95" t="n"/>
      <c r="F742" s="95" t="n"/>
      <c r="G742" s="95" t="n"/>
      <c r="H742" s="96" t="n"/>
      <c r="I742" s="89">
        <f>IF($G742="","",IF($F742="",IFERROR(INDEX(Setup!$C$21:$C$60,MATCH("|"&amp;UPPER(TRIM($G742)),Setup!$Q$21:$Q$60,0)),"NO RATE"),IFERROR(INDEX(Setup!$C$21:$C$60,MATCH(UPPER(TRIM($F742))&amp;"|"&amp;UPPER(TRIM($G742)),Setup!$P$21:$P$60,0)),IFERROR(INDEX(Setup!$C$21:$C$60,MATCH(UPPER(TRIM($G742))&amp;"|"&amp;UPPER(TRIM($F742)),Setup!$P$21:$P$60,0)),"NO RATE"))))</f>
        <v/>
      </c>
      <c r="J742" s="97" t="n"/>
      <c r="K742" s="89">
        <f>IF(OR($G742="",$H742="",NOT(ISNUMBER($I742))),"",ROUND($H742*$I742*(1+IF($J742="",Setup!$B$16,$J742)),2))</f>
        <v/>
      </c>
      <c r="L742" s="89">
        <f>IF($K742="","",ROUND($K742*Setup!$B$13,2))</f>
        <v/>
      </c>
      <c r="M742" s="89">
        <f>IF($K742="","",$K742-$L742)</f>
        <v/>
      </c>
      <c r="N742" s="89">
        <f>IF(OR($M742="",$D742=""),"",ROUND($M742*IFERROR(IF(VLOOKUP($D742,Setup!$A$76:$C$87,3,FALSE)="",Setup!$B$14,VLOOKUP($D742,Setup!$A$76:$C$87,3,FALSE)),Setup!$B$14),2))</f>
        <v/>
      </c>
      <c r="O742" s="89">
        <f>IF(OR($M742="",$E742=""),"",ROUND($M742*IFERROR(IF(VLOOKUP($E742,Setup!$A$76:$C$87,3,FALSE)="",Setup!$B$15,VLOOKUP($E742,Setup!$A$76:$C$87,3,FALSE)),Setup!$B$15),2))</f>
        <v/>
      </c>
      <c r="P742" s="98" t="n"/>
      <c r="Q742" s="98" t="n"/>
      <c r="R742" s="98" t="n"/>
      <c r="S742" s="98" t="n"/>
      <c r="T742" s="98" t="n"/>
      <c r="U742" s="89">
        <f>IF($K742="","",SUM($R742:$T742))</f>
        <v/>
      </c>
      <c r="V742" s="89">
        <f>IF($K742="","",$M742-(N($N742)+N($O742)+IF($P742="",Setup!$B$17,$P742)+N($Q742))-N($U742))</f>
        <v/>
      </c>
      <c r="W742" s="94" t="n"/>
      <c r="X742" s="95" t="n"/>
      <c r="Z742" s="92">
        <f>IF($A742="","",DATE(YEAR($A742),MONTH($A742),1))</f>
        <v/>
      </c>
    </row>
    <row r="743">
      <c r="A743" s="85" t="n"/>
      <c r="B743" s="86" t="n"/>
      <c r="C743" s="86" t="n"/>
      <c r="D743" s="87" t="n"/>
      <c r="E743" s="87" t="n"/>
      <c r="F743" s="87" t="n"/>
      <c r="G743" s="87" t="n"/>
      <c r="H743" s="88" t="n"/>
      <c r="I743" s="89">
        <f>IF($G743="","",IF($F743="",IFERROR(INDEX(Setup!$C$21:$C$60,MATCH("|"&amp;UPPER(TRIM($G743)),Setup!$Q$21:$Q$60,0)),"NO RATE"),IFERROR(INDEX(Setup!$C$21:$C$60,MATCH(UPPER(TRIM($F743))&amp;"|"&amp;UPPER(TRIM($G743)),Setup!$P$21:$P$60,0)),IFERROR(INDEX(Setup!$C$21:$C$60,MATCH(UPPER(TRIM($G743))&amp;"|"&amp;UPPER(TRIM($F743)),Setup!$P$21:$P$60,0)),"NO RATE"))))</f>
        <v/>
      </c>
      <c r="J743" s="90" t="n"/>
      <c r="K743" s="89">
        <f>IF(OR($G743="",$H743="",NOT(ISNUMBER($I743))),"",ROUND($H743*$I743*(1+IF($J743="",Setup!$B$16,$J743)),2))</f>
        <v/>
      </c>
      <c r="L743" s="89">
        <f>IF($K743="","",ROUND($K743*Setup!$B$13,2))</f>
        <v/>
      </c>
      <c r="M743" s="89">
        <f>IF($K743="","",$K743-$L743)</f>
        <v/>
      </c>
      <c r="N743" s="89">
        <f>IF(OR($M743="",$D743=""),"",ROUND($M743*IFERROR(IF(VLOOKUP($D743,Setup!$A$76:$C$87,3,FALSE)="",Setup!$B$14,VLOOKUP($D743,Setup!$A$76:$C$87,3,FALSE)),Setup!$B$14),2))</f>
        <v/>
      </c>
      <c r="O743" s="89">
        <f>IF(OR($M743="",$E743=""),"",ROUND($M743*IFERROR(IF(VLOOKUP($E743,Setup!$A$76:$C$87,3,FALSE)="",Setup!$B$15,VLOOKUP($E743,Setup!$A$76:$C$87,3,FALSE)),Setup!$B$15),2))</f>
        <v/>
      </c>
      <c r="P743" s="91" t="n"/>
      <c r="Q743" s="91" t="n"/>
      <c r="R743" s="91" t="n"/>
      <c r="S743" s="91" t="n"/>
      <c r="T743" s="91" t="n"/>
      <c r="U743" s="89">
        <f>IF($K743="","",SUM($R743:$T743))</f>
        <v/>
      </c>
      <c r="V743" s="89">
        <f>IF($K743="","",$M743-(N($N743)+N($O743)+IF($P743="",Setup!$B$17,$P743)+N($Q743))-N($U743))</f>
        <v/>
      </c>
      <c r="W743" s="86" t="n"/>
      <c r="X743" s="87" t="n"/>
      <c r="Z743" s="92">
        <f>IF($A743="","",DATE(YEAR($A743),MONTH($A743),1))</f>
        <v/>
      </c>
    </row>
    <row r="744">
      <c r="A744" s="93" t="n"/>
      <c r="B744" s="94" t="n"/>
      <c r="C744" s="94" t="n"/>
      <c r="D744" s="95" t="n"/>
      <c r="E744" s="95" t="n"/>
      <c r="F744" s="95" t="n"/>
      <c r="G744" s="95" t="n"/>
      <c r="H744" s="96" t="n"/>
      <c r="I744" s="89">
        <f>IF($G744="","",IF($F744="",IFERROR(INDEX(Setup!$C$21:$C$60,MATCH("|"&amp;UPPER(TRIM($G744)),Setup!$Q$21:$Q$60,0)),"NO RATE"),IFERROR(INDEX(Setup!$C$21:$C$60,MATCH(UPPER(TRIM($F744))&amp;"|"&amp;UPPER(TRIM($G744)),Setup!$P$21:$P$60,0)),IFERROR(INDEX(Setup!$C$21:$C$60,MATCH(UPPER(TRIM($G744))&amp;"|"&amp;UPPER(TRIM($F744)),Setup!$P$21:$P$60,0)),"NO RATE"))))</f>
        <v/>
      </c>
      <c r="J744" s="97" t="n"/>
      <c r="K744" s="89">
        <f>IF(OR($G744="",$H744="",NOT(ISNUMBER($I744))),"",ROUND($H744*$I744*(1+IF($J744="",Setup!$B$16,$J744)),2))</f>
        <v/>
      </c>
      <c r="L744" s="89">
        <f>IF($K744="","",ROUND($K744*Setup!$B$13,2))</f>
        <v/>
      </c>
      <c r="M744" s="89">
        <f>IF($K744="","",$K744-$L744)</f>
        <v/>
      </c>
      <c r="N744" s="89">
        <f>IF(OR($M744="",$D744=""),"",ROUND($M744*IFERROR(IF(VLOOKUP($D744,Setup!$A$76:$C$87,3,FALSE)="",Setup!$B$14,VLOOKUP($D744,Setup!$A$76:$C$87,3,FALSE)),Setup!$B$14),2))</f>
        <v/>
      </c>
      <c r="O744" s="89">
        <f>IF(OR($M744="",$E744=""),"",ROUND($M744*IFERROR(IF(VLOOKUP($E744,Setup!$A$76:$C$87,3,FALSE)="",Setup!$B$15,VLOOKUP($E744,Setup!$A$76:$C$87,3,FALSE)),Setup!$B$15),2))</f>
        <v/>
      </c>
      <c r="P744" s="98" t="n"/>
      <c r="Q744" s="98" t="n"/>
      <c r="R744" s="98" t="n"/>
      <c r="S744" s="98" t="n"/>
      <c r="T744" s="98" t="n"/>
      <c r="U744" s="89">
        <f>IF($K744="","",SUM($R744:$T744))</f>
        <v/>
      </c>
      <c r="V744" s="89">
        <f>IF($K744="","",$M744-(N($N744)+N($O744)+IF($P744="",Setup!$B$17,$P744)+N($Q744))-N($U744))</f>
        <v/>
      </c>
      <c r="W744" s="94" t="n"/>
      <c r="X744" s="95" t="n"/>
      <c r="Z744" s="92">
        <f>IF($A744="","",DATE(YEAR($A744),MONTH($A744),1))</f>
        <v/>
      </c>
    </row>
    <row r="745">
      <c r="A745" s="85" t="n"/>
      <c r="B745" s="86" t="n"/>
      <c r="C745" s="86" t="n"/>
      <c r="D745" s="87" t="n"/>
      <c r="E745" s="87" t="n"/>
      <c r="F745" s="87" t="n"/>
      <c r="G745" s="87" t="n"/>
      <c r="H745" s="88" t="n"/>
      <c r="I745" s="89">
        <f>IF($G745="","",IF($F745="",IFERROR(INDEX(Setup!$C$21:$C$60,MATCH("|"&amp;UPPER(TRIM($G745)),Setup!$Q$21:$Q$60,0)),"NO RATE"),IFERROR(INDEX(Setup!$C$21:$C$60,MATCH(UPPER(TRIM($F745))&amp;"|"&amp;UPPER(TRIM($G745)),Setup!$P$21:$P$60,0)),IFERROR(INDEX(Setup!$C$21:$C$60,MATCH(UPPER(TRIM($G745))&amp;"|"&amp;UPPER(TRIM($F745)),Setup!$P$21:$P$60,0)),"NO RATE"))))</f>
        <v/>
      </c>
      <c r="J745" s="90" t="n"/>
      <c r="K745" s="89">
        <f>IF(OR($G745="",$H745="",NOT(ISNUMBER($I745))),"",ROUND($H745*$I745*(1+IF($J745="",Setup!$B$16,$J745)),2))</f>
        <v/>
      </c>
      <c r="L745" s="89">
        <f>IF($K745="","",ROUND($K745*Setup!$B$13,2))</f>
        <v/>
      </c>
      <c r="M745" s="89">
        <f>IF($K745="","",$K745-$L745)</f>
        <v/>
      </c>
      <c r="N745" s="89">
        <f>IF(OR($M745="",$D745=""),"",ROUND($M745*IFERROR(IF(VLOOKUP($D745,Setup!$A$76:$C$87,3,FALSE)="",Setup!$B$14,VLOOKUP($D745,Setup!$A$76:$C$87,3,FALSE)),Setup!$B$14),2))</f>
        <v/>
      </c>
      <c r="O745" s="89">
        <f>IF(OR($M745="",$E745=""),"",ROUND($M745*IFERROR(IF(VLOOKUP($E745,Setup!$A$76:$C$87,3,FALSE)="",Setup!$B$15,VLOOKUP($E745,Setup!$A$76:$C$87,3,FALSE)),Setup!$B$15),2))</f>
        <v/>
      </c>
      <c r="P745" s="91" t="n"/>
      <c r="Q745" s="91" t="n"/>
      <c r="R745" s="91" t="n"/>
      <c r="S745" s="91" t="n"/>
      <c r="T745" s="91" t="n"/>
      <c r="U745" s="89">
        <f>IF($K745="","",SUM($R745:$T745))</f>
        <v/>
      </c>
      <c r="V745" s="89">
        <f>IF($K745="","",$M745-(N($N745)+N($O745)+IF($P745="",Setup!$B$17,$P745)+N($Q745))-N($U745))</f>
        <v/>
      </c>
      <c r="W745" s="86" t="n"/>
      <c r="X745" s="87" t="n"/>
      <c r="Z745" s="92">
        <f>IF($A745="","",DATE(YEAR($A745),MONTH($A745),1))</f>
        <v/>
      </c>
    </row>
    <row r="746">
      <c r="A746" s="93" t="n"/>
      <c r="B746" s="94" t="n"/>
      <c r="C746" s="94" t="n"/>
      <c r="D746" s="95" t="n"/>
      <c r="E746" s="95" t="n"/>
      <c r="F746" s="95" t="n"/>
      <c r="G746" s="95" t="n"/>
      <c r="H746" s="96" t="n"/>
      <c r="I746" s="89">
        <f>IF($G746="","",IF($F746="",IFERROR(INDEX(Setup!$C$21:$C$60,MATCH("|"&amp;UPPER(TRIM($G746)),Setup!$Q$21:$Q$60,0)),"NO RATE"),IFERROR(INDEX(Setup!$C$21:$C$60,MATCH(UPPER(TRIM($F746))&amp;"|"&amp;UPPER(TRIM($G746)),Setup!$P$21:$P$60,0)),IFERROR(INDEX(Setup!$C$21:$C$60,MATCH(UPPER(TRIM($G746))&amp;"|"&amp;UPPER(TRIM($F746)),Setup!$P$21:$P$60,0)),"NO RATE"))))</f>
        <v/>
      </c>
      <c r="J746" s="97" t="n"/>
      <c r="K746" s="89">
        <f>IF(OR($G746="",$H746="",NOT(ISNUMBER($I746))),"",ROUND($H746*$I746*(1+IF($J746="",Setup!$B$16,$J746)),2))</f>
        <v/>
      </c>
      <c r="L746" s="89">
        <f>IF($K746="","",ROUND($K746*Setup!$B$13,2))</f>
        <v/>
      </c>
      <c r="M746" s="89">
        <f>IF($K746="","",$K746-$L746)</f>
        <v/>
      </c>
      <c r="N746" s="89">
        <f>IF(OR($M746="",$D746=""),"",ROUND($M746*IFERROR(IF(VLOOKUP($D746,Setup!$A$76:$C$87,3,FALSE)="",Setup!$B$14,VLOOKUP($D746,Setup!$A$76:$C$87,3,FALSE)),Setup!$B$14),2))</f>
        <v/>
      </c>
      <c r="O746" s="89">
        <f>IF(OR($M746="",$E746=""),"",ROUND($M746*IFERROR(IF(VLOOKUP($E746,Setup!$A$76:$C$87,3,FALSE)="",Setup!$B$15,VLOOKUP($E746,Setup!$A$76:$C$87,3,FALSE)),Setup!$B$15),2))</f>
        <v/>
      </c>
      <c r="P746" s="98" t="n"/>
      <c r="Q746" s="98" t="n"/>
      <c r="R746" s="98" t="n"/>
      <c r="S746" s="98" t="n"/>
      <c r="T746" s="98" t="n"/>
      <c r="U746" s="89">
        <f>IF($K746="","",SUM($R746:$T746))</f>
        <v/>
      </c>
      <c r="V746" s="89">
        <f>IF($K746="","",$M746-(N($N746)+N($O746)+IF($P746="",Setup!$B$17,$P746)+N($Q746))-N($U746))</f>
        <v/>
      </c>
      <c r="W746" s="94" t="n"/>
      <c r="X746" s="95" t="n"/>
      <c r="Z746" s="92">
        <f>IF($A746="","",DATE(YEAR($A746),MONTH($A746),1))</f>
        <v/>
      </c>
    </row>
    <row r="747">
      <c r="A747" s="85" t="n"/>
      <c r="B747" s="86" t="n"/>
      <c r="C747" s="86" t="n"/>
      <c r="D747" s="87" t="n"/>
      <c r="E747" s="87" t="n"/>
      <c r="F747" s="87" t="n"/>
      <c r="G747" s="87" t="n"/>
      <c r="H747" s="88" t="n"/>
      <c r="I747" s="89">
        <f>IF($G747="","",IF($F747="",IFERROR(INDEX(Setup!$C$21:$C$60,MATCH("|"&amp;UPPER(TRIM($G747)),Setup!$Q$21:$Q$60,0)),"NO RATE"),IFERROR(INDEX(Setup!$C$21:$C$60,MATCH(UPPER(TRIM($F747))&amp;"|"&amp;UPPER(TRIM($G747)),Setup!$P$21:$P$60,0)),IFERROR(INDEX(Setup!$C$21:$C$60,MATCH(UPPER(TRIM($G747))&amp;"|"&amp;UPPER(TRIM($F747)),Setup!$P$21:$P$60,0)),"NO RATE"))))</f>
        <v/>
      </c>
      <c r="J747" s="90" t="n"/>
      <c r="K747" s="89">
        <f>IF(OR($G747="",$H747="",NOT(ISNUMBER($I747))),"",ROUND($H747*$I747*(1+IF($J747="",Setup!$B$16,$J747)),2))</f>
        <v/>
      </c>
      <c r="L747" s="89">
        <f>IF($K747="","",ROUND($K747*Setup!$B$13,2))</f>
        <v/>
      </c>
      <c r="M747" s="89">
        <f>IF($K747="","",$K747-$L747)</f>
        <v/>
      </c>
      <c r="N747" s="89">
        <f>IF(OR($M747="",$D747=""),"",ROUND($M747*IFERROR(IF(VLOOKUP($D747,Setup!$A$76:$C$87,3,FALSE)="",Setup!$B$14,VLOOKUP($D747,Setup!$A$76:$C$87,3,FALSE)),Setup!$B$14),2))</f>
        <v/>
      </c>
      <c r="O747" s="89">
        <f>IF(OR($M747="",$E747=""),"",ROUND($M747*IFERROR(IF(VLOOKUP($E747,Setup!$A$76:$C$87,3,FALSE)="",Setup!$B$15,VLOOKUP($E747,Setup!$A$76:$C$87,3,FALSE)),Setup!$B$15),2))</f>
        <v/>
      </c>
      <c r="P747" s="91" t="n"/>
      <c r="Q747" s="91" t="n"/>
      <c r="R747" s="91" t="n"/>
      <c r="S747" s="91" t="n"/>
      <c r="T747" s="91" t="n"/>
      <c r="U747" s="89">
        <f>IF($K747="","",SUM($R747:$T747))</f>
        <v/>
      </c>
      <c r="V747" s="89">
        <f>IF($K747="","",$M747-(N($N747)+N($O747)+IF($P747="",Setup!$B$17,$P747)+N($Q747))-N($U747))</f>
        <v/>
      </c>
      <c r="W747" s="86" t="n"/>
      <c r="X747" s="87" t="n"/>
      <c r="Z747" s="92">
        <f>IF($A747="","",DATE(YEAR($A747),MONTH($A747),1))</f>
        <v/>
      </c>
    </row>
    <row r="748">
      <c r="A748" s="93" t="n"/>
      <c r="B748" s="94" t="n"/>
      <c r="C748" s="94" t="n"/>
      <c r="D748" s="95" t="n"/>
      <c r="E748" s="95" t="n"/>
      <c r="F748" s="95" t="n"/>
      <c r="G748" s="95" t="n"/>
      <c r="H748" s="96" t="n"/>
      <c r="I748" s="89">
        <f>IF($G748="","",IF($F748="",IFERROR(INDEX(Setup!$C$21:$C$60,MATCH("|"&amp;UPPER(TRIM($G748)),Setup!$Q$21:$Q$60,0)),"NO RATE"),IFERROR(INDEX(Setup!$C$21:$C$60,MATCH(UPPER(TRIM($F748))&amp;"|"&amp;UPPER(TRIM($G748)),Setup!$P$21:$P$60,0)),IFERROR(INDEX(Setup!$C$21:$C$60,MATCH(UPPER(TRIM($G748))&amp;"|"&amp;UPPER(TRIM($F748)),Setup!$P$21:$P$60,0)),"NO RATE"))))</f>
        <v/>
      </c>
      <c r="J748" s="97" t="n"/>
      <c r="K748" s="89">
        <f>IF(OR($G748="",$H748="",NOT(ISNUMBER($I748))),"",ROUND($H748*$I748*(1+IF($J748="",Setup!$B$16,$J748)),2))</f>
        <v/>
      </c>
      <c r="L748" s="89">
        <f>IF($K748="","",ROUND($K748*Setup!$B$13,2))</f>
        <v/>
      </c>
      <c r="M748" s="89">
        <f>IF($K748="","",$K748-$L748)</f>
        <v/>
      </c>
      <c r="N748" s="89">
        <f>IF(OR($M748="",$D748=""),"",ROUND($M748*IFERROR(IF(VLOOKUP($D748,Setup!$A$76:$C$87,3,FALSE)="",Setup!$B$14,VLOOKUP($D748,Setup!$A$76:$C$87,3,FALSE)),Setup!$B$14),2))</f>
        <v/>
      </c>
      <c r="O748" s="89">
        <f>IF(OR($M748="",$E748=""),"",ROUND($M748*IFERROR(IF(VLOOKUP($E748,Setup!$A$76:$C$87,3,FALSE)="",Setup!$B$15,VLOOKUP($E748,Setup!$A$76:$C$87,3,FALSE)),Setup!$B$15),2))</f>
        <v/>
      </c>
      <c r="P748" s="98" t="n"/>
      <c r="Q748" s="98" t="n"/>
      <c r="R748" s="98" t="n"/>
      <c r="S748" s="98" t="n"/>
      <c r="T748" s="98" t="n"/>
      <c r="U748" s="89">
        <f>IF($K748="","",SUM($R748:$T748))</f>
        <v/>
      </c>
      <c r="V748" s="89">
        <f>IF($K748="","",$M748-(N($N748)+N($O748)+IF($P748="",Setup!$B$17,$P748)+N($Q748))-N($U748))</f>
        <v/>
      </c>
      <c r="W748" s="94" t="n"/>
      <c r="X748" s="95" t="n"/>
      <c r="Z748" s="92">
        <f>IF($A748="","",DATE(YEAR($A748),MONTH($A748),1))</f>
        <v/>
      </c>
    </row>
    <row r="749">
      <c r="A749" s="85" t="n"/>
      <c r="B749" s="86" t="n"/>
      <c r="C749" s="86" t="n"/>
      <c r="D749" s="87" t="n"/>
      <c r="E749" s="87" t="n"/>
      <c r="F749" s="87" t="n"/>
      <c r="G749" s="87" t="n"/>
      <c r="H749" s="88" t="n"/>
      <c r="I749" s="89">
        <f>IF($G749="","",IF($F749="",IFERROR(INDEX(Setup!$C$21:$C$60,MATCH("|"&amp;UPPER(TRIM($G749)),Setup!$Q$21:$Q$60,0)),"NO RATE"),IFERROR(INDEX(Setup!$C$21:$C$60,MATCH(UPPER(TRIM($F749))&amp;"|"&amp;UPPER(TRIM($G749)),Setup!$P$21:$P$60,0)),IFERROR(INDEX(Setup!$C$21:$C$60,MATCH(UPPER(TRIM($G749))&amp;"|"&amp;UPPER(TRIM($F749)),Setup!$P$21:$P$60,0)),"NO RATE"))))</f>
        <v/>
      </c>
      <c r="J749" s="90" t="n"/>
      <c r="K749" s="89">
        <f>IF(OR($G749="",$H749="",NOT(ISNUMBER($I749))),"",ROUND($H749*$I749*(1+IF($J749="",Setup!$B$16,$J749)),2))</f>
        <v/>
      </c>
      <c r="L749" s="89">
        <f>IF($K749="","",ROUND($K749*Setup!$B$13,2))</f>
        <v/>
      </c>
      <c r="M749" s="89">
        <f>IF($K749="","",$K749-$L749)</f>
        <v/>
      </c>
      <c r="N749" s="89">
        <f>IF(OR($M749="",$D749=""),"",ROUND($M749*IFERROR(IF(VLOOKUP($D749,Setup!$A$76:$C$87,3,FALSE)="",Setup!$B$14,VLOOKUP($D749,Setup!$A$76:$C$87,3,FALSE)),Setup!$B$14),2))</f>
        <v/>
      </c>
      <c r="O749" s="89">
        <f>IF(OR($M749="",$E749=""),"",ROUND($M749*IFERROR(IF(VLOOKUP($E749,Setup!$A$76:$C$87,3,FALSE)="",Setup!$B$15,VLOOKUP($E749,Setup!$A$76:$C$87,3,FALSE)),Setup!$B$15),2))</f>
        <v/>
      </c>
      <c r="P749" s="91" t="n"/>
      <c r="Q749" s="91" t="n"/>
      <c r="R749" s="91" t="n"/>
      <c r="S749" s="91" t="n"/>
      <c r="T749" s="91" t="n"/>
      <c r="U749" s="89">
        <f>IF($K749="","",SUM($R749:$T749))</f>
        <v/>
      </c>
      <c r="V749" s="89">
        <f>IF($K749="","",$M749-(N($N749)+N($O749)+IF($P749="",Setup!$B$17,$P749)+N($Q749))-N($U749))</f>
        <v/>
      </c>
      <c r="W749" s="86" t="n"/>
      <c r="X749" s="87" t="n"/>
      <c r="Z749" s="92">
        <f>IF($A749="","",DATE(YEAR($A749),MONTH($A749),1))</f>
        <v/>
      </c>
    </row>
    <row r="750">
      <c r="A750" s="93" t="n"/>
      <c r="B750" s="94" t="n"/>
      <c r="C750" s="94" t="n"/>
      <c r="D750" s="95" t="n"/>
      <c r="E750" s="95" t="n"/>
      <c r="F750" s="95" t="n"/>
      <c r="G750" s="95" t="n"/>
      <c r="H750" s="96" t="n"/>
      <c r="I750" s="89">
        <f>IF($G750="","",IF($F750="",IFERROR(INDEX(Setup!$C$21:$C$60,MATCH("|"&amp;UPPER(TRIM($G750)),Setup!$Q$21:$Q$60,0)),"NO RATE"),IFERROR(INDEX(Setup!$C$21:$C$60,MATCH(UPPER(TRIM($F750))&amp;"|"&amp;UPPER(TRIM($G750)),Setup!$P$21:$P$60,0)),IFERROR(INDEX(Setup!$C$21:$C$60,MATCH(UPPER(TRIM($G750))&amp;"|"&amp;UPPER(TRIM($F750)),Setup!$P$21:$P$60,0)),"NO RATE"))))</f>
        <v/>
      </c>
      <c r="J750" s="97" t="n"/>
      <c r="K750" s="89">
        <f>IF(OR($G750="",$H750="",NOT(ISNUMBER($I750))),"",ROUND($H750*$I750*(1+IF($J750="",Setup!$B$16,$J750)),2))</f>
        <v/>
      </c>
      <c r="L750" s="89">
        <f>IF($K750="","",ROUND($K750*Setup!$B$13,2))</f>
        <v/>
      </c>
      <c r="M750" s="89">
        <f>IF($K750="","",$K750-$L750)</f>
        <v/>
      </c>
      <c r="N750" s="89">
        <f>IF(OR($M750="",$D750=""),"",ROUND($M750*IFERROR(IF(VLOOKUP($D750,Setup!$A$76:$C$87,3,FALSE)="",Setup!$B$14,VLOOKUP($D750,Setup!$A$76:$C$87,3,FALSE)),Setup!$B$14),2))</f>
        <v/>
      </c>
      <c r="O750" s="89">
        <f>IF(OR($M750="",$E750=""),"",ROUND($M750*IFERROR(IF(VLOOKUP($E750,Setup!$A$76:$C$87,3,FALSE)="",Setup!$B$15,VLOOKUP($E750,Setup!$A$76:$C$87,3,FALSE)),Setup!$B$15),2))</f>
        <v/>
      </c>
      <c r="P750" s="98" t="n"/>
      <c r="Q750" s="98" t="n"/>
      <c r="R750" s="98" t="n"/>
      <c r="S750" s="98" t="n"/>
      <c r="T750" s="98" t="n"/>
      <c r="U750" s="89">
        <f>IF($K750="","",SUM($R750:$T750))</f>
        <v/>
      </c>
      <c r="V750" s="89">
        <f>IF($K750="","",$M750-(N($N750)+N($O750)+IF($P750="",Setup!$B$17,$P750)+N($Q750))-N($U750))</f>
        <v/>
      </c>
      <c r="W750" s="94" t="n"/>
      <c r="X750" s="95" t="n"/>
      <c r="Z750" s="92">
        <f>IF($A750="","",DATE(YEAR($A750),MONTH($A750),1))</f>
        <v/>
      </c>
    </row>
    <row r="751">
      <c r="A751" s="85" t="n"/>
      <c r="B751" s="86" t="n"/>
      <c r="C751" s="86" t="n"/>
      <c r="D751" s="87" t="n"/>
      <c r="E751" s="87" t="n"/>
      <c r="F751" s="87" t="n"/>
      <c r="G751" s="87" t="n"/>
      <c r="H751" s="88" t="n"/>
      <c r="I751" s="89">
        <f>IF($G751="","",IF($F751="",IFERROR(INDEX(Setup!$C$21:$C$60,MATCH("|"&amp;UPPER(TRIM($G751)),Setup!$Q$21:$Q$60,0)),"NO RATE"),IFERROR(INDEX(Setup!$C$21:$C$60,MATCH(UPPER(TRIM($F751))&amp;"|"&amp;UPPER(TRIM($G751)),Setup!$P$21:$P$60,0)),IFERROR(INDEX(Setup!$C$21:$C$60,MATCH(UPPER(TRIM($G751))&amp;"|"&amp;UPPER(TRIM($F751)),Setup!$P$21:$P$60,0)),"NO RATE"))))</f>
        <v/>
      </c>
      <c r="J751" s="90" t="n"/>
      <c r="K751" s="89">
        <f>IF(OR($G751="",$H751="",NOT(ISNUMBER($I751))),"",ROUND($H751*$I751*(1+IF($J751="",Setup!$B$16,$J751)),2))</f>
        <v/>
      </c>
      <c r="L751" s="89">
        <f>IF($K751="","",ROUND($K751*Setup!$B$13,2))</f>
        <v/>
      </c>
      <c r="M751" s="89">
        <f>IF($K751="","",$K751-$L751)</f>
        <v/>
      </c>
      <c r="N751" s="89">
        <f>IF(OR($M751="",$D751=""),"",ROUND($M751*IFERROR(IF(VLOOKUP($D751,Setup!$A$76:$C$87,3,FALSE)="",Setup!$B$14,VLOOKUP($D751,Setup!$A$76:$C$87,3,FALSE)),Setup!$B$14),2))</f>
        <v/>
      </c>
      <c r="O751" s="89">
        <f>IF(OR($M751="",$E751=""),"",ROUND($M751*IFERROR(IF(VLOOKUP($E751,Setup!$A$76:$C$87,3,FALSE)="",Setup!$B$15,VLOOKUP($E751,Setup!$A$76:$C$87,3,FALSE)),Setup!$B$15),2))</f>
        <v/>
      </c>
      <c r="P751" s="91" t="n"/>
      <c r="Q751" s="91" t="n"/>
      <c r="R751" s="91" t="n"/>
      <c r="S751" s="91" t="n"/>
      <c r="T751" s="91" t="n"/>
      <c r="U751" s="89">
        <f>IF($K751="","",SUM($R751:$T751))</f>
        <v/>
      </c>
      <c r="V751" s="89">
        <f>IF($K751="","",$M751-(N($N751)+N($O751)+IF($P751="",Setup!$B$17,$P751)+N($Q751))-N($U751))</f>
        <v/>
      </c>
      <c r="W751" s="86" t="n"/>
      <c r="X751" s="87" t="n"/>
      <c r="Z751" s="92">
        <f>IF($A751="","",DATE(YEAR($A751),MONTH($A751),1))</f>
        <v/>
      </c>
    </row>
    <row r="752">
      <c r="A752" s="93" t="n"/>
      <c r="B752" s="94" t="n"/>
      <c r="C752" s="94" t="n"/>
      <c r="D752" s="95" t="n"/>
      <c r="E752" s="95" t="n"/>
      <c r="F752" s="95" t="n"/>
      <c r="G752" s="95" t="n"/>
      <c r="H752" s="96" t="n"/>
      <c r="I752" s="89">
        <f>IF($G752="","",IF($F752="",IFERROR(INDEX(Setup!$C$21:$C$60,MATCH("|"&amp;UPPER(TRIM($G752)),Setup!$Q$21:$Q$60,0)),"NO RATE"),IFERROR(INDEX(Setup!$C$21:$C$60,MATCH(UPPER(TRIM($F752))&amp;"|"&amp;UPPER(TRIM($G752)),Setup!$P$21:$P$60,0)),IFERROR(INDEX(Setup!$C$21:$C$60,MATCH(UPPER(TRIM($G752))&amp;"|"&amp;UPPER(TRIM($F752)),Setup!$P$21:$P$60,0)),"NO RATE"))))</f>
        <v/>
      </c>
      <c r="J752" s="97" t="n"/>
      <c r="K752" s="89">
        <f>IF(OR($G752="",$H752="",NOT(ISNUMBER($I752))),"",ROUND($H752*$I752*(1+IF($J752="",Setup!$B$16,$J752)),2))</f>
        <v/>
      </c>
      <c r="L752" s="89">
        <f>IF($K752="","",ROUND($K752*Setup!$B$13,2))</f>
        <v/>
      </c>
      <c r="M752" s="89">
        <f>IF($K752="","",$K752-$L752)</f>
        <v/>
      </c>
      <c r="N752" s="89">
        <f>IF(OR($M752="",$D752=""),"",ROUND($M752*IFERROR(IF(VLOOKUP($D752,Setup!$A$76:$C$87,3,FALSE)="",Setup!$B$14,VLOOKUP($D752,Setup!$A$76:$C$87,3,FALSE)),Setup!$B$14),2))</f>
        <v/>
      </c>
      <c r="O752" s="89">
        <f>IF(OR($M752="",$E752=""),"",ROUND($M752*IFERROR(IF(VLOOKUP($E752,Setup!$A$76:$C$87,3,FALSE)="",Setup!$B$15,VLOOKUP($E752,Setup!$A$76:$C$87,3,FALSE)),Setup!$B$15),2))</f>
        <v/>
      </c>
      <c r="P752" s="98" t="n"/>
      <c r="Q752" s="98" t="n"/>
      <c r="R752" s="98" t="n"/>
      <c r="S752" s="98" t="n"/>
      <c r="T752" s="98" t="n"/>
      <c r="U752" s="89">
        <f>IF($K752="","",SUM($R752:$T752))</f>
        <v/>
      </c>
      <c r="V752" s="89">
        <f>IF($K752="","",$M752-(N($N752)+N($O752)+IF($P752="",Setup!$B$17,$P752)+N($Q752))-N($U752))</f>
        <v/>
      </c>
      <c r="W752" s="94" t="n"/>
      <c r="X752" s="95" t="n"/>
      <c r="Z752" s="92">
        <f>IF($A752="","",DATE(YEAR($A752),MONTH($A752),1))</f>
        <v/>
      </c>
    </row>
    <row r="753">
      <c r="A753" s="85" t="n"/>
      <c r="B753" s="86" t="n"/>
      <c r="C753" s="86" t="n"/>
      <c r="D753" s="87" t="n"/>
      <c r="E753" s="87" t="n"/>
      <c r="F753" s="87" t="n"/>
      <c r="G753" s="87" t="n"/>
      <c r="H753" s="88" t="n"/>
      <c r="I753" s="89">
        <f>IF($G753="","",IF($F753="",IFERROR(INDEX(Setup!$C$21:$C$60,MATCH("|"&amp;UPPER(TRIM($G753)),Setup!$Q$21:$Q$60,0)),"NO RATE"),IFERROR(INDEX(Setup!$C$21:$C$60,MATCH(UPPER(TRIM($F753))&amp;"|"&amp;UPPER(TRIM($G753)),Setup!$P$21:$P$60,0)),IFERROR(INDEX(Setup!$C$21:$C$60,MATCH(UPPER(TRIM($G753))&amp;"|"&amp;UPPER(TRIM($F753)),Setup!$P$21:$P$60,0)),"NO RATE"))))</f>
        <v/>
      </c>
      <c r="J753" s="90" t="n"/>
      <c r="K753" s="89">
        <f>IF(OR($G753="",$H753="",NOT(ISNUMBER($I753))),"",ROUND($H753*$I753*(1+IF($J753="",Setup!$B$16,$J753)),2))</f>
        <v/>
      </c>
      <c r="L753" s="89">
        <f>IF($K753="","",ROUND($K753*Setup!$B$13,2))</f>
        <v/>
      </c>
      <c r="M753" s="89">
        <f>IF($K753="","",$K753-$L753)</f>
        <v/>
      </c>
      <c r="N753" s="89">
        <f>IF(OR($M753="",$D753=""),"",ROUND($M753*IFERROR(IF(VLOOKUP($D753,Setup!$A$76:$C$87,3,FALSE)="",Setup!$B$14,VLOOKUP($D753,Setup!$A$76:$C$87,3,FALSE)),Setup!$B$14),2))</f>
        <v/>
      </c>
      <c r="O753" s="89">
        <f>IF(OR($M753="",$E753=""),"",ROUND($M753*IFERROR(IF(VLOOKUP($E753,Setup!$A$76:$C$87,3,FALSE)="",Setup!$B$15,VLOOKUP($E753,Setup!$A$76:$C$87,3,FALSE)),Setup!$B$15),2))</f>
        <v/>
      </c>
      <c r="P753" s="91" t="n"/>
      <c r="Q753" s="91" t="n"/>
      <c r="R753" s="91" t="n"/>
      <c r="S753" s="91" t="n"/>
      <c r="T753" s="91" t="n"/>
      <c r="U753" s="89">
        <f>IF($K753="","",SUM($R753:$T753))</f>
        <v/>
      </c>
      <c r="V753" s="89">
        <f>IF($K753="","",$M753-(N($N753)+N($O753)+IF($P753="",Setup!$B$17,$P753)+N($Q753))-N($U753))</f>
        <v/>
      </c>
      <c r="W753" s="86" t="n"/>
      <c r="X753" s="87" t="n"/>
      <c r="Z753" s="92">
        <f>IF($A753="","",DATE(YEAR($A753),MONTH($A753),1))</f>
        <v/>
      </c>
    </row>
    <row r="754">
      <c r="A754" s="93" t="n"/>
      <c r="B754" s="94" t="n"/>
      <c r="C754" s="94" t="n"/>
      <c r="D754" s="95" t="n"/>
      <c r="E754" s="95" t="n"/>
      <c r="F754" s="95" t="n"/>
      <c r="G754" s="95" t="n"/>
      <c r="H754" s="96" t="n"/>
      <c r="I754" s="89">
        <f>IF($G754="","",IF($F754="",IFERROR(INDEX(Setup!$C$21:$C$60,MATCH("|"&amp;UPPER(TRIM($G754)),Setup!$Q$21:$Q$60,0)),"NO RATE"),IFERROR(INDEX(Setup!$C$21:$C$60,MATCH(UPPER(TRIM($F754))&amp;"|"&amp;UPPER(TRIM($G754)),Setup!$P$21:$P$60,0)),IFERROR(INDEX(Setup!$C$21:$C$60,MATCH(UPPER(TRIM($G754))&amp;"|"&amp;UPPER(TRIM($F754)),Setup!$P$21:$P$60,0)),"NO RATE"))))</f>
        <v/>
      </c>
      <c r="J754" s="97" t="n"/>
      <c r="K754" s="89">
        <f>IF(OR($G754="",$H754="",NOT(ISNUMBER($I754))),"",ROUND($H754*$I754*(1+IF($J754="",Setup!$B$16,$J754)),2))</f>
        <v/>
      </c>
      <c r="L754" s="89">
        <f>IF($K754="","",ROUND($K754*Setup!$B$13,2))</f>
        <v/>
      </c>
      <c r="M754" s="89">
        <f>IF($K754="","",$K754-$L754)</f>
        <v/>
      </c>
      <c r="N754" s="89">
        <f>IF(OR($M754="",$D754=""),"",ROUND($M754*IFERROR(IF(VLOOKUP($D754,Setup!$A$76:$C$87,3,FALSE)="",Setup!$B$14,VLOOKUP($D754,Setup!$A$76:$C$87,3,FALSE)),Setup!$B$14),2))</f>
        <v/>
      </c>
      <c r="O754" s="89">
        <f>IF(OR($M754="",$E754=""),"",ROUND($M754*IFERROR(IF(VLOOKUP($E754,Setup!$A$76:$C$87,3,FALSE)="",Setup!$B$15,VLOOKUP($E754,Setup!$A$76:$C$87,3,FALSE)),Setup!$B$15),2))</f>
        <v/>
      </c>
      <c r="P754" s="98" t="n"/>
      <c r="Q754" s="98" t="n"/>
      <c r="R754" s="98" t="n"/>
      <c r="S754" s="98" t="n"/>
      <c r="T754" s="98" t="n"/>
      <c r="U754" s="89">
        <f>IF($K754="","",SUM($R754:$T754))</f>
        <v/>
      </c>
      <c r="V754" s="89">
        <f>IF($K754="","",$M754-(N($N754)+N($O754)+IF($P754="",Setup!$B$17,$P754)+N($Q754))-N($U754))</f>
        <v/>
      </c>
      <c r="W754" s="94" t="n"/>
      <c r="X754" s="95" t="n"/>
      <c r="Z754" s="92">
        <f>IF($A754="","",DATE(YEAR($A754),MONTH($A754),1))</f>
        <v/>
      </c>
    </row>
    <row r="755">
      <c r="A755" s="85" t="n"/>
      <c r="B755" s="86" t="n"/>
      <c r="C755" s="86" t="n"/>
      <c r="D755" s="87" t="n"/>
      <c r="E755" s="87" t="n"/>
      <c r="F755" s="87" t="n"/>
      <c r="G755" s="87" t="n"/>
      <c r="H755" s="88" t="n"/>
      <c r="I755" s="89">
        <f>IF($G755="","",IF($F755="",IFERROR(INDEX(Setup!$C$21:$C$60,MATCH("|"&amp;UPPER(TRIM($G755)),Setup!$Q$21:$Q$60,0)),"NO RATE"),IFERROR(INDEX(Setup!$C$21:$C$60,MATCH(UPPER(TRIM($F755))&amp;"|"&amp;UPPER(TRIM($G755)),Setup!$P$21:$P$60,0)),IFERROR(INDEX(Setup!$C$21:$C$60,MATCH(UPPER(TRIM($G755))&amp;"|"&amp;UPPER(TRIM($F755)),Setup!$P$21:$P$60,0)),"NO RATE"))))</f>
        <v/>
      </c>
      <c r="J755" s="90" t="n"/>
      <c r="K755" s="89">
        <f>IF(OR($G755="",$H755="",NOT(ISNUMBER($I755))),"",ROUND($H755*$I755*(1+IF($J755="",Setup!$B$16,$J755)),2))</f>
        <v/>
      </c>
      <c r="L755" s="89">
        <f>IF($K755="","",ROUND($K755*Setup!$B$13,2))</f>
        <v/>
      </c>
      <c r="M755" s="89">
        <f>IF($K755="","",$K755-$L755)</f>
        <v/>
      </c>
      <c r="N755" s="89">
        <f>IF(OR($M755="",$D755=""),"",ROUND($M755*IFERROR(IF(VLOOKUP($D755,Setup!$A$76:$C$87,3,FALSE)="",Setup!$B$14,VLOOKUP($D755,Setup!$A$76:$C$87,3,FALSE)),Setup!$B$14),2))</f>
        <v/>
      </c>
      <c r="O755" s="89">
        <f>IF(OR($M755="",$E755=""),"",ROUND($M755*IFERROR(IF(VLOOKUP($E755,Setup!$A$76:$C$87,3,FALSE)="",Setup!$B$15,VLOOKUP($E755,Setup!$A$76:$C$87,3,FALSE)),Setup!$B$15),2))</f>
        <v/>
      </c>
      <c r="P755" s="91" t="n"/>
      <c r="Q755" s="91" t="n"/>
      <c r="R755" s="91" t="n"/>
      <c r="S755" s="91" t="n"/>
      <c r="T755" s="91" t="n"/>
      <c r="U755" s="89">
        <f>IF($K755="","",SUM($R755:$T755))</f>
        <v/>
      </c>
      <c r="V755" s="89">
        <f>IF($K755="","",$M755-(N($N755)+N($O755)+IF($P755="",Setup!$B$17,$P755)+N($Q755))-N($U755))</f>
        <v/>
      </c>
      <c r="W755" s="86" t="n"/>
      <c r="X755" s="87" t="n"/>
      <c r="Z755" s="92">
        <f>IF($A755="","",DATE(YEAR($A755),MONTH($A755),1))</f>
        <v/>
      </c>
    </row>
    <row r="756">
      <c r="A756" s="93" t="n"/>
      <c r="B756" s="94" t="n"/>
      <c r="C756" s="94" t="n"/>
      <c r="D756" s="95" t="n"/>
      <c r="E756" s="95" t="n"/>
      <c r="F756" s="95" t="n"/>
      <c r="G756" s="95" t="n"/>
      <c r="H756" s="96" t="n"/>
      <c r="I756" s="89">
        <f>IF($G756="","",IF($F756="",IFERROR(INDEX(Setup!$C$21:$C$60,MATCH("|"&amp;UPPER(TRIM($G756)),Setup!$Q$21:$Q$60,0)),"NO RATE"),IFERROR(INDEX(Setup!$C$21:$C$60,MATCH(UPPER(TRIM($F756))&amp;"|"&amp;UPPER(TRIM($G756)),Setup!$P$21:$P$60,0)),IFERROR(INDEX(Setup!$C$21:$C$60,MATCH(UPPER(TRIM($G756))&amp;"|"&amp;UPPER(TRIM($F756)),Setup!$P$21:$P$60,0)),"NO RATE"))))</f>
        <v/>
      </c>
      <c r="J756" s="97" t="n"/>
      <c r="K756" s="89">
        <f>IF(OR($G756="",$H756="",NOT(ISNUMBER($I756))),"",ROUND($H756*$I756*(1+IF($J756="",Setup!$B$16,$J756)),2))</f>
        <v/>
      </c>
      <c r="L756" s="89">
        <f>IF($K756="","",ROUND($K756*Setup!$B$13,2))</f>
        <v/>
      </c>
      <c r="M756" s="89">
        <f>IF($K756="","",$K756-$L756)</f>
        <v/>
      </c>
      <c r="N756" s="89">
        <f>IF(OR($M756="",$D756=""),"",ROUND($M756*IFERROR(IF(VLOOKUP($D756,Setup!$A$76:$C$87,3,FALSE)="",Setup!$B$14,VLOOKUP($D756,Setup!$A$76:$C$87,3,FALSE)),Setup!$B$14),2))</f>
        <v/>
      </c>
      <c r="O756" s="89">
        <f>IF(OR($M756="",$E756=""),"",ROUND($M756*IFERROR(IF(VLOOKUP($E756,Setup!$A$76:$C$87,3,FALSE)="",Setup!$B$15,VLOOKUP($E756,Setup!$A$76:$C$87,3,FALSE)),Setup!$B$15),2))</f>
        <v/>
      </c>
      <c r="P756" s="98" t="n"/>
      <c r="Q756" s="98" t="n"/>
      <c r="R756" s="98" t="n"/>
      <c r="S756" s="98" t="n"/>
      <c r="T756" s="98" t="n"/>
      <c r="U756" s="89">
        <f>IF($K756="","",SUM($R756:$T756))</f>
        <v/>
      </c>
      <c r="V756" s="89">
        <f>IF($K756="","",$M756-(N($N756)+N($O756)+IF($P756="",Setup!$B$17,$P756)+N($Q756))-N($U756))</f>
        <v/>
      </c>
      <c r="W756" s="94" t="n"/>
      <c r="X756" s="95" t="n"/>
      <c r="Z756" s="92">
        <f>IF($A756="","",DATE(YEAR($A756),MONTH($A756),1))</f>
        <v/>
      </c>
    </row>
    <row r="757">
      <c r="A757" s="85" t="n"/>
      <c r="B757" s="86" t="n"/>
      <c r="C757" s="86" t="n"/>
      <c r="D757" s="87" t="n"/>
      <c r="E757" s="87" t="n"/>
      <c r="F757" s="87" t="n"/>
      <c r="G757" s="87" t="n"/>
      <c r="H757" s="88" t="n"/>
      <c r="I757" s="89">
        <f>IF($G757="","",IF($F757="",IFERROR(INDEX(Setup!$C$21:$C$60,MATCH("|"&amp;UPPER(TRIM($G757)),Setup!$Q$21:$Q$60,0)),"NO RATE"),IFERROR(INDEX(Setup!$C$21:$C$60,MATCH(UPPER(TRIM($F757))&amp;"|"&amp;UPPER(TRIM($G757)),Setup!$P$21:$P$60,0)),IFERROR(INDEX(Setup!$C$21:$C$60,MATCH(UPPER(TRIM($G757))&amp;"|"&amp;UPPER(TRIM($F757)),Setup!$P$21:$P$60,0)),"NO RATE"))))</f>
        <v/>
      </c>
      <c r="J757" s="90" t="n"/>
      <c r="K757" s="89">
        <f>IF(OR($G757="",$H757="",NOT(ISNUMBER($I757))),"",ROUND($H757*$I757*(1+IF($J757="",Setup!$B$16,$J757)),2))</f>
        <v/>
      </c>
      <c r="L757" s="89">
        <f>IF($K757="","",ROUND($K757*Setup!$B$13,2))</f>
        <v/>
      </c>
      <c r="M757" s="89">
        <f>IF($K757="","",$K757-$L757)</f>
        <v/>
      </c>
      <c r="N757" s="89">
        <f>IF(OR($M757="",$D757=""),"",ROUND($M757*IFERROR(IF(VLOOKUP($D757,Setup!$A$76:$C$87,3,FALSE)="",Setup!$B$14,VLOOKUP($D757,Setup!$A$76:$C$87,3,FALSE)),Setup!$B$14),2))</f>
        <v/>
      </c>
      <c r="O757" s="89">
        <f>IF(OR($M757="",$E757=""),"",ROUND($M757*IFERROR(IF(VLOOKUP($E757,Setup!$A$76:$C$87,3,FALSE)="",Setup!$B$15,VLOOKUP($E757,Setup!$A$76:$C$87,3,FALSE)),Setup!$B$15),2))</f>
        <v/>
      </c>
      <c r="P757" s="91" t="n"/>
      <c r="Q757" s="91" t="n"/>
      <c r="R757" s="91" t="n"/>
      <c r="S757" s="91" t="n"/>
      <c r="T757" s="91" t="n"/>
      <c r="U757" s="89">
        <f>IF($K757="","",SUM($R757:$T757))</f>
        <v/>
      </c>
      <c r="V757" s="89">
        <f>IF($K757="","",$M757-(N($N757)+N($O757)+IF($P757="",Setup!$B$17,$P757)+N($Q757))-N($U757))</f>
        <v/>
      </c>
      <c r="W757" s="86" t="n"/>
      <c r="X757" s="87" t="n"/>
      <c r="Z757" s="92">
        <f>IF($A757="","",DATE(YEAR($A757),MONTH($A757),1))</f>
        <v/>
      </c>
    </row>
    <row r="758">
      <c r="A758" s="93" t="n"/>
      <c r="B758" s="94" t="n"/>
      <c r="C758" s="94" t="n"/>
      <c r="D758" s="95" t="n"/>
      <c r="E758" s="95" t="n"/>
      <c r="F758" s="95" t="n"/>
      <c r="G758" s="95" t="n"/>
      <c r="H758" s="96" t="n"/>
      <c r="I758" s="89">
        <f>IF($G758="","",IF($F758="",IFERROR(INDEX(Setup!$C$21:$C$60,MATCH("|"&amp;UPPER(TRIM($G758)),Setup!$Q$21:$Q$60,0)),"NO RATE"),IFERROR(INDEX(Setup!$C$21:$C$60,MATCH(UPPER(TRIM($F758))&amp;"|"&amp;UPPER(TRIM($G758)),Setup!$P$21:$P$60,0)),IFERROR(INDEX(Setup!$C$21:$C$60,MATCH(UPPER(TRIM($G758))&amp;"|"&amp;UPPER(TRIM($F758)),Setup!$P$21:$P$60,0)),"NO RATE"))))</f>
        <v/>
      </c>
      <c r="J758" s="97" t="n"/>
      <c r="K758" s="89">
        <f>IF(OR($G758="",$H758="",NOT(ISNUMBER($I758))),"",ROUND($H758*$I758*(1+IF($J758="",Setup!$B$16,$J758)),2))</f>
        <v/>
      </c>
      <c r="L758" s="89">
        <f>IF($K758="","",ROUND($K758*Setup!$B$13,2))</f>
        <v/>
      </c>
      <c r="M758" s="89">
        <f>IF($K758="","",$K758-$L758)</f>
        <v/>
      </c>
      <c r="N758" s="89">
        <f>IF(OR($M758="",$D758=""),"",ROUND($M758*IFERROR(IF(VLOOKUP($D758,Setup!$A$76:$C$87,3,FALSE)="",Setup!$B$14,VLOOKUP($D758,Setup!$A$76:$C$87,3,FALSE)),Setup!$B$14),2))</f>
        <v/>
      </c>
      <c r="O758" s="89">
        <f>IF(OR($M758="",$E758=""),"",ROUND($M758*IFERROR(IF(VLOOKUP($E758,Setup!$A$76:$C$87,3,FALSE)="",Setup!$B$15,VLOOKUP($E758,Setup!$A$76:$C$87,3,FALSE)),Setup!$B$15),2))</f>
        <v/>
      </c>
      <c r="P758" s="98" t="n"/>
      <c r="Q758" s="98" t="n"/>
      <c r="R758" s="98" t="n"/>
      <c r="S758" s="98" t="n"/>
      <c r="T758" s="98" t="n"/>
      <c r="U758" s="89">
        <f>IF($K758="","",SUM($R758:$T758))</f>
        <v/>
      </c>
      <c r="V758" s="89">
        <f>IF($K758="","",$M758-(N($N758)+N($O758)+IF($P758="",Setup!$B$17,$P758)+N($Q758))-N($U758))</f>
        <v/>
      </c>
      <c r="W758" s="94" t="n"/>
      <c r="X758" s="95" t="n"/>
      <c r="Z758" s="92">
        <f>IF($A758="","",DATE(YEAR($A758),MONTH($A758),1))</f>
        <v/>
      </c>
    </row>
    <row r="759">
      <c r="A759" s="85" t="n"/>
      <c r="B759" s="86" t="n"/>
      <c r="C759" s="86" t="n"/>
      <c r="D759" s="87" t="n"/>
      <c r="E759" s="87" t="n"/>
      <c r="F759" s="87" t="n"/>
      <c r="G759" s="87" t="n"/>
      <c r="H759" s="88" t="n"/>
      <c r="I759" s="89">
        <f>IF($G759="","",IF($F759="",IFERROR(INDEX(Setup!$C$21:$C$60,MATCH("|"&amp;UPPER(TRIM($G759)),Setup!$Q$21:$Q$60,0)),"NO RATE"),IFERROR(INDEX(Setup!$C$21:$C$60,MATCH(UPPER(TRIM($F759))&amp;"|"&amp;UPPER(TRIM($G759)),Setup!$P$21:$P$60,0)),IFERROR(INDEX(Setup!$C$21:$C$60,MATCH(UPPER(TRIM($G759))&amp;"|"&amp;UPPER(TRIM($F759)),Setup!$P$21:$P$60,0)),"NO RATE"))))</f>
        <v/>
      </c>
      <c r="J759" s="90" t="n"/>
      <c r="K759" s="89">
        <f>IF(OR($G759="",$H759="",NOT(ISNUMBER($I759))),"",ROUND($H759*$I759*(1+IF($J759="",Setup!$B$16,$J759)),2))</f>
        <v/>
      </c>
      <c r="L759" s="89">
        <f>IF($K759="","",ROUND($K759*Setup!$B$13,2))</f>
        <v/>
      </c>
      <c r="M759" s="89">
        <f>IF($K759="","",$K759-$L759)</f>
        <v/>
      </c>
      <c r="N759" s="89">
        <f>IF(OR($M759="",$D759=""),"",ROUND($M759*IFERROR(IF(VLOOKUP($D759,Setup!$A$76:$C$87,3,FALSE)="",Setup!$B$14,VLOOKUP($D759,Setup!$A$76:$C$87,3,FALSE)),Setup!$B$14),2))</f>
        <v/>
      </c>
      <c r="O759" s="89">
        <f>IF(OR($M759="",$E759=""),"",ROUND($M759*IFERROR(IF(VLOOKUP($E759,Setup!$A$76:$C$87,3,FALSE)="",Setup!$B$15,VLOOKUP($E759,Setup!$A$76:$C$87,3,FALSE)),Setup!$B$15),2))</f>
        <v/>
      </c>
      <c r="P759" s="91" t="n"/>
      <c r="Q759" s="91" t="n"/>
      <c r="R759" s="91" t="n"/>
      <c r="S759" s="91" t="n"/>
      <c r="T759" s="91" t="n"/>
      <c r="U759" s="89">
        <f>IF($K759="","",SUM($R759:$T759))</f>
        <v/>
      </c>
      <c r="V759" s="89">
        <f>IF($K759="","",$M759-(N($N759)+N($O759)+IF($P759="",Setup!$B$17,$P759)+N($Q759))-N($U759))</f>
        <v/>
      </c>
      <c r="W759" s="86" t="n"/>
      <c r="X759" s="87" t="n"/>
      <c r="Z759" s="92">
        <f>IF($A759="","",DATE(YEAR($A759),MONTH($A759),1))</f>
        <v/>
      </c>
    </row>
    <row r="760">
      <c r="A760" s="93" t="n"/>
      <c r="B760" s="94" t="n"/>
      <c r="C760" s="94" t="n"/>
      <c r="D760" s="95" t="n"/>
      <c r="E760" s="95" t="n"/>
      <c r="F760" s="95" t="n"/>
      <c r="G760" s="95" t="n"/>
      <c r="H760" s="96" t="n"/>
      <c r="I760" s="89">
        <f>IF($G760="","",IF($F760="",IFERROR(INDEX(Setup!$C$21:$C$60,MATCH("|"&amp;UPPER(TRIM($G760)),Setup!$Q$21:$Q$60,0)),"NO RATE"),IFERROR(INDEX(Setup!$C$21:$C$60,MATCH(UPPER(TRIM($F760))&amp;"|"&amp;UPPER(TRIM($G760)),Setup!$P$21:$P$60,0)),IFERROR(INDEX(Setup!$C$21:$C$60,MATCH(UPPER(TRIM($G760))&amp;"|"&amp;UPPER(TRIM($F760)),Setup!$P$21:$P$60,0)),"NO RATE"))))</f>
        <v/>
      </c>
      <c r="J760" s="97" t="n"/>
      <c r="K760" s="89">
        <f>IF(OR($G760="",$H760="",NOT(ISNUMBER($I760))),"",ROUND($H760*$I760*(1+IF($J760="",Setup!$B$16,$J760)),2))</f>
        <v/>
      </c>
      <c r="L760" s="89">
        <f>IF($K760="","",ROUND($K760*Setup!$B$13,2))</f>
        <v/>
      </c>
      <c r="M760" s="89">
        <f>IF($K760="","",$K760-$L760)</f>
        <v/>
      </c>
      <c r="N760" s="89">
        <f>IF(OR($M760="",$D760=""),"",ROUND($M760*IFERROR(IF(VLOOKUP($D760,Setup!$A$76:$C$87,3,FALSE)="",Setup!$B$14,VLOOKUP($D760,Setup!$A$76:$C$87,3,FALSE)),Setup!$B$14),2))</f>
        <v/>
      </c>
      <c r="O760" s="89">
        <f>IF(OR($M760="",$E760=""),"",ROUND($M760*IFERROR(IF(VLOOKUP($E760,Setup!$A$76:$C$87,3,FALSE)="",Setup!$B$15,VLOOKUP($E760,Setup!$A$76:$C$87,3,FALSE)),Setup!$B$15),2))</f>
        <v/>
      </c>
      <c r="P760" s="98" t="n"/>
      <c r="Q760" s="98" t="n"/>
      <c r="R760" s="98" t="n"/>
      <c r="S760" s="98" t="n"/>
      <c r="T760" s="98" t="n"/>
      <c r="U760" s="89">
        <f>IF($K760="","",SUM($R760:$T760))</f>
        <v/>
      </c>
      <c r="V760" s="89">
        <f>IF($K760="","",$M760-(N($N760)+N($O760)+IF($P760="",Setup!$B$17,$P760)+N($Q760))-N($U760))</f>
        <v/>
      </c>
      <c r="W760" s="94" t="n"/>
      <c r="X760" s="95" t="n"/>
      <c r="Z760" s="92">
        <f>IF($A760="","",DATE(YEAR($A760),MONTH($A760),1))</f>
        <v/>
      </c>
    </row>
    <row r="761">
      <c r="A761" s="85" t="n"/>
      <c r="B761" s="86" t="n"/>
      <c r="C761" s="86" t="n"/>
      <c r="D761" s="87" t="n"/>
      <c r="E761" s="87" t="n"/>
      <c r="F761" s="87" t="n"/>
      <c r="G761" s="87" t="n"/>
      <c r="H761" s="88" t="n"/>
      <c r="I761" s="89">
        <f>IF($G761="","",IF($F761="",IFERROR(INDEX(Setup!$C$21:$C$60,MATCH("|"&amp;UPPER(TRIM($G761)),Setup!$Q$21:$Q$60,0)),"NO RATE"),IFERROR(INDEX(Setup!$C$21:$C$60,MATCH(UPPER(TRIM($F761))&amp;"|"&amp;UPPER(TRIM($G761)),Setup!$P$21:$P$60,0)),IFERROR(INDEX(Setup!$C$21:$C$60,MATCH(UPPER(TRIM($G761))&amp;"|"&amp;UPPER(TRIM($F761)),Setup!$P$21:$P$60,0)),"NO RATE"))))</f>
        <v/>
      </c>
      <c r="J761" s="90" t="n"/>
      <c r="K761" s="89">
        <f>IF(OR($G761="",$H761="",NOT(ISNUMBER($I761))),"",ROUND($H761*$I761*(1+IF($J761="",Setup!$B$16,$J761)),2))</f>
        <v/>
      </c>
      <c r="L761" s="89">
        <f>IF($K761="","",ROUND($K761*Setup!$B$13,2))</f>
        <v/>
      </c>
      <c r="M761" s="89">
        <f>IF($K761="","",$K761-$L761)</f>
        <v/>
      </c>
      <c r="N761" s="89">
        <f>IF(OR($M761="",$D761=""),"",ROUND($M761*IFERROR(IF(VLOOKUP($D761,Setup!$A$76:$C$87,3,FALSE)="",Setup!$B$14,VLOOKUP($D761,Setup!$A$76:$C$87,3,FALSE)),Setup!$B$14),2))</f>
        <v/>
      </c>
      <c r="O761" s="89">
        <f>IF(OR($M761="",$E761=""),"",ROUND($M761*IFERROR(IF(VLOOKUP($E761,Setup!$A$76:$C$87,3,FALSE)="",Setup!$B$15,VLOOKUP($E761,Setup!$A$76:$C$87,3,FALSE)),Setup!$B$15),2))</f>
        <v/>
      </c>
      <c r="P761" s="91" t="n"/>
      <c r="Q761" s="91" t="n"/>
      <c r="R761" s="91" t="n"/>
      <c r="S761" s="91" t="n"/>
      <c r="T761" s="91" t="n"/>
      <c r="U761" s="89">
        <f>IF($K761="","",SUM($R761:$T761))</f>
        <v/>
      </c>
      <c r="V761" s="89">
        <f>IF($K761="","",$M761-(N($N761)+N($O761)+IF($P761="",Setup!$B$17,$P761)+N($Q761))-N($U761))</f>
        <v/>
      </c>
      <c r="W761" s="86" t="n"/>
      <c r="X761" s="87" t="n"/>
      <c r="Z761" s="92">
        <f>IF($A761="","",DATE(YEAR($A761),MONTH($A761),1))</f>
        <v/>
      </c>
    </row>
    <row r="762">
      <c r="A762" s="93" t="n"/>
      <c r="B762" s="94" t="n"/>
      <c r="C762" s="94" t="n"/>
      <c r="D762" s="95" t="n"/>
      <c r="E762" s="95" t="n"/>
      <c r="F762" s="95" t="n"/>
      <c r="G762" s="95" t="n"/>
      <c r="H762" s="96" t="n"/>
      <c r="I762" s="89">
        <f>IF($G762="","",IF($F762="",IFERROR(INDEX(Setup!$C$21:$C$60,MATCH("|"&amp;UPPER(TRIM($G762)),Setup!$Q$21:$Q$60,0)),"NO RATE"),IFERROR(INDEX(Setup!$C$21:$C$60,MATCH(UPPER(TRIM($F762))&amp;"|"&amp;UPPER(TRIM($G762)),Setup!$P$21:$P$60,0)),IFERROR(INDEX(Setup!$C$21:$C$60,MATCH(UPPER(TRIM($G762))&amp;"|"&amp;UPPER(TRIM($F762)),Setup!$P$21:$P$60,0)),"NO RATE"))))</f>
        <v/>
      </c>
      <c r="J762" s="97" t="n"/>
      <c r="K762" s="89">
        <f>IF(OR($G762="",$H762="",NOT(ISNUMBER($I762))),"",ROUND($H762*$I762*(1+IF($J762="",Setup!$B$16,$J762)),2))</f>
        <v/>
      </c>
      <c r="L762" s="89">
        <f>IF($K762="","",ROUND($K762*Setup!$B$13,2))</f>
        <v/>
      </c>
      <c r="M762" s="89">
        <f>IF($K762="","",$K762-$L762)</f>
        <v/>
      </c>
      <c r="N762" s="89">
        <f>IF(OR($M762="",$D762=""),"",ROUND($M762*IFERROR(IF(VLOOKUP($D762,Setup!$A$76:$C$87,3,FALSE)="",Setup!$B$14,VLOOKUP($D762,Setup!$A$76:$C$87,3,FALSE)),Setup!$B$14),2))</f>
        <v/>
      </c>
      <c r="O762" s="89">
        <f>IF(OR($M762="",$E762=""),"",ROUND($M762*IFERROR(IF(VLOOKUP($E762,Setup!$A$76:$C$87,3,FALSE)="",Setup!$B$15,VLOOKUP($E762,Setup!$A$76:$C$87,3,FALSE)),Setup!$B$15),2))</f>
        <v/>
      </c>
      <c r="P762" s="98" t="n"/>
      <c r="Q762" s="98" t="n"/>
      <c r="R762" s="98" t="n"/>
      <c r="S762" s="98" t="n"/>
      <c r="T762" s="98" t="n"/>
      <c r="U762" s="89">
        <f>IF($K762="","",SUM($R762:$T762))</f>
        <v/>
      </c>
      <c r="V762" s="89">
        <f>IF($K762="","",$M762-(N($N762)+N($O762)+IF($P762="",Setup!$B$17,$P762)+N($Q762))-N($U762))</f>
        <v/>
      </c>
      <c r="W762" s="94" t="n"/>
      <c r="X762" s="95" t="n"/>
      <c r="Z762" s="92">
        <f>IF($A762="","",DATE(YEAR($A762),MONTH($A762),1))</f>
        <v/>
      </c>
    </row>
    <row r="763">
      <c r="A763" s="85" t="n"/>
      <c r="B763" s="86" t="n"/>
      <c r="C763" s="86" t="n"/>
      <c r="D763" s="87" t="n"/>
      <c r="E763" s="87" t="n"/>
      <c r="F763" s="87" t="n"/>
      <c r="G763" s="87" t="n"/>
      <c r="H763" s="88" t="n"/>
      <c r="I763" s="89">
        <f>IF($G763="","",IF($F763="",IFERROR(INDEX(Setup!$C$21:$C$60,MATCH("|"&amp;UPPER(TRIM($G763)),Setup!$Q$21:$Q$60,0)),"NO RATE"),IFERROR(INDEX(Setup!$C$21:$C$60,MATCH(UPPER(TRIM($F763))&amp;"|"&amp;UPPER(TRIM($G763)),Setup!$P$21:$P$60,0)),IFERROR(INDEX(Setup!$C$21:$C$60,MATCH(UPPER(TRIM($G763))&amp;"|"&amp;UPPER(TRIM($F763)),Setup!$P$21:$P$60,0)),"NO RATE"))))</f>
        <v/>
      </c>
      <c r="J763" s="90" t="n"/>
      <c r="K763" s="89">
        <f>IF(OR($G763="",$H763="",NOT(ISNUMBER($I763))),"",ROUND($H763*$I763*(1+IF($J763="",Setup!$B$16,$J763)),2))</f>
        <v/>
      </c>
      <c r="L763" s="89">
        <f>IF($K763="","",ROUND($K763*Setup!$B$13,2))</f>
        <v/>
      </c>
      <c r="M763" s="89">
        <f>IF($K763="","",$K763-$L763)</f>
        <v/>
      </c>
      <c r="N763" s="89">
        <f>IF(OR($M763="",$D763=""),"",ROUND($M763*IFERROR(IF(VLOOKUP($D763,Setup!$A$76:$C$87,3,FALSE)="",Setup!$B$14,VLOOKUP($D763,Setup!$A$76:$C$87,3,FALSE)),Setup!$B$14),2))</f>
        <v/>
      </c>
      <c r="O763" s="89">
        <f>IF(OR($M763="",$E763=""),"",ROUND($M763*IFERROR(IF(VLOOKUP($E763,Setup!$A$76:$C$87,3,FALSE)="",Setup!$B$15,VLOOKUP($E763,Setup!$A$76:$C$87,3,FALSE)),Setup!$B$15),2))</f>
        <v/>
      </c>
      <c r="P763" s="91" t="n"/>
      <c r="Q763" s="91" t="n"/>
      <c r="R763" s="91" t="n"/>
      <c r="S763" s="91" t="n"/>
      <c r="T763" s="91" t="n"/>
      <c r="U763" s="89">
        <f>IF($K763="","",SUM($R763:$T763))</f>
        <v/>
      </c>
      <c r="V763" s="89">
        <f>IF($K763="","",$M763-(N($N763)+N($O763)+IF($P763="",Setup!$B$17,$P763)+N($Q763))-N($U763))</f>
        <v/>
      </c>
      <c r="W763" s="86" t="n"/>
      <c r="X763" s="87" t="n"/>
      <c r="Z763" s="92">
        <f>IF($A763="","",DATE(YEAR($A763),MONTH($A763),1))</f>
        <v/>
      </c>
    </row>
    <row r="764">
      <c r="A764" s="93" t="n"/>
      <c r="B764" s="94" t="n"/>
      <c r="C764" s="94" t="n"/>
      <c r="D764" s="95" t="n"/>
      <c r="E764" s="95" t="n"/>
      <c r="F764" s="95" t="n"/>
      <c r="G764" s="95" t="n"/>
      <c r="H764" s="96" t="n"/>
      <c r="I764" s="89">
        <f>IF($G764="","",IF($F764="",IFERROR(INDEX(Setup!$C$21:$C$60,MATCH("|"&amp;UPPER(TRIM($G764)),Setup!$Q$21:$Q$60,0)),"NO RATE"),IFERROR(INDEX(Setup!$C$21:$C$60,MATCH(UPPER(TRIM($F764))&amp;"|"&amp;UPPER(TRIM($G764)),Setup!$P$21:$P$60,0)),IFERROR(INDEX(Setup!$C$21:$C$60,MATCH(UPPER(TRIM($G764))&amp;"|"&amp;UPPER(TRIM($F764)),Setup!$P$21:$P$60,0)),"NO RATE"))))</f>
        <v/>
      </c>
      <c r="J764" s="97" t="n"/>
      <c r="K764" s="89">
        <f>IF(OR($G764="",$H764="",NOT(ISNUMBER($I764))),"",ROUND($H764*$I764*(1+IF($J764="",Setup!$B$16,$J764)),2))</f>
        <v/>
      </c>
      <c r="L764" s="89">
        <f>IF($K764="","",ROUND($K764*Setup!$B$13,2))</f>
        <v/>
      </c>
      <c r="M764" s="89">
        <f>IF($K764="","",$K764-$L764)</f>
        <v/>
      </c>
      <c r="N764" s="89">
        <f>IF(OR($M764="",$D764=""),"",ROUND($M764*IFERROR(IF(VLOOKUP($D764,Setup!$A$76:$C$87,3,FALSE)="",Setup!$B$14,VLOOKUP($D764,Setup!$A$76:$C$87,3,FALSE)),Setup!$B$14),2))</f>
        <v/>
      </c>
      <c r="O764" s="89">
        <f>IF(OR($M764="",$E764=""),"",ROUND($M764*IFERROR(IF(VLOOKUP($E764,Setup!$A$76:$C$87,3,FALSE)="",Setup!$B$15,VLOOKUP($E764,Setup!$A$76:$C$87,3,FALSE)),Setup!$B$15),2))</f>
        <v/>
      </c>
      <c r="P764" s="98" t="n"/>
      <c r="Q764" s="98" t="n"/>
      <c r="R764" s="98" t="n"/>
      <c r="S764" s="98" t="n"/>
      <c r="T764" s="98" t="n"/>
      <c r="U764" s="89">
        <f>IF($K764="","",SUM($R764:$T764))</f>
        <v/>
      </c>
      <c r="V764" s="89">
        <f>IF($K764="","",$M764-(N($N764)+N($O764)+IF($P764="",Setup!$B$17,$P764)+N($Q764))-N($U764))</f>
        <v/>
      </c>
      <c r="W764" s="94" t="n"/>
      <c r="X764" s="95" t="n"/>
      <c r="Z764" s="92">
        <f>IF($A764="","",DATE(YEAR($A764),MONTH($A764),1))</f>
        <v/>
      </c>
    </row>
    <row r="765">
      <c r="A765" s="85" t="n"/>
      <c r="B765" s="86" t="n"/>
      <c r="C765" s="86" t="n"/>
      <c r="D765" s="87" t="n"/>
      <c r="E765" s="87" t="n"/>
      <c r="F765" s="87" t="n"/>
      <c r="G765" s="87" t="n"/>
      <c r="H765" s="88" t="n"/>
      <c r="I765" s="89">
        <f>IF($G765="","",IF($F765="",IFERROR(INDEX(Setup!$C$21:$C$60,MATCH("|"&amp;UPPER(TRIM($G765)),Setup!$Q$21:$Q$60,0)),"NO RATE"),IFERROR(INDEX(Setup!$C$21:$C$60,MATCH(UPPER(TRIM($F765))&amp;"|"&amp;UPPER(TRIM($G765)),Setup!$P$21:$P$60,0)),IFERROR(INDEX(Setup!$C$21:$C$60,MATCH(UPPER(TRIM($G765))&amp;"|"&amp;UPPER(TRIM($F765)),Setup!$P$21:$P$60,0)),"NO RATE"))))</f>
        <v/>
      </c>
      <c r="J765" s="90" t="n"/>
      <c r="K765" s="89">
        <f>IF(OR($G765="",$H765="",NOT(ISNUMBER($I765))),"",ROUND($H765*$I765*(1+IF($J765="",Setup!$B$16,$J765)),2))</f>
        <v/>
      </c>
      <c r="L765" s="89">
        <f>IF($K765="","",ROUND($K765*Setup!$B$13,2))</f>
        <v/>
      </c>
      <c r="M765" s="89">
        <f>IF($K765="","",$K765-$L765)</f>
        <v/>
      </c>
      <c r="N765" s="89">
        <f>IF(OR($M765="",$D765=""),"",ROUND($M765*IFERROR(IF(VLOOKUP($D765,Setup!$A$76:$C$87,3,FALSE)="",Setup!$B$14,VLOOKUP($D765,Setup!$A$76:$C$87,3,FALSE)),Setup!$B$14),2))</f>
        <v/>
      </c>
      <c r="O765" s="89">
        <f>IF(OR($M765="",$E765=""),"",ROUND($M765*IFERROR(IF(VLOOKUP($E765,Setup!$A$76:$C$87,3,FALSE)="",Setup!$B$15,VLOOKUP($E765,Setup!$A$76:$C$87,3,FALSE)),Setup!$B$15),2))</f>
        <v/>
      </c>
      <c r="P765" s="91" t="n"/>
      <c r="Q765" s="91" t="n"/>
      <c r="R765" s="91" t="n"/>
      <c r="S765" s="91" t="n"/>
      <c r="T765" s="91" t="n"/>
      <c r="U765" s="89">
        <f>IF($K765="","",SUM($R765:$T765))</f>
        <v/>
      </c>
      <c r="V765" s="89">
        <f>IF($K765="","",$M765-(N($N765)+N($O765)+IF($P765="",Setup!$B$17,$P765)+N($Q765))-N($U765))</f>
        <v/>
      </c>
      <c r="W765" s="86" t="n"/>
      <c r="X765" s="87" t="n"/>
      <c r="Z765" s="92">
        <f>IF($A765="","",DATE(YEAR($A765),MONTH($A765),1))</f>
        <v/>
      </c>
    </row>
    <row r="766">
      <c r="A766" s="93" t="n"/>
      <c r="B766" s="94" t="n"/>
      <c r="C766" s="94" t="n"/>
      <c r="D766" s="95" t="n"/>
      <c r="E766" s="95" t="n"/>
      <c r="F766" s="95" t="n"/>
      <c r="G766" s="95" t="n"/>
      <c r="H766" s="96" t="n"/>
      <c r="I766" s="89">
        <f>IF($G766="","",IF($F766="",IFERROR(INDEX(Setup!$C$21:$C$60,MATCH("|"&amp;UPPER(TRIM($G766)),Setup!$Q$21:$Q$60,0)),"NO RATE"),IFERROR(INDEX(Setup!$C$21:$C$60,MATCH(UPPER(TRIM($F766))&amp;"|"&amp;UPPER(TRIM($G766)),Setup!$P$21:$P$60,0)),IFERROR(INDEX(Setup!$C$21:$C$60,MATCH(UPPER(TRIM($G766))&amp;"|"&amp;UPPER(TRIM($F766)),Setup!$P$21:$P$60,0)),"NO RATE"))))</f>
        <v/>
      </c>
      <c r="J766" s="97" t="n"/>
      <c r="K766" s="89">
        <f>IF(OR($G766="",$H766="",NOT(ISNUMBER($I766))),"",ROUND($H766*$I766*(1+IF($J766="",Setup!$B$16,$J766)),2))</f>
        <v/>
      </c>
      <c r="L766" s="89">
        <f>IF($K766="","",ROUND($K766*Setup!$B$13,2))</f>
        <v/>
      </c>
      <c r="M766" s="89">
        <f>IF($K766="","",$K766-$L766)</f>
        <v/>
      </c>
      <c r="N766" s="89">
        <f>IF(OR($M766="",$D766=""),"",ROUND($M766*IFERROR(IF(VLOOKUP($D766,Setup!$A$76:$C$87,3,FALSE)="",Setup!$B$14,VLOOKUP($D766,Setup!$A$76:$C$87,3,FALSE)),Setup!$B$14),2))</f>
        <v/>
      </c>
      <c r="O766" s="89">
        <f>IF(OR($M766="",$E766=""),"",ROUND($M766*IFERROR(IF(VLOOKUP($E766,Setup!$A$76:$C$87,3,FALSE)="",Setup!$B$15,VLOOKUP($E766,Setup!$A$76:$C$87,3,FALSE)),Setup!$B$15),2))</f>
        <v/>
      </c>
      <c r="P766" s="98" t="n"/>
      <c r="Q766" s="98" t="n"/>
      <c r="R766" s="98" t="n"/>
      <c r="S766" s="98" t="n"/>
      <c r="T766" s="98" t="n"/>
      <c r="U766" s="89">
        <f>IF($K766="","",SUM($R766:$T766))</f>
        <v/>
      </c>
      <c r="V766" s="89">
        <f>IF($K766="","",$M766-(N($N766)+N($O766)+IF($P766="",Setup!$B$17,$P766)+N($Q766))-N($U766))</f>
        <v/>
      </c>
      <c r="W766" s="94" t="n"/>
      <c r="X766" s="95" t="n"/>
      <c r="Z766" s="92">
        <f>IF($A766="","",DATE(YEAR($A766),MONTH($A766),1))</f>
        <v/>
      </c>
    </row>
    <row r="767">
      <c r="A767" s="85" t="n"/>
      <c r="B767" s="86" t="n"/>
      <c r="C767" s="86" t="n"/>
      <c r="D767" s="87" t="n"/>
      <c r="E767" s="87" t="n"/>
      <c r="F767" s="87" t="n"/>
      <c r="G767" s="87" t="n"/>
      <c r="H767" s="88" t="n"/>
      <c r="I767" s="89">
        <f>IF($G767="","",IF($F767="",IFERROR(INDEX(Setup!$C$21:$C$60,MATCH("|"&amp;UPPER(TRIM($G767)),Setup!$Q$21:$Q$60,0)),"NO RATE"),IFERROR(INDEX(Setup!$C$21:$C$60,MATCH(UPPER(TRIM($F767))&amp;"|"&amp;UPPER(TRIM($G767)),Setup!$P$21:$P$60,0)),IFERROR(INDEX(Setup!$C$21:$C$60,MATCH(UPPER(TRIM($G767))&amp;"|"&amp;UPPER(TRIM($F767)),Setup!$P$21:$P$60,0)),"NO RATE"))))</f>
        <v/>
      </c>
      <c r="J767" s="90" t="n"/>
      <c r="K767" s="89">
        <f>IF(OR($G767="",$H767="",NOT(ISNUMBER($I767))),"",ROUND($H767*$I767*(1+IF($J767="",Setup!$B$16,$J767)),2))</f>
        <v/>
      </c>
      <c r="L767" s="89">
        <f>IF($K767="","",ROUND($K767*Setup!$B$13,2))</f>
        <v/>
      </c>
      <c r="M767" s="89">
        <f>IF($K767="","",$K767-$L767)</f>
        <v/>
      </c>
      <c r="N767" s="89">
        <f>IF(OR($M767="",$D767=""),"",ROUND($M767*IFERROR(IF(VLOOKUP($D767,Setup!$A$76:$C$87,3,FALSE)="",Setup!$B$14,VLOOKUP($D767,Setup!$A$76:$C$87,3,FALSE)),Setup!$B$14),2))</f>
        <v/>
      </c>
      <c r="O767" s="89">
        <f>IF(OR($M767="",$E767=""),"",ROUND($M767*IFERROR(IF(VLOOKUP($E767,Setup!$A$76:$C$87,3,FALSE)="",Setup!$B$15,VLOOKUP($E767,Setup!$A$76:$C$87,3,FALSE)),Setup!$B$15),2))</f>
        <v/>
      </c>
      <c r="P767" s="91" t="n"/>
      <c r="Q767" s="91" t="n"/>
      <c r="R767" s="91" t="n"/>
      <c r="S767" s="91" t="n"/>
      <c r="T767" s="91" t="n"/>
      <c r="U767" s="89">
        <f>IF($K767="","",SUM($R767:$T767))</f>
        <v/>
      </c>
      <c r="V767" s="89">
        <f>IF($K767="","",$M767-(N($N767)+N($O767)+IF($P767="",Setup!$B$17,$P767)+N($Q767))-N($U767))</f>
        <v/>
      </c>
      <c r="W767" s="86" t="n"/>
      <c r="X767" s="87" t="n"/>
      <c r="Z767" s="92">
        <f>IF($A767="","",DATE(YEAR($A767),MONTH($A767),1))</f>
        <v/>
      </c>
    </row>
    <row r="768">
      <c r="A768" s="93" t="n"/>
      <c r="B768" s="94" t="n"/>
      <c r="C768" s="94" t="n"/>
      <c r="D768" s="95" t="n"/>
      <c r="E768" s="95" t="n"/>
      <c r="F768" s="95" t="n"/>
      <c r="G768" s="95" t="n"/>
      <c r="H768" s="96" t="n"/>
      <c r="I768" s="89">
        <f>IF($G768="","",IF($F768="",IFERROR(INDEX(Setup!$C$21:$C$60,MATCH("|"&amp;UPPER(TRIM($G768)),Setup!$Q$21:$Q$60,0)),"NO RATE"),IFERROR(INDEX(Setup!$C$21:$C$60,MATCH(UPPER(TRIM($F768))&amp;"|"&amp;UPPER(TRIM($G768)),Setup!$P$21:$P$60,0)),IFERROR(INDEX(Setup!$C$21:$C$60,MATCH(UPPER(TRIM($G768))&amp;"|"&amp;UPPER(TRIM($F768)),Setup!$P$21:$P$60,0)),"NO RATE"))))</f>
        <v/>
      </c>
      <c r="J768" s="97" t="n"/>
      <c r="K768" s="89">
        <f>IF(OR($G768="",$H768="",NOT(ISNUMBER($I768))),"",ROUND($H768*$I768*(1+IF($J768="",Setup!$B$16,$J768)),2))</f>
        <v/>
      </c>
      <c r="L768" s="89">
        <f>IF($K768="","",ROUND($K768*Setup!$B$13,2))</f>
        <v/>
      </c>
      <c r="M768" s="89">
        <f>IF($K768="","",$K768-$L768)</f>
        <v/>
      </c>
      <c r="N768" s="89">
        <f>IF(OR($M768="",$D768=""),"",ROUND($M768*IFERROR(IF(VLOOKUP($D768,Setup!$A$76:$C$87,3,FALSE)="",Setup!$B$14,VLOOKUP($D768,Setup!$A$76:$C$87,3,FALSE)),Setup!$B$14),2))</f>
        <v/>
      </c>
      <c r="O768" s="89">
        <f>IF(OR($M768="",$E768=""),"",ROUND($M768*IFERROR(IF(VLOOKUP($E768,Setup!$A$76:$C$87,3,FALSE)="",Setup!$B$15,VLOOKUP($E768,Setup!$A$76:$C$87,3,FALSE)),Setup!$B$15),2))</f>
        <v/>
      </c>
      <c r="P768" s="98" t="n"/>
      <c r="Q768" s="98" t="n"/>
      <c r="R768" s="98" t="n"/>
      <c r="S768" s="98" t="n"/>
      <c r="T768" s="98" t="n"/>
      <c r="U768" s="89">
        <f>IF($K768="","",SUM($R768:$T768))</f>
        <v/>
      </c>
      <c r="V768" s="89">
        <f>IF($K768="","",$M768-(N($N768)+N($O768)+IF($P768="",Setup!$B$17,$P768)+N($Q768))-N($U768))</f>
        <v/>
      </c>
      <c r="W768" s="94" t="n"/>
      <c r="X768" s="95" t="n"/>
      <c r="Z768" s="92">
        <f>IF($A768="","",DATE(YEAR($A768),MONTH($A768),1))</f>
        <v/>
      </c>
    </row>
    <row r="769">
      <c r="A769" s="85" t="n"/>
      <c r="B769" s="86" t="n"/>
      <c r="C769" s="86" t="n"/>
      <c r="D769" s="87" t="n"/>
      <c r="E769" s="87" t="n"/>
      <c r="F769" s="87" t="n"/>
      <c r="G769" s="87" t="n"/>
      <c r="H769" s="88" t="n"/>
      <c r="I769" s="89">
        <f>IF($G769="","",IF($F769="",IFERROR(INDEX(Setup!$C$21:$C$60,MATCH("|"&amp;UPPER(TRIM($G769)),Setup!$Q$21:$Q$60,0)),"NO RATE"),IFERROR(INDEX(Setup!$C$21:$C$60,MATCH(UPPER(TRIM($F769))&amp;"|"&amp;UPPER(TRIM($G769)),Setup!$P$21:$P$60,0)),IFERROR(INDEX(Setup!$C$21:$C$60,MATCH(UPPER(TRIM($G769))&amp;"|"&amp;UPPER(TRIM($F769)),Setup!$P$21:$P$60,0)),"NO RATE"))))</f>
        <v/>
      </c>
      <c r="J769" s="90" t="n"/>
      <c r="K769" s="89">
        <f>IF(OR($G769="",$H769="",NOT(ISNUMBER($I769))),"",ROUND($H769*$I769*(1+IF($J769="",Setup!$B$16,$J769)),2))</f>
        <v/>
      </c>
      <c r="L769" s="89">
        <f>IF($K769="","",ROUND($K769*Setup!$B$13,2))</f>
        <v/>
      </c>
      <c r="M769" s="89">
        <f>IF($K769="","",$K769-$L769)</f>
        <v/>
      </c>
      <c r="N769" s="89">
        <f>IF(OR($M769="",$D769=""),"",ROUND($M769*IFERROR(IF(VLOOKUP($D769,Setup!$A$76:$C$87,3,FALSE)="",Setup!$B$14,VLOOKUP($D769,Setup!$A$76:$C$87,3,FALSE)),Setup!$B$14),2))</f>
        <v/>
      </c>
      <c r="O769" s="89">
        <f>IF(OR($M769="",$E769=""),"",ROUND($M769*IFERROR(IF(VLOOKUP($E769,Setup!$A$76:$C$87,3,FALSE)="",Setup!$B$15,VLOOKUP($E769,Setup!$A$76:$C$87,3,FALSE)),Setup!$B$15),2))</f>
        <v/>
      </c>
      <c r="P769" s="91" t="n"/>
      <c r="Q769" s="91" t="n"/>
      <c r="R769" s="91" t="n"/>
      <c r="S769" s="91" t="n"/>
      <c r="T769" s="91" t="n"/>
      <c r="U769" s="89">
        <f>IF($K769="","",SUM($R769:$T769))</f>
        <v/>
      </c>
      <c r="V769" s="89">
        <f>IF($K769="","",$M769-(N($N769)+N($O769)+IF($P769="",Setup!$B$17,$P769)+N($Q769))-N($U769))</f>
        <v/>
      </c>
      <c r="W769" s="86" t="n"/>
      <c r="X769" s="87" t="n"/>
      <c r="Z769" s="92">
        <f>IF($A769="","",DATE(YEAR($A769),MONTH($A769),1))</f>
        <v/>
      </c>
    </row>
    <row r="770">
      <c r="A770" s="93" t="n"/>
      <c r="B770" s="94" t="n"/>
      <c r="C770" s="94" t="n"/>
      <c r="D770" s="95" t="n"/>
      <c r="E770" s="95" t="n"/>
      <c r="F770" s="95" t="n"/>
      <c r="G770" s="95" t="n"/>
      <c r="H770" s="96" t="n"/>
      <c r="I770" s="89">
        <f>IF($G770="","",IF($F770="",IFERROR(INDEX(Setup!$C$21:$C$60,MATCH("|"&amp;UPPER(TRIM($G770)),Setup!$Q$21:$Q$60,0)),"NO RATE"),IFERROR(INDEX(Setup!$C$21:$C$60,MATCH(UPPER(TRIM($F770))&amp;"|"&amp;UPPER(TRIM($G770)),Setup!$P$21:$P$60,0)),IFERROR(INDEX(Setup!$C$21:$C$60,MATCH(UPPER(TRIM($G770))&amp;"|"&amp;UPPER(TRIM($F770)),Setup!$P$21:$P$60,0)),"NO RATE"))))</f>
        <v/>
      </c>
      <c r="J770" s="97" t="n"/>
      <c r="K770" s="89">
        <f>IF(OR($G770="",$H770="",NOT(ISNUMBER($I770))),"",ROUND($H770*$I770*(1+IF($J770="",Setup!$B$16,$J770)),2))</f>
        <v/>
      </c>
      <c r="L770" s="89">
        <f>IF($K770="","",ROUND($K770*Setup!$B$13,2))</f>
        <v/>
      </c>
      <c r="M770" s="89">
        <f>IF($K770="","",$K770-$L770)</f>
        <v/>
      </c>
      <c r="N770" s="89">
        <f>IF(OR($M770="",$D770=""),"",ROUND($M770*IFERROR(IF(VLOOKUP($D770,Setup!$A$76:$C$87,3,FALSE)="",Setup!$B$14,VLOOKUP($D770,Setup!$A$76:$C$87,3,FALSE)),Setup!$B$14),2))</f>
        <v/>
      </c>
      <c r="O770" s="89">
        <f>IF(OR($M770="",$E770=""),"",ROUND($M770*IFERROR(IF(VLOOKUP($E770,Setup!$A$76:$C$87,3,FALSE)="",Setup!$B$15,VLOOKUP($E770,Setup!$A$76:$C$87,3,FALSE)),Setup!$B$15),2))</f>
        <v/>
      </c>
      <c r="P770" s="98" t="n"/>
      <c r="Q770" s="98" t="n"/>
      <c r="R770" s="98" t="n"/>
      <c r="S770" s="98" t="n"/>
      <c r="T770" s="98" t="n"/>
      <c r="U770" s="89">
        <f>IF($K770="","",SUM($R770:$T770))</f>
        <v/>
      </c>
      <c r="V770" s="89">
        <f>IF($K770="","",$M770-(N($N770)+N($O770)+IF($P770="",Setup!$B$17,$P770)+N($Q770))-N($U770))</f>
        <v/>
      </c>
      <c r="W770" s="94" t="n"/>
      <c r="X770" s="95" t="n"/>
      <c r="Z770" s="92">
        <f>IF($A770="","",DATE(YEAR($A770),MONTH($A770),1))</f>
        <v/>
      </c>
    </row>
    <row r="771">
      <c r="A771" s="85" t="n"/>
      <c r="B771" s="86" t="n"/>
      <c r="C771" s="86" t="n"/>
      <c r="D771" s="87" t="n"/>
      <c r="E771" s="87" t="n"/>
      <c r="F771" s="87" t="n"/>
      <c r="G771" s="87" t="n"/>
      <c r="H771" s="88" t="n"/>
      <c r="I771" s="89">
        <f>IF($G771="","",IF($F771="",IFERROR(INDEX(Setup!$C$21:$C$60,MATCH("|"&amp;UPPER(TRIM($G771)),Setup!$Q$21:$Q$60,0)),"NO RATE"),IFERROR(INDEX(Setup!$C$21:$C$60,MATCH(UPPER(TRIM($F771))&amp;"|"&amp;UPPER(TRIM($G771)),Setup!$P$21:$P$60,0)),IFERROR(INDEX(Setup!$C$21:$C$60,MATCH(UPPER(TRIM($G771))&amp;"|"&amp;UPPER(TRIM($F771)),Setup!$P$21:$P$60,0)),"NO RATE"))))</f>
        <v/>
      </c>
      <c r="J771" s="90" t="n"/>
      <c r="K771" s="89">
        <f>IF(OR($G771="",$H771="",NOT(ISNUMBER($I771))),"",ROUND($H771*$I771*(1+IF($J771="",Setup!$B$16,$J771)),2))</f>
        <v/>
      </c>
      <c r="L771" s="89">
        <f>IF($K771="","",ROUND($K771*Setup!$B$13,2))</f>
        <v/>
      </c>
      <c r="M771" s="89">
        <f>IF($K771="","",$K771-$L771)</f>
        <v/>
      </c>
      <c r="N771" s="89">
        <f>IF(OR($M771="",$D771=""),"",ROUND($M771*IFERROR(IF(VLOOKUP($D771,Setup!$A$76:$C$87,3,FALSE)="",Setup!$B$14,VLOOKUP($D771,Setup!$A$76:$C$87,3,FALSE)),Setup!$B$14),2))</f>
        <v/>
      </c>
      <c r="O771" s="89">
        <f>IF(OR($M771="",$E771=""),"",ROUND($M771*IFERROR(IF(VLOOKUP($E771,Setup!$A$76:$C$87,3,FALSE)="",Setup!$B$15,VLOOKUP($E771,Setup!$A$76:$C$87,3,FALSE)),Setup!$B$15),2))</f>
        <v/>
      </c>
      <c r="P771" s="91" t="n"/>
      <c r="Q771" s="91" t="n"/>
      <c r="R771" s="91" t="n"/>
      <c r="S771" s="91" t="n"/>
      <c r="T771" s="91" t="n"/>
      <c r="U771" s="89">
        <f>IF($K771="","",SUM($R771:$T771))</f>
        <v/>
      </c>
      <c r="V771" s="89">
        <f>IF($K771="","",$M771-(N($N771)+N($O771)+IF($P771="",Setup!$B$17,$P771)+N($Q771))-N($U771))</f>
        <v/>
      </c>
      <c r="W771" s="86" t="n"/>
      <c r="X771" s="87" t="n"/>
      <c r="Z771" s="92">
        <f>IF($A771="","",DATE(YEAR($A771),MONTH($A771),1))</f>
        <v/>
      </c>
    </row>
    <row r="772">
      <c r="A772" s="93" t="n"/>
      <c r="B772" s="94" t="n"/>
      <c r="C772" s="94" t="n"/>
      <c r="D772" s="95" t="n"/>
      <c r="E772" s="95" t="n"/>
      <c r="F772" s="95" t="n"/>
      <c r="G772" s="95" t="n"/>
      <c r="H772" s="96" t="n"/>
      <c r="I772" s="89">
        <f>IF($G772="","",IF($F772="",IFERROR(INDEX(Setup!$C$21:$C$60,MATCH("|"&amp;UPPER(TRIM($G772)),Setup!$Q$21:$Q$60,0)),"NO RATE"),IFERROR(INDEX(Setup!$C$21:$C$60,MATCH(UPPER(TRIM($F772))&amp;"|"&amp;UPPER(TRIM($G772)),Setup!$P$21:$P$60,0)),IFERROR(INDEX(Setup!$C$21:$C$60,MATCH(UPPER(TRIM($G772))&amp;"|"&amp;UPPER(TRIM($F772)),Setup!$P$21:$P$60,0)),"NO RATE"))))</f>
        <v/>
      </c>
      <c r="J772" s="97" t="n"/>
      <c r="K772" s="89">
        <f>IF(OR($G772="",$H772="",NOT(ISNUMBER($I772))),"",ROUND($H772*$I772*(1+IF($J772="",Setup!$B$16,$J772)),2))</f>
        <v/>
      </c>
      <c r="L772" s="89">
        <f>IF($K772="","",ROUND($K772*Setup!$B$13,2))</f>
        <v/>
      </c>
      <c r="M772" s="89">
        <f>IF($K772="","",$K772-$L772)</f>
        <v/>
      </c>
      <c r="N772" s="89">
        <f>IF(OR($M772="",$D772=""),"",ROUND($M772*IFERROR(IF(VLOOKUP($D772,Setup!$A$76:$C$87,3,FALSE)="",Setup!$B$14,VLOOKUP($D772,Setup!$A$76:$C$87,3,FALSE)),Setup!$B$14),2))</f>
        <v/>
      </c>
      <c r="O772" s="89">
        <f>IF(OR($M772="",$E772=""),"",ROUND($M772*IFERROR(IF(VLOOKUP($E772,Setup!$A$76:$C$87,3,FALSE)="",Setup!$B$15,VLOOKUP($E772,Setup!$A$76:$C$87,3,FALSE)),Setup!$B$15),2))</f>
        <v/>
      </c>
      <c r="P772" s="98" t="n"/>
      <c r="Q772" s="98" t="n"/>
      <c r="R772" s="98" t="n"/>
      <c r="S772" s="98" t="n"/>
      <c r="T772" s="98" t="n"/>
      <c r="U772" s="89">
        <f>IF($K772="","",SUM($R772:$T772))</f>
        <v/>
      </c>
      <c r="V772" s="89">
        <f>IF($K772="","",$M772-(N($N772)+N($O772)+IF($P772="",Setup!$B$17,$P772)+N($Q772))-N($U772))</f>
        <v/>
      </c>
      <c r="W772" s="94" t="n"/>
      <c r="X772" s="95" t="n"/>
      <c r="Z772" s="92">
        <f>IF($A772="","",DATE(YEAR($A772),MONTH($A772),1))</f>
        <v/>
      </c>
    </row>
    <row r="773">
      <c r="A773" s="85" t="n"/>
      <c r="B773" s="86" t="n"/>
      <c r="C773" s="86" t="n"/>
      <c r="D773" s="87" t="n"/>
      <c r="E773" s="87" t="n"/>
      <c r="F773" s="87" t="n"/>
      <c r="G773" s="87" t="n"/>
      <c r="H773" s="88" t="n"/>
      <c r="I773" s="89">
        <f>IF($G773="","",IF($F773="",IFERROR(INDEX(Setup!$C$21:$C$60,MATCH("|"&amp;UPPER(TRIM($G773)),Setup!$Q$21:$Q$60,0)),"NO RATE"),IFERROR(INDEX(Setup!$C$21:$C$60,MATCH(UPPER(TRIM($F773))&amp;"|"&amp;UPPER(TRIM($G773)),Setup!$P$21:$P$60,0)),IFERROR(INDEX(Setup!$C$21:$C$60,MATCH(UPPER(TRIM($G773))&amp;"|"&amp;UPPER(TRIM($F773)),Setup!$P$21:$P$60,0)),"NO RATE"))))</f>
        <v/>
      </c>
      <c r="J773" s="90" t="n"/>
      <c r="K773" s="89">
        <f>IF(OR($G773="",$H773="",NOT(ISNUMBER($I773))),"",ROUND($H773*$I773*(1+IF($J773="",Setup!$B$16,$J773)),2))</f>
        <v/>
      </c>
      <c r="L773" s="89">
        <f>IF($K773="","",ROUND($K773*Setup!$B$13,2))</f>
        <v/>
      </c>
      <c r="M773" s="89">
        <f>IF($K773="","",$K773-$L773)</f>
        <v/>
      </c>
      <c r="N773" s="89">
        <f>IF(OR($M773="",$D773=""),"",ROUND($M773*IFERROR(IF(VLOOKUP($D773,Setup!$A$76:$C$87,3,FALSE)="",Setup!$B$14,VLOOKUP($D773,Setup!$A$76:$C$87,3,FALSE)),Setup!$B$14),2))</f>
        <v/>
      </c>
      <c r="O773" s="89">
        <f>IF(OR($M773="",$E773=""),"",ROUND($M773*IFERROR(IF(VLOOKUP($E773,Setup!$A$76:$C$87,3,FALSE)="",Setup!$B$15,VLOOKUP($E773,Setup!$A$76:$C$87,3,FALSE)),Setup!$B$15),2))</f>
        <v/>
      </c>
      <c r="P773" s="91" t="n"/>
      <c r="Q773" s="91" t="n"/>
      <c r="R773" s="91" t="n"/>
      <c r="S773" s="91" t="n"/>
      <c r="T773" s="91" t="n"/>
      <c r="U773" s="89">
        <f>IF($K773="","",SUM($R773:$T773))</f>
        <v/>
      </c>
      <c r="V773" s="89">
        <f>IF($K773="","",$M773-(N($N773)+N($O773)+IF($P773="",Setup!$B$17,$P773)+N($Q773))-N($U773))</f>
        <v/>
      </c>
      <c r="W773" s="86" t="n"/>
      <c r="X773" s="87" t="n"/>
      <c r="Z773" s="92">
        <f>IF($A773="","",DATE(YEAR($A773),MONTH($A773),1))</f>
        <v/>
      </c>
    </row>
    <row r="774">
      <c r="A774" s="93" t="n"/>
      <c r="B774" s="94" t="n"/>
      <c r="C774" s="94" t="n"/>
      <c r="D774" s="95" t="n"/>
      <c r="E774" s="95" t="n"/>
      <c r="F774" s="95" t="n"/>
      <c r="G774" s="95" t="n"/>
      <c r="H774" s="96" t="n"/>
      <c r="I774" s="89">
        <f>IF($G774="","",IF($F774="",IFERROR(INDEX(Setup!$C$21:$C$60,MATCH("|"&amp;UPPER(TRIM($G774)),Setup!$Q$21:$Q$60,0)),"NO RATE"),IFERROR(INDEX(Setup!$C$21:$C$60,MATCH(UPPER(TRIM($F774))&amp;"|"&amp;UPPER(TRIM($G774)),Setup!$P$21:$P$60,0)),IFERROR(INDEX(Setup!$C$21:$C$60,MATCH(UPPER(TRIM($G774))&amp;"|"&amp;UPPER(TRIM($F774)),Setup!$P$21:$P$60,0)),"NO RATE"))))</f>
        <v/>
      </c>
      <c r="J774" s="97" t="n"/>
      <c r="K774" s="89">
        <f>IF(OR($G774="",$H774="",NOT(ISNUMBER($I774))),"",ROUND($H774*$I774*(1+IF($J774="",Setup!$B$16,$J774)),2))</f>
        <v/>
      </c>
      <c r="L774" s="89">
        <f>IF($K774="","",ROUND($K774*Setup!$B$13,2))</f>
        <v/>
      </c>
      <c r="M774" s="89">
        <f>IF($K774="","",$K774-$L774)</f>
        <v/>
      </c>
      <c r="N774" s="89">
        <f>IF(OR($M774="",$D774=""),"",ROUND($M774*IFERROR(IF(VLOOKUP($D774,Setup!$A$76:$C$87,3,FALSE)="",Setup!$B$14,VLOOKUP($D774,Setup!$A$76:$C$87,3,FALSE)),Setup!$B$14),2))</f>
        <v/>
      </c>
      <c r="O774" s="89">
        <f>IF(OR($M774="",$E774=""),"",ROUND($M774*IFERROR(IF(VLOOKUP($E774,Setup!$A$76:$C$87,3,FALSE)="",Setup!$B$15,VLOOKUP($E774,Setup!$A$76:$C$87,3,FALSE)),Setup!$B$15),2))</f>
        <v/>
      </c>
      <c r="P774" s="98" t="n"/>
      <c r="Q774" s="98" t="n"/>
      <c r="R774" s="98" t="n"/>
      <c r="S774" s="98" t="n"/>
      <c r="T774" s="98" t="n"/>
      <c r="U774" s="89">
        <f>IF($K774="","",SUM($R774:$T774))</f>
        <v/>
      </c>
      <c r="V774" s="89">
        <f>IF($K774="","",$M774-(N($N774)+N($O774)+IF($P774="",Setup!$B$17,$P774)+N($Q774))-N($U774))</f>
        <v/>
      </c>
      <c r="W774" s="94" t="n"/>
      <c r="X774" s="95" t="n"/>
      <c r="Z774" s="92">
        <f>IF($A774="","",DATE(YEAR($A774),MONTH($A774),1))</f>
        <v/>
      </c>
    </row>
    <row r="775">
      <c r="A775" s="85" t="n"/>
      <c r="B775" s="86" t="n"/>
      <c r="C775" s="86" t="n"/>
      <c r="D775" s="87" t="n"/>
      <c r="E775" s="87" t="n"/>
      <c r="F775" s="87" t="n"/>
      <c r="G775" s="87" t="n"/>
      <c r="H775" s="88" t="n"/>
      <c r="I775" s="89">
        <f>IF($G775="","",IF($F775="",IFERROR(INDEX(Setup!$C$21:$C$60,MATCH("|"&amp;UPPER(TRIM($G775)),Setup!$Q$21:$Q$60,0)),"NO RATE"),IFERROR(INDEX(Setup!$C$21:$C$60,MATCH(UPPER(TRIM($F775))&amp;"|"&amp;UPPER(TRIM($G775)),Setup!$P$21:$P$60,0)),IFERROR(INDEX(Setup!$C$21:$C$60,MATCH(UPPER(TRIM($G775))&amp;"|"&amp;UPPER(TRIM($F775)),Setup!$P$21:$P$60,0)),"NO RATE"))))</f>
        <v/>
      </c>
      <c r="J775" s="90" t="n"/>
      <c r="K775" s="89">
        <f>IF(OR($G775="",$H775="",NOT(ISNUMBER($I775))),"",ROUND($H775*$I775*(1+IF($J775="",Setup!$B$16,$J775)),2))</f>
        <v/>
      </c>
      <c r="L775" s="89">
        <f>IF($K775="","",ROUND($K775*Setup!$B$13,2))</f>
        <v/>
      </c>
      <c r="M775" s="89">
        <f>IF($K775="","",$K775-$L775)</f>
        <v/>
      </c>
      <c r="N775" s="89">
        <f>IF(OR($M775="",$D775=""),"",ROUND($M775*IFERROR(IF(VLOOKUP($D775,Setup!$A$76:$C$87,3,FALSE)="",Setup!$B$14,VLOOKUP($D775,Setup!$A$76:$C$87,3,FALSE)),Setup!$B$14),2))</f>
        <v/>
      </c>
      <c r="O775" s="89">
        <f>IF(OR($M775="",$E775=""),"",ROUND($M775*IFERROR(IF(VLOOKUP($E775,Setup!$A$76:$C$87,3,FALSE)="",Setup!$B$15,VLOOKUP($E775,Setup!$A$76:$C$87,3,FALSE)),Setup!$B$15),2))</f>
        <v/>
      </c>
      <c r="P775" s="91" t="n"/>
      <c r="Q775" s="91" t="n"/>
      <c r="R775" s="91" t="n"/>
      <c r="S775" s="91" t="n"/>
      <c r="T775" s="91" t="n"/>
      <c r="U775" s="89">
        <f>IF($K775="","",SUM($R775:$T775))</f>
        <v/>
      </c>
      <c r="V775" s="89">
        <f>IF($K775="","",$M775-(N($N775)+N($O775)+IF($P775="",Setup!$B$17,$P775)+N($Q775))-N($U775))</f>
        <v/>
      </c>
      <c r="W775" s="86" t="n"/>
      <c r="X775" s="87" t="n"/>
      <c r="Z775" s="92">
        <f>IF($A775="","",DATE(YEAR($A775),MONTH($A775),1))</f>
        <v/>
      </c>
    </row>
    <row r="776">
      <c r="A776" s="93" t="n"/>
      <c r="B776" s="94" t="n"/>
      <c r="C776" s="94" t="n"/>
      <c r="D776" s="95" t="n"/>
      <c r="E776" s="95" t="n"/>
      <c r="F776" s="95" t="n"/>
      <c r="G776" s="95" t="n"/>
      <c r="H776" s="96" t="n"/>
      <c r="I776" s="89">
        <f>IF($G776="","",IF($F776="",IFERROR(INDEX(Setup!$C$21:$C$60,MATCH("|"&amp;UPPER(TRIM($G776)),Setup!$Q$21:$Q$60,0)),"NO RATE"),IFERROR(INDEX(Setup!$C$21:$C$60,MATCH(UPPER(TRIM($F776))&amp;"|"&amp;UPPER(TRIM($G776)),Setup!$P$21:$P$60,0)),IFERROR(INDEX(Setup!$C$21:$C$60,MATCH(UPPER(TRIM($G776))&amp;"|"&amp;UPPER(TRIM($F776)),Setup!$P$21:$P$60,0)),"NO RATE"))))</f>
        <v/>
      </c>
      <c r="J776" s="97" t="n"/>
      <c r="K776" s="89">
        <f>IF(OR($G776="",$H776="",NOT(ISNUMBER($I776))),"",ROUND($H776*$I776*(1+IF($J776="",Setup!$B$16,$J776)),2))</f>
        <v/>
      </c>
      <c r="L776" s="89">
        <f>IF($K776="","",ROUND($K776*Setup!$B$13,2))</f>
        <v/>
      </c>
      <c r="M776" s="89">
        <f>IF($K776="","",$K776-$L776)</f>
        <v/>
      </c>
      <c r="N776" s="89">
        <f>IF(OR($M776="",$D776=""),"",ROUND($M776*IFERROR(IF(VLOOKUP($D776,Setup!$A$76:$C$87,3,FALSE)="",Setup!$B$14,VLOOKUP($D776,Setup!$A$76:$C$87,3,FALSE)),Setup!$B$14),2))</f>
        <v/>
      </c>
      <c r="O776" s="89">
        <f>IF(OR($M776="",$E776=""),"",ROUND($M776*IFERROR(IF(VLOOKUP($E776,Setup!$A$76:$C$87,3,FALSE)="",Setup!$B$15,VLOOKUP($E776,Setup!$A$76:$C$87,3,FALSE)),Setup!$B$15),2))</f>
        <v/>
      </c>
      <c r="P776" s="98" t="n"/>
      <c r="Q776" s="98" t="n"/>
      <c r="R776" s="98" t="n"/>
      <c r="S776" s="98" t="n"/>
      <c r="T776" s="98" t="n"/>
      <c r="U776" s="89">
        <f>IF($K776="","",SUM($R776:$T776))</f>
        <v/>
      </c>
      <c r="V776" s="89">
        <f>IF($K776="","",$M776-(N($N776)+N($O776)+IF($P776="",Setup!$B$17,$P776)+N($Q776))-N($U776))</f>
        <v/>
      </c>
      <c r="W776" s="94" t="n"/>
      <c r="X776" s="95" t="n"/>
      <c r="Z776" s="92">
        <f>IF($A776="","",DATE(YEAR($A776),MONTH($A776),1))</f>
        <v/>
      </c>
    </row>
    <row r="777">
      <c r="A777" s="85" t="n"/>
      <c r="B777" s="86" t="n"/>
      <c r="C777" s="86" t="n"/>
      <c r="D777" s="87" t="n"/>
      <c r="E777" s="87" t="n"/>
      <c r="F777" s="87" t="n"/>
      <c r="G777" s="87" t="n"/>
      <c r="H777" s="88" t="n"/>
      <c r="I777" s="89">
        <f>IF($G777="","",IF($F777="",IFERROR(INDEX(Setup!$C$21:$C$60,MATCH("|"&amp;UPPER(TRIM($G777)),Setup!$Q$21:$Q$60,0)),"NO RATE"),IFERROR(INDEX(Setup!$C$21:$C$60,MATCH(UPPER(TRIM($F777))&amp;"|"&amp;UPPER(TRIM($G777)),Setup!$P$21:$P$60,0)),IFERROR(INDEX(Setup!$C$21:$C$60,MATCH(UPPER(TRIM($G777))&amp;"|"&amp;UPPER(TRIM($F777)),Setup!$P$21:$P$60,0)),"NO RATE"))))</f>
        <v/>
      </c>
      <c r="J777" s="90" t="n"/>
      <c r="K777" s="89">
        <f>IF(OR($G777="",$H777="",NOT(ISNUMBER($I777))),"",ROUND($H777*$I777*(1+IF($J777="",Setup!$B$16,$J777)),2))</f>
        <v/>
      </c>
      <c r="L777" s="89">
        <f>IF($K777="","",ROUND($K777*Setup!$B$13,2))</f>
        <v/>
      </c>
      <c r="M777" s="89">
        <f>IF($K777="","",$K777-$L777)</f>
        <v/>
      </c>
      <c r="N777" s="89">
        <f>IF(OR($M777="",$D777=""),"",ROUND($M777*IFERROR(IF(VLOOKUP($D777,Setup!$A$76:$C$87,3,FALSE)="",Setup!$B$14,VLOOKUP($D777,Setup!$A$76:$C$87,3,FALSE)),Setup!$B$14),2))</f>
        <v/>
      </c>
      <c r="O777" s="89">
        <f>IF(OR($M777="",$E777=""),"",ROUND($M777*IFERROR(IF(VLOOKUP($E777,Setup!$A$76:$C$87,3,FALSE)="",Setup!$B$15,VLOOKUP($E777,Setup!$A$76:$C$87,3,FALSE)),Setup!$B$15),2))</f>
        <v/>
      </c>
      <c r="P777" s="91" t="n"/>
      <c r="Q777" s="91" t="n"/>
      <c r="R777" s="91" t="n"/>
      <c r="S777" s="91" t="n"/>
      <c r="T777" s="91" t="n"/>
      <c r="U777" s="89">
        <f>IF($K777="","",SUM($R777:$T777))</f>
        <v/>
      </c>
      <c r="V777" s="89">
        <f>IF($K777="","",$M777-(N($N777)+N($O777)+IF($P777="",Setup!$B$17,$P777)+N($Q777))-N($U777))</f>
        <v/>
      </c>
      <c r="W777" s="86" t="n"/>
      <c r="X777" s="87" t="n"/>
      <c r="Z777" s="92">
        <f>IF($A777="","",DATE(YEAR($A777),MONTH($A777),1))</f>
        <v/>
      </c>
    </row>
    <row r="778">
      <c r="A778" s="93" t="n"/>
      <c r="B778" s="94" t="n"/>
      <c r="C778" s="94" t="n"/>
      <c r="D778" s="95" t="n"/>
      <c r="E778" s="95" t="n"/>
      <c r="F778" s="95" t="n"/>
      <c r="G778" s="95" t="n"/>
      <c r="H778" s="96" t="n"/>
      <c r="I778" s="89">
        <f>IF($G778="","",IF($F778="",IFERROR(INDEX(Setup!$C$21:$C$60,MATCH("|"&amp;UPPER(TRIM($G778)),Setup!$Q$21:$Q$60,0)),"NO RATE"),IFERROR(INDEX(Setup!$C$21:$C$60,MATCH(UPPER(TRIM($F778))&amp;"|"&amp;UPPER(TRIM($G778)),Setup!$P$21:$P$60,0)),IFERROR(INDEX(Setup!$C$21:$C$60,MATCH(UPPER(TRIM($G778))&amp;"|"&amp;UPPER(TRIM($F778)),Setup!$P$21:$P$60,0)),"NO RATE"))))</f>
        <v/>
      </c>
      <c r="J778" s="97" t="n"/>
      <c r="K778" s="89">
        <f>IF(OR($G778="",$H778="",NOT(ISNUMBER($I778))),"",ROUND($H778*$I778*(1+IF($J778="",Setup!$B$16,$J778)),2))</f>
        <v/>
      </c>
      <c r="L778" s="89">
        <f>IF($K778="","",ROUND($K778*Setup!$B$13,2))</f>
        <v/>
      </c>
      <c r="M778" s="89">
        <f>IF($K778="","",$K778-$L778)</f>
        <v/>
      </c>
      <c r="N778" s="89">
        <f>IF(OR($M778="",$D778=""),"",ROUND($M778*IFERROR(IF(VLOOKUP($D778,Setup!$A$76:$C$87,3,FALSE)="",Setup!$B$14,VLOOKUP($D778,Setup!$A$76:$C$87,3,FALSE)),Setup!$B$14),2))</f>
        <v/>
      </c>
      <c r="O778" s="89">
        <f>IF(OR($M778="",$E778=""),"",ROUND($M778*IFERROR(IF(VLOOKUP($E778,Setup!$A$76:$C$87,3,FALSE)="",Setup!$B$15,VLOOKUP($E778,Setup!$A$76:$C$87,3,FALSE)),Setup!$B$15),2))</f>
        <v/>
      </c>
      <c r="P778" s="98" t="n"/>
      <c r="Q778" s="98" t="n"/>
      <c r="R778" s="98" t="n"/>
      <c r="S778" s="98" t="n"/>
      <c r="T778" s="98" t="n"/>
      <c r="U778" s="89">
        <f>IF($K778="","",SUM($R778:$T778))</f>
        <v/>
      </c>
      <c r="V778" s="89">
        <f>IF($K778="","",$M778-(N($N778)+N($O778)+IF($P778="",Setup!$B$17,$P778)+N($Q778))-N($U778))</f>
        <v/>
      </c>
      <c r="W778" s="94" t="n"/>
      <c r="X778" s="95" t="n"/>
      <c r="Z778" s="92">
        <f>IF($A778="","",DATE(YEAR($A778),MONTH($A778),1))</f>
        <v/>
      </c>
    </row>
    <row r="779">
      <c r="A779" s="85" t="n"/>
      <c r="B779" s="86" t="n"/>
      <c r="C779" s="86" t="n"/>
      <c r="D779" s="87" t="n"/>
      <c r="E779" s="87" t="n"/>
      <c r="F779" s="87" t="n"/>
      <c r="G779" s="87" t="n"/>
      <c r="H779" s="88" t="n"/>
      <c r="I779" s="89">
        <f>IF($G779="","",IF($F779="",IFERROR(INDEX(Setup!$C$21:$C$60,MATCH("|"&amp;UPPER(TRIM($G779)),Setup!$Q$21:$Q$60,0)),"NO RATE"),IFERROR(INDEX(Setup!$C$21:$C$60,MATCH(UPPER(TRIM($F779))&amp;"|"&amp;UPPER(TRIM($G779)),Setup!$P$21:$P$60,0)),IFERROR(INDEX(Setup!$C$21:$C$60,MATCH(UPPER(TRIM($G779))&amp;"|"&amp;UPPER(TRIM($F779)),Setup!$P$21:$P$60,0)),"NO RATE"))))</f>
        <v/>
      </c>
      <c r="J779" s="90" t="n"/>
      <c r="K779" s="89">
        <f>IF(OR($G779="",$H779="",NOT(ISNUMBER($I779))),"",ROUND($H779*$I779*(1+IF($J779="",Setup!$B$16,$J779)),2))</f>
        <v/>
      </c>
      <c r="L779" s="89">
        <f>IF($K779="","",ROUND($K779*Setup!$B$13,2))</f>
        <v/>
      </c>
      <c r="M779" s="89">
        <f>IF($K779="","",$K779-$L779)</f>
        <v/>
      </c>
      <c r="N779" s="89">
        <f>IF(OR($M779="",$D779=""),"",ROUND($M779*IFERROR(IF(VLOOKUP($D779,Setup!$A$76:$C$87,3,FALSE)="",Setup!$B$14,VLOOKUP($D779,Setup!$A$76:$C$87,3,FALSE)),Setup!$B$14),2))</f>
        <v/>
      </c>
      <c r="O779" s="89">
        <f>IF(OR($M779="",$E779=""),"",ROUND($M779*IFERROR(IF(VLOOKUP($E779,Setup!$A$76:$C$87,3,FALSE)="",Setup!$B$15,VLOOKUP($E779,Setup!$A$76:$C$87,3,FALSE)),Setup!$B$15),2))</f>
        <v/>
      </c>
      <c r="P779" s="91" t="n"/>
      <c r="Q779" s="91" t="n"/>
      <c r="R779" s="91" t="n"/>
      <c r="S779" s="91" t="n"/>
      <c r="T779" s="91" t="n"/>
      <c r="U779" s="89">
        <f>IF($K779="","",SUM($R779:$T779))</f>
        <v/>
      </c>
      <c r="V779" s="89">
        <f>IF($K779="","",$M779-(N($N779)+N($O779)+IF($P779="",Setup!$B$17,$P779)+N($Q779))-N($U779))</f>
        <v/>
      </c>
      <c r="W779" s="86" t="n"/>
      <c r="X779" s="87" t="n"/>
      <c r="Z779" s="92">
        <f>IF($A779="","",DATE(YEAR($A779),MONTH($A779),1))</f>
        <v/>
      </c>
    </row>
    <row r="780">
      <c r="A780" s="93" t="n"/>
      <c r="B780" s="94" t="n"/>
      <c r="C780" s="94" t="n"/>
      <c r="D780" s="95" t="n"/>
      <c r="E780" s="95" t="n"/>
      <c r="F780" s="95" t="n"/>
      <c r="G780" s="95" t="n"/>
      <c r="H780" s="96" t="n"/>
      <c r="I780" s="89">
        <f>IF($G780="","",IF($F780="",IFERROR(INDEX(Setup!$C$21:$C$60,MATCH("|"&amp;UPPER(TRIM($G780)),Setup!$Q$21:$Q$60,0)),"NO RATE"),IFERROR(INDEX(Setup!$C$21:$C$60,MATCH(UPPER(TRIM($F780))&amp;"|"&amp;UPPER(TRIM($G780)),Setup!$P$21:$P$60,0)),IFERROR(INDEX(Setup!$C$21:$C$60,MATCH(UPPER(TRIM($G780))&amp;"|"&amp;UPPER(TRIM($F780)),Setup!$P$21:$P$60,0)),"NO RATE"))))</f>
        <v/>
      </c>
      <c r="J780" s="97" t="n"/>
      <c r="K780" s="89">
        <f>IF(OR($G780="",$H780="",NOT(ISNUMBER($I780))),"",ROUND($H780*$I780*(1+IF($J780="",Setup!$B$16,$J780)),2))</f>
        <v/>
      </c>
      <c r="L780" s="89">
        <f>IF($K780="","",ROUND($K780*Setup!$B$13,2))</f>
        <v/>
      </c>
      <c r="M780" s="89">
        <f>IF($K780="","",$K780-$L780)</f>
        <v/>
      </c>
      <c r="N780" s="89">
        <f>IF(OR($M780="",$D780=""),"",ROUND($M780*IFERROR(IF(VLOOKUP($D780,Setup!$A$76:$C$87,3,FALSE)="",Setup!$B$14,VLOOKUP($D780,Setup!$A$76:$C$87,3,FALSE)),Setup!$B$14),2))</f>
        <v/>
      </c>
      <c r="O780" s="89">
        <f>IF(OR($M780="",$E780=""),"",ROUND($M780*IFERROR(IF(VLOOKUP($E780,Setup!$A$76:$C$87,3,FALSE)="",Setup!$B$15,VLOOKUP($E780,Setup!$A$76:$C$87,3,FALSE)),Setup!$B$15),2))</f>
        <v/>
      </c>
      <c r="P780" s="98" t="n"/>
      <c r="Q780" s="98" t="n"/>
      <c r="R780" s="98" t="n"/>
      <c r="S780" s="98" t="n"/>
      <c r="T780" s="98" t="n"/>
      <c r="U780" s="89">
        <f>IF($K780="","",SUM($R780:$T780))</f>
        <v/>
      </c>
      <c r="V780" s="89">
        <f>IF($K780="","",$M780-(N($N780)+N($O780)+IF($P780="",Setup!$B$17,$P780)+N($Q780))-N($U780))</f>
        <v/>
      </c>
      <c r="W780" s="94" t="n"/>
      <c r="X780" s="95" t="n"/>
      <c r="Z780" s="92">
        <f>IF($A780="","",DATE(YEAR($A780),MONTH($A780),1))</f>
        <v/>
      </c>
    </row>
    <row r="781">
      <c r="A781" s="85" t="n"/>
      <c r="B781" s="86" t="n"/>
      <c r="C781" s="86" t="n"/>
      <c r="D781" s="87" t="n"/>
      <c r="E781" s="87" t="n"/>
      <c r="F781" s="87" t="n"/>
      <c r="G781" s="87" t="n"/>
      <c r="H781" s="88" t="n"/>
      <c r="I781" s="89">
        <f>IF($G781="","",IF($F781="",IFERROR(INDEX(Setup!$C$21:$C$60,MATCH("|"&amp;UPPER(TRIM($G781)),Setup!$Q$21:$Q$60,0)),"NO RATE"),IFERROR(INDEX(Setup!$C$21:$C$60,MATCH(UPPER(TRIM($F781))&amp;"|"&amp;UPPER(TRIM($G781)),Setup!$P$21:$P$60,0)),IFERROR(INDEX(Setup!$C$21:$C$60,MATCH(UPPER(TRIM($G781))&amp;"|"&amp;UPPER(TRIM($F781)),Setup!$P$21:$P$60,0)),"NO RATE"))))</f>
        <v/>
      </c>
      <c r="J781" s="90" t="n"/>
      <c r="K781" s="89">
        <f>IF(OR($G781="",$H781="",NOT(ISNUMBER($I781))),"",ROUND($H781*$I781*(1+IF($J781="",Setup!$B$16,$J781)),2))</f>
        <v/>
      </c>
      <c r="L781" s="89">
        <f>IF($K781="","",ROUND($K781*Setup!$B$13,2))</f>
        <v/>
      </c>
      <c r="M781" s="89">
        <f>IF($K781="","",$K781-$L781)</f>
        <v/>
      </c>
      <c r="N781" s="89">
        <f>IF(OR($M781="",$D781=""),"",ROUND($M781*IFERROR(IF(VLOOKUP($D781,Setup!$A$76:$C$87,3,FALSE)="",Setup!$B$14,VLOOKUP($D781,Setup!$A$76:$C$87,3,FALSE)),Setup!$B$14),2))</f>
        <v/>
      </c>
      <c r="O781" s="89">
        <f>IF(OR($M781="",$E781=""),"",ROUND($M781*IFERROR(IF(VLOOKUP($E781,Setup!$A$76:$C$87,3,FALSE)="",Setup!$B$15,VLOOKUP($E781,Setup!$A$76:$C$87,3,FALSE)),Setup!$B$15),2))</f>
        <v/>
      </c>
      <c r="P781" s="91" t="n"/>
      <c r="Q781" s="91" t="n"/>
      <c r="R781" s="91" t="n"/>
      <c r="S781" s="91" t="n"/>
      <c r="T781" s="91" t="n"/>
      <c r="U781" s="89">
        <f>IF($K781="","",SUM($R781:$T781))</f>
        <v/>
      </c>
      <c r="V781" s="89">
        <f>IF($K781="","",$M781-(N($N781)+N($O781)+IF($P781="",Setup!$B$17,$P781)+N($Q781))-N($U781))</f>
        <v/>
      </c>
      <c r="W781" s="86" t="n"/>
      <c r="X781" s="87" t="n"/>
      <c r="Z781" s="92">
        <f>IF($A781="","",DATE(YEAR($A781),MONTH($A781),1))</f>
        <v/>
      </c>
    </row>
    <row r="782">
      <c r="A782" s="93" t="n"/>
      <c r="B782" s="94" t="n"/>
      <c r="C782" s="94" t="n"/>
      <c r="D782" s="95" t="n"/>
      <c r="E782" s="95" t="n"/>
      <c r="F782" s="95" t="n"/>
      <c r="G782" s="95" t="n"/>
      <c r="H782" s="96" t="n"/>
      <c r="I782" s="89">
        <f>IF($G782="","",IF($F782="",IFERROR(INDEX(Setup!$C$21:$C$60,MATCH("|"&amp;UPPER(TRIM($G782)),Setup!$Q$21:$Q$60,0)),"NO RATE"),IFERROR(INDEX(Setup!$C$21:$C$60,MATCH(UPPER(TRIM($F782))&amp;"|"&amp;UPPER(TRIM($G782)),Setup!$P$21:$P$60,0)),IFERROR(INDEX(Setup!$C$21:$C$60,MATCH(UPPER(TRIM($G782))&amp;"|"&amp;UPPER(TRIM($F782)),Setup!$P$21:$P$60,0)),"NO RATE"))))</f>
        <v/>
      </c>
      <c r="J782" s="97" t="n"/>
      <c r="K782" s="89">
        <f>IF(OR($G782="",$H782="",NOT(ISNUMBER($I782))),"",ROUND($H782*$I782*(1+IF($J782="",Setup!$B$16,$J782)),2))</f>
        <v/>
      </c>
      <c r="L782" s="89">
        <f>IF($K782="","",ROUND($K782*Setup!$B$13,2))</f>
        <v/>
      </c>
      <c r="M782" s="89">
        <f>IF($K782="","",$K782-$L782)</f>
        <v/>
      </c>
      <c r="N782" s="89">
        <f>IF(OR($M782="",$D782=""),"",ROUND($M782*IFERROR(IF(VLOOKUP($D782,Setup!$A$76:$C$87,3,FALSE)="",Setup!$B$14,VLOOKUP($D782,Setup!$A$76:$C$87,3,FALSE)),Setup!$B$14),2))</f>
        <v/>
      </c>
      <c r="O782" s="89">
        <f>IF(OR($M782="",$E782=""),"",ROUND($M782*IFERROR(IF(VLOOKUP($E782,Setup!$A$76:$C$87,3,FALSE)="",Setup!$B$15,VLOOKUP($E782,Setup!$A$76:$C$87,3,FALSE)),Setup!$B$15),2))</f>
        <v/>
      </c>
      <c r="P782" s="98" t="n"/>
      <c r="Q782" s="98" t="n"/>
      <c r="R782" s="98" t="n"/>
      <c r="S782" s="98" t="n"/>
      <c r="T782" s="98" t="n"/>
      <c r="U782" s="89">
        <f>IF($K782="","",SUM($R782:$T782))</f>
        <v/>
      </c>
      <c r="V782" s="89">
        <f>IF($K782="","",$M782-(N($N782)+N($O782)+IF($P782="",Setup!$B$17,$P782)+N($Q782))-N($U782))</f>
        <v/>
      </c>
      <c r="W782" s="94" t="n"/>
      <c r="X782" s="95" t="n"/>
      <c r="Z782" s="92">
        <f>IF($A782="","",DATE(YEAR($A782),MONTH($A782),1))</f>
        <v/>
      </c>
    </row>
    <row r="783">
      <c r="A783" s="85" t="n"/>
      <c r="B783" s="86" t="n"/>
      <c r="C783" s="86" t="n"/>
      <c r="D783" s="87" t="n"/>
      <c r="E783" s="87" t="n"/>
      <c r="F783" s="87" t="n"/>
      <c r="G783" s="87" t="n"/>
      <c r="H783" s="88" t="n"/>
      <c r="I783" s="89">
        <f>IF($G783="","",IF($F783="",IFERROR(INDEX(Setup!$C$21:$C$60,MATCH("|"&amp;UPPER(TRIM($G783)),Setup!$Q$21:$Q$60,0)),"NO RATE"),IFERROR(INDEX(Setup!$C$21:$C$60,MATCH(UPPER(TRIM($F783))&amp;"|"&amp;UPPER(TRIM($G783)),Setup!$P$21:$P$60,0)),IFERROR(INDEX(Setup!$C$21:$C$60,MATCH(UPPER(TRIM($G783))&amp;"|"&amp;UPPER(TRIM($F783)),Setup!$P$21:$P$60,0)),"NO RATE"))))</f>
        <v/>
      </c>
      <c r="J783" s="90" t="n"/>
      <c r="K783" s="89">
        <f>IF(OR($G783="",$H783="",NOT(ISNUMBER($I783))),"",ROUND($H783*$I783*(1+IF($J783="",Setup!$B$16,$J783)),2))</f>
        <v/>
      </c>
      <c r="L783" s="89">
        <f>IF($K783="","",ROUND($K783*Setup!$B$13,2))</f>
        <v/>
      </c>
      <c r="M783" s="89">
        <f>IF($K783="","",$K783-$L783)</f>
        <v/>
      </c>
      <c r="N783" s="89">
        <f>IF(OR($M783="",$D783=""),"",ROUND($M783*IFERROR(IF(VLOOKUP($D783,Setup!$A$76:$C$87,3,FALSE)="",Setup!$B$14,VLOOKUP($D783,Setup!$A$76:$C$87,3,FALSE)),Setup!$B$14),2))</f>
        <v/>
      </c>
      <c r="O783" s="89">
        <f>IF(OR($M783="",$E783=""),"",ROUND($M783*IFERROR(IF(VLOOKUP($E783,Setup!$A$76:$C$87,3,FALSE)="",Setup!$B$15,VLOOKUP($E783,Setup!$A$76:$C$87,3,FALSE)),Setup!$B$15),2))</f>
        <v/>
      </c>
      <c r="P783" s="91" t="n"/>
      <c r="Q783" s="91" t="n"/>
      <c r="R783" s="91" t="n"/>
      <c r="S783" s="91" t="n"/>
      <c r="T783" s="91" t="n"/>
      <c r="U783" s="89">
        <f>IF($K783="","",SUM($R783:$T783))</f>
        <v/>
      </c>
      <c r="V783" s="89">
        <f>IF($K783="","",$M783-(N($N783)+N($O783)+IF($P783="",Setup!$B$17,$P783)+N($Q783))-N($U783))</f>
        <v/>
      </c>
      <c r="W783" s="86" t="n"/>
      <c r="X783" s="87" t="n"/>
      <c r="Z783" s="92">
        <f>IF($A783="","",DATE(YEAR($A783),MONTH($A783),1))</f>
        <v/>
      </c>
    </row>
    <row r="784">
      <c r="A784" s="93" t="n"/>
      <c r="B784" s="94" t="n"/>
      <c r="C784" s="94" t="n"/>
      <c r="D784" s="95" t="n"/>
      <c r="E784" s="95" t="n"/>
      <c r="F784" s="95" t="n"/>
      <c r="G784" s="95" t="n"/>
      <c r="H784" s="96" t="n"/>
      <c r="I784" s="89">
        <f>IF($G784="","",IF($F784="",IFERROR(INDEX(Setup!$C$21:$C$60,MATCH("|"&amp;UPPER(TRIM($G784)),Setup!$Q$21:$Q$60,0)),"NO RATE"),IFERROR(INDEX(Setup!$C$21:$C$60,MATCH(UPPER(TRIM($F784))&amp;"|"&amp;UPPER(TRIM($G784)),Setup!$P$21:$P$60,0)),IFERROR(INDEX(Setup!$C$21:$C$60,MATCH(UPPER(TRIM($G784))&amp;"|"&amp;UPPER(TRIM($F784)),Setup!$P$21:$P$60,0)),"NO RATE"))))</f>
        <v/>
      </c>
      <c r="J784" s="97" t="n"/>
      <c r="K784" s="89">
        <f>IF(OR($G784="",$H784="",NOT(ISNUMBER($I784))),"",ROUND($H784*$I784*(1+IF($J784="",Setup!$B$16,$J784)),2))</f>
        <v/>
      </c>
      <c r="L784" s="89">
        <f>IF($K784="","",ROUND($K784*Setup!$B$13,2))</f>
        <v/>
      </c>
      <c r="M784" s="89">
        <f>IF($K784="","",$K784-$L784)</f>
        <v/>
      </c>
      <c r="N784" s="89">
        <f>IF(OR($M784="",$D784=""),"",ROUND($M784*IFERROR(IF(VLOOKUP($D784,Setup!$A$76:$C$87,3,FALSE)="",Setup!$B$14,VLOOKUP($D784,Setup!$A$76:$C$87,3,FALSE)),Setup!$B$14),2))</f>
        <v/>
      </c>
      <c r="O784" s="89">
        <f>IF(OR($M784="",$E784=""),"",ROUND($M784*IFERROR(IF(VLOOKUP($E784,Setup!$A$76:$C$87,3,FALSE)="",Setup!$B$15,VLOOKUP($E784,Setup!$A$76:$C$87,3,FALSE)),Setup!$B$15),2))</f>
        <v/>
      </c>
      <c r="P784" s="98" t="n"/>
      <c r="Q784" s="98" t="n"/>
      <c r="R784" s="98" t="n"/>
      <c r="S784" s="98" t="n"/>
      <c r="T784" s="98" t="n"/>
      <c r="U784" s="89">
        <f>IF($K784="","",SUM($R784:$T784))</f>
        <v/>
      </c>
      <c r="V784" s="89">
        <f>IF($K784="","",$M784-(N($N784)+N($O784)+IF($P784="",Setup!$B$17,$P784)+N($Q784))-N($U784))</f>
        <v/>
      </c>
      <c r="W784" s="94" t="n"/>
      <c r="X784" s="95" t="n"/>
      <c r="Z784" s="92">
        <f>IF($A784="","",DATE(YEAR($A784),MONTH($A784),1))</f>
        <v/>
      </c>
    </row>
    <row r="785">
      <c r="A785" s="85" t="n"/>
      <c r="B785" s="86" t="n"/>
      <c r="C785" s="86" t="n"/>
      <c r="D785" s="87" t="n"/>
      <c r="E785" s="87" t="n"/>
      <c r="F785" s="87" t="n"/>
      <c r="G785" s="87" t="n"/>
      <c r="H785" s="88" t="n"/>
      <c r="I785" s="89">
        <f>IF($G785="","",IF($F785="",IFERROR(INDEX(Setup!$C$21:$C$60,MATCH("|"&amp;UPPER(TRIM($G785)),Setup!$Q$21:$Q$60,0)),"NO RATE"),IFERROR(INDEX(Setup!$C$21:$C$60,MATCH(UPPER(TRIM($F785))&amp;"|"&amp;UPPER(TRIM($G785)),Setup!$P$21:$P$60,0)),IFERROR(INDEX(Setup!$C$21:$C$60,MATCH(UPPER(TRIM($G785))&amp;"|"&amp;UPPER(TRIM($F785)),Setup!$P$21:$P$60,0)),"NO RATE"))))</f>
        <v/>
      </c>
      <c r="J785" s="90" t="n"/>
      <c r="K785" s="89">
        <f>IF(OR($G785="",$H785="",NOT(ISNUMBER($I785))),"",ROUND($H785*$I785*(1+IF($J785="",Setup!$B$16,$J785)),2))</f>
        <v/>
      </c>
      <c r="L785" s="89">
        <f>IF($K785="","",ROUND($K785*Setup!$B$13,2))</f>
        <v/>
      </c>
      <c r="M785" s="89">
        <f>IF($K785="","",$K785-$L785)</f>
        <v/>
      </c>
      <c r="N785" s="89">
        <f>IF(OR($M785="",$D785=""),"",ROUND($M785*IFERROR(IF(VLOOKUP($D785,Setup!$A$76:$C$87,3,FALSE)="",Setup!$B$14,VLOOKUP($D785,Setup!$A$76:$C$87,3,FALSE)),Setup!$B$14),2))</f>
        <v/>
      </c>
      <c r="O785" s="89">
        <f>IF(OR($M785="",$E785=""),"",ROUND($M785*IFERROR(IF(VLOOKUP($E785,Setup!$A$76:$C$87,3,FALSE)="",Setup!$B$15,VLOOKUP($E785,Setup!$A$76:$C$87,3,FALSE)),Setup!$B$15),2))</f>
        <v/>
      </c>
      <c r="P785" s="91" t="n"/>
      <c r="Q785" s="91" t="n"/>
      <c r="R785" s="91" t="n"/>
      <c r="S785" s="91" t="n"/>
      <c r="T785" s="91" t="n"/>
      <c r="U785" s="89">
        <f>IF($K785="","",SUM($R785:$T785))</f>
        <v/>
      </c>
      <c r="V785" s="89">
        <f>IF($K785="","",$M785-(N($N785)+N($O785)+IF($P785="",Setup!$B$17,$P785)+N($Q785))-N($U785))</f>
        <v/>
      </c>
      <c r="W785" s="86" t="n"/>
      <c r="X785" s="87" t="n"/>
      <c r="Z785" s="92">
        <f>IF($A785="","",DATE(YEAR($A785),MONTH($A785),1))</f>
        <v/>
      </c>
    </row>
    <row r="786">
      <c r="A786" s="93" t="n"/>
      <c r="B786" s="94" t="n"/>
      <c r="C786" s="94" t="n"/>
      <c r="D786" s="95" t="n"/>
      <c r="E786" s="95" t="n"/>
      <c r="F786" s="95" t="n"/>
      <c r="G786" s="95" t="n"/>
      <c r="H786" s="96" t="n"/>
      <c r="I786" s="89">
        <f>IF($G786="","",IF($F786="",IFERROR(INDEX(Setup!$C$21:$C$60,MATCH("|"&amp;UPPER(TRIM($G786)),Setup!$Q$21:$Q$60,0)),"NO RATE"),IFERROR(INDEX(Setup!$C$21:$C$60,MATCH(UPPER(TRIM($F786))&amp;"|"&amp;UPPER(TRIM($G786)),Setup!$P$21:$P$60,0)),IFERROR(INDEX(Setup!$C$21:$C$60,MATCH(UPPER(TRIM($G786))&amp;"|"&amp;UPPER(TRIM($F786)),Setup!$P$21:$P$60,0)),"NO RATE"))))</f>
        <v/>
      </c>
      <c r="J786" s="97" t="n"/>
      <c r="K786" s="89">
        <f>IF(OR($G786="",$H786="",NOT(ISNUMBER($I786))),"",ROUND($H786*$I786*(1+IF($J786="",Setup!$B$16,$J786)),2))</f>
        <v/>
      </c>
      <c r="L786" s="89">
        <f>IF($K786="","",ROUND($K786*Setup!$B$13,2))</f>
        <v/>
      </c>
      <c r="M786" s="89">
        <f>IF($K786="","",$K786-$L786)</f>
        <v/>
      </c>
      <c r="N786" s="89">
        <f>IF(OR($M786="",$D786=""),"",ROUND($M786*IFERROR(IF(VLOOKUP($D786,Setup!$A$76:$C$87,3,FALSE)="",Setup!$B$14,VLOOKUP($D786,Setup!$A$76:$C$87,3,FALSE)),Setup!$B$14),2))</f>
        <v/>
      </c>
      <c r="O786" s="89">
        <f>IF(OR($M786="",$E786=""),"",ROUND($M786*IFERROR(IF(VLOOKUP($E786,Setup!$A$76:$C$87,3,FALSE)="",Setup!$B$15,VLOOKUP($E786,Setup!$A$76:$C$87,3,FALSE)),Setup!$B$15),2))</f>
        <v/>
      </c>
      <c r="P786" s="98" t="n"/>
      <c r="Q786" s="98" t="n"/>
      <c r="R786" s="98" t="n"/>
      <c r="S786" s="98" t="n"/>
      <c r="T786" s="98" t="n"/>
      <c r="U786" s="89">
        <f>IF($K786="","",SUM($R786:$T786))</f>
        <v/>
      </c>
      <c r="V786" s="89">
        <f>IF($K786="","",$M786-(N($N786)+N($O786)+IF($P786="",Setup!$B$17,$P786)+N($Q786))-N($U786))</f>
        <v/>
      </c>
      <c r="W786" s="94" t="n"/>
      <c r="X786" s="95" t="n"/>
      <c r="Z786" s="92">
        <f>IF($A786="","",DATE(YEAR($A786),MONTH($A786),1))</f>
        <v/>
      </c>
    </row>
    <row r="787">
      <c r="A787" s="85" t="n"/>
      <c r="B787" s="86" t="n"/>
      <c r="C787" s="86" t="n"/>
      <c r="D787" s="87" t="n"/>
      <c r="E787" s="87" t="n"/>
      <c r="F787" s="87" t="n"/>
      <c r="G787" s="87" t="n"/>
      <c r="H787" s="88" t="n"/>
      <c r="I787" s="89">
        <f>IF($G787="","",IF($F787="",IFERROR(INDEX(Setup!$C$21:$C$60,MATCH("|"&amp;UPPER(TRIM($G787)),Setup!$Q$21:$Q$60,0)),"NO RATE"),IFERROR(INDEX(Setup!$C$21:$C$60,MATCH(UPPER(TRIM($F787))&amp;"|"&amp;UPPER(TRIM($G787)),Setup!$P$21:$P$60,0)),IFERROR(INDEX(Setup!$C$21:$C$60,MATCH(UPPER(TRIM($G787))&amp;"|"&amp;UPPER(TRIM($F787)),Setup!$P$21:$P$60,0)),"NO RATE"))))</f>
        <v/>
      </c>
      <c r="J787" s="90" t="n"/>
      <c r="K787" s="89">
        <f>IF(OR($G787="",$H787="",NOT(ISNUMBER($I787))),"",ROUND($H787*$I787*(1+IF($J787="",Setup!$B$16,$J787)),2))</f>
        <v/>
      </c>
      <c r="L787" s="89">
        <f>IF($K787="","",ROUND($K787*Setup!$B$13,2))</f>
        <v/>
      </c>
      <c r="M787" s="89">
        <f>IF($K787="","",$K787-$L787)</f>
        <v/>
      </c>
      <c r="N787" s="89">
        <f>IF(OR($M787="",$D787=""),"",ROUND($M787*IFERROR(IF(VLOOKUP($D787,Setup!$A$76:$C$87,3,FALSE)="",Setup!$B$14,VLOOKUP($D787,Setup!$A$76:$C$87,3,FALSE)),Setup!$B$14),2))</f>
        <v/>
      </c>
      <c r="O787" s="89">
        <f>IF(OR($M787="",$E787=""),"",ROUND($M787*IFERROR(IF(VLOOKUP($E787,Setup!$A$76:$C$87,3,FALSE)="",Setup!$B$15,VLOOKUP($E787,Setup!$A$76:$C$87,3,FALSE)),Setup!$B$15),2))</f>
        <v/>
      </c>
      <c r="P787" s="91" t="n"/>
      <c r="Q787" s="91" t="n"/>
      <c r="R787" s="91" t="n"/>
      <c r="S787" s="91" t="n"/>
      <c r="T787" s="91" t="n"/>
      <c r="U787" s="89">
        <f>IF($K787="","",SUM($R787:$T787))</f>
        <v/>
      </c>
      <c r="V787" s="89">
        <f>IF($K787="","",$M787-(N($N787)+N($O787)+IF($P787="",Setup!$B$17,$P787)+N($Q787))-N($U787))</f>
        <v/>
      </c>
      <c r="W787" s="86" t="n"/>
      <c r="X787" s="87" t="n"/>
      <c r="Z787" s="92">
        <f>IF($A787="","",DATE(YEAR($A787),MONTH($A787),1))</f>
        <v/>
      </c>
    </row>
    <row r="788">
      <c r="A788" s="93" t="n"/>
      <c r="B788" s="94" t="n"/>
      <c r="C788" s="94" t="n"/>
      <c r="D788" s="95" t="n"/>
      <c r="E788" s="95" t="n"/>
      <c r="F788" s="95" t="n"/>
      <c r="G788" s="95" t="n"/>
      <c r="H788" s="96" t="n"/>
      <c r="I788" s="89">
        <f>IF($G788="","",IF($F788="",IFERROR(INDEX(Setup!$C$21:$C$60,MATCH("|"&amp;UPPER(TRIM($G788)),Setup!$Q$21:$Q$60,0)),"NO RATE"),IFERROR(INDEX(Setup!$C$21:$C$60,MATCH(UPPER(TRIM($F788))&amp;"|"&amp;UPPER(TRIM($G788)),Setup!$P$21:$P$60,0)),IFERROR(INDEX(Setup!$C$21:$C$60,MATCH(UPPER(TRIM($G788))&amp;"|"&amp;UPPER(TRIM($F788)),Setup!$P$21:$P$60,0)),"NO RATE"))))</f>
        <v/>
      </c>
      <c r="J788" s="97" t="n"/>
      <c r="K788" s="89">
        <f>IF(OR($G788="",$H788="",NOT(ISNUMBER($I788))),"",ROUND($H788*$I788*(1+IF($J788="",Setup!$B$16,$J788)),2))</f>
        <v/>
      </c>
      <c r="L788" s="89">
        <f>IF($K788="","",ROUND($K788*Setup!$B$13,2))</f>
        <v/>
      </c>
      <c r="M788" s="89">
        <f>IF($K788="","",$K788-$L788)</f>
        <v/>
      </c>
      <c r="N788" s="89">
        <f>IF(OR($M788="",$D788=""),"",ROUND($M788*IFERROR(IF(VLOOKUP($D788,Setup!$A$76:$C$87,3,FALSE)="",Setup!$B$14,VLOOKUP($D788,Setup!$A$76:$C$87,3,FALSE)),Setup!$B$14),2))</f>
        <v/>
      </c>
      <c r="O788" s="89">
        <f>IF(OR($M788="",$E788=""),"",ROUND($M788*IFERROR(IF(VLOOKUP($E788,Setup!$A$76:$C$87,3,FALSE)="",Setup!$B$15,VLOOKUP($E788,Setup!$A$76:$C$87,3,FALSE)),Setup!$B$15),2))</f>
        <v/>
      </c>
      <c r="P788" s="98" t="n"/>
      <c r="Q788" s="98" t="n"/>
      <c r="R788" s="98" t="n"/>
      <c r="S788" s="98" t="n"/>
      <c r="T788" s="98" t="n"/>
      <c r="U788" s="89">
        <f>IF($K788="","",SUM($R788:$T788))</f>
        <v/>
      </c>
      <c r="V788" s="89">
        <f>IF($K788="","",$M788-(N($N788)+N($O788)+IF($P788="",Setup!$B$17,$P788)+N($Q788))-N($U788))</f>
        <v/>
      </c>
      <c r="W788" s="94" t="n"/>
      <c r="X788" s="95" t="n"/>
      <c r="Z788" s="92">
        <f>IF($A788="","",DATE(YEAR($A788),MONTH($A788),1))</f>
        <v/>
      </c>
    </row>
    <row r="789">
      <c r="A789" s="85" t="n"/>
      <c r="B789" s="86" t="n"/>
      <c r="C789" s="86" t="n"/>
      <c r="D789" s="87" t="n"/>
      <c r="E789" s="87" t="n"/>
      <c r="F789" s="87" t="n"/>
      <c r="G789" s="87" t="n"/>
      <c r="H789" s="88" t="n"/>
      <c r="I789" s="89">
        <f>IF($G789="","",IF($F789="",IFERROR(INDEX(Setup!$C$21:$C$60,MATCH("|"&amp;UPPER(TRIM($G789)),Setup!$Q$21:$Q$60,0)),"NO RATE"),IFERROR(INDEX(Setup!$C$21:$C$60,MATCH(UPPER(TRIM($F789))&amp;"|"&amp;UPPER(TRIM($G789)),Setup!$P$21:$P$60,0)),IFERROR(INDEX(Setup!$C$21:$C$60,MATCH(UPPER(TRIM($G789))&amp;"|"&amp;UPPER(TRIM($F789)),Setup!$P$21:$P$60,0)),"NO RATE"))))</f>
        <v/>
      </c>
      <c r="J789" s="90" t="n"/>
      <c r="K789" s="89">
        <f>IF(OR($G789="",$H789="",NOT(ISNUMBER($I789))),"",ROUND($H789*$I789*(1+IF($J789="",Setup!$B$16,$J789)),2))</f>
        <v/>
      </c>
      <c r="L789" s="89">
        <f>IF($K789="","",ROUND($K789*Setup!$B$13,2))</f>
        <v/>
      </c>
      <c r="M789" s="89">
        <f>IF($K789="","",$K789-$L789)</f>
        <v/>
      </c>
      <c r="N789" s="89">
        <f>IF(OR($M789="",$D789=""),"",ROUND($M789*IFERROR(IF(VLOOKUP($D789,Setup!$A$76:$C$87,3,FALSE)="",Setup!$B$14,VLOOKUP($D789,Setup!$A$76:$C$87,3,FALSE)),Setup!$B$14),2))</f>
        <v/>
      </c>
      <c r="O789" s="89">
        <f>IF(OR($M789="",$E789=""),"",ROUND($M789*IFERROR(IF(VLOOKUP($E789,Setup!$A$76:$C$87,3,FALSE)="",Setup!$B$15,VLOOKUP($E789,Setup!$A$76:$C$87,3,FALSE)),Setup!$B$15),2))</f>
        <v/>
      </c>
      <c r="P789" s="91" t="n"/>
      <c r="Q789" s="91" t="n"/>
      <c r="R789" s="91" t="n"/>
      <c r="S789" s="91" t="n"/>
      <c r="T789" s="91" t="n"/>
      <c r="U789" s="89">
        <f>IF($K789="","",SUM($R789:$T789))</f>
        <v/>
      </c>
      <c r="V789" s="89">
        <f>IF($K789="","",$M789-(N($N789)+N($O789)+IF($P789="",Setup!$B$17,$P789)+N($Q789))-N($U789))</f>
        <v/>
      </c>
      <c r="W789" s="86" t="n"/>
      <c r="X789" s="87" t="n"/>
      <c r="Z789" s="92">
        <f>IF($A789="","",DATE(YEAR($A789),MONTH($A789),1))</f>
        <v/>
      </c>
    </row>
    <row r="790">
      <c r="A790" s="93" t="n"/>
      <c r="B790" s="94" t="n"/>
      <c r="C790" s="94" t="n"/>
      <c r="D790" s="95" t="n"/>
      <c r="E790" s="95" t="n"/>
      <c r="F790" s="95" t="n"/>
      <c r="G790" s="95" t="n"/>
      <c r="H790" s="96" t="n"/>
      <c r="I790" s="89">
        <f>IF($G790="","",IF($F790="",IFERROR(INDEX(Setup!$C$21:$C$60,MATCH("|"&amp;UPPER(TRIM($G790)),Setup!$Q$21:$Q$60,0)),"NO RATE"),IFERROR(INDEX(Setup!$C$21:$C$60,MATCH(UPPER(TRIM($F790))&amp;"|"&amp;UPPER(TRIM($G790)),Setup!$P$21:$P$60,0)),IFERROR(INDEX(Setup!$C$21:$C$60,MATCH(UPPER(TRIM($G790))&amp;"|"&amp;UPPER(TRIM($F790)),Setup!$P$21:$P$60,0)),"NO RATE"))))</f>
        <v/>
      </c>
      <c r="J790" s="97" t="n"/>
      <c r="K790" s="89">
        <f>IF(OR($G790="",$H790="",NOT(ISNUMBER($I790))),"",ROUND($H790*$I790*(1+IF($J790="",Setup!$B$16,$J790)),2))</f>
        <v/>
      </c>
      <c r="L790" s="89">
        <f>IF($K790="","",ROUND($K790*Setup!$B$13,2))</f>
        <v/>
      </c>
      <c r="M790" s="89">
        <f>IF($K790="","",$K790-$L790)</f>
        <v/>
      </c>
      <c r="N790" s="89">
        <f>IF(OR($M790="",$D790=""),"",ROUND($M790*IFERROR(IF(VLOOKUP($D790,Setup!$A$76:$C$87,3,FALSE)="",Setup!$B$14,VLOOKUP($D790,Setup!$A$76:$C$87,3,FALSE)),Setup!$B$14),2))</f>
        <v/>
      </c>
      <c r="O790" s="89">
        <f>IF(OR($M790="",$E790=""),"",ROUND($M790*IFERROR(IF(VLOOKUP($E790,Setup!$A$76:$C$87,3,FALSE)="",Setup!$B$15,VLOOKUP($E790,Setup!$A$76:$C$87,3,FALSE)),Setup!$B$15),2))</f>
        <v/>
      </c>
      <c r="P790" s="98" t="n"/>
      <c r="Q790" s="98" t="n"/>
      <c r="R790" s="98" t="n"/>
      <c r="S790" s="98" t="n"/>
      <c r="T790" s="98" t="n"/>
      <c r="U790" s="89">
        <f>IF($K790="","",SUM($R790:$T790))</f>
        <v/>
      </c>
      <c r="V790" s="89">
        <f>IF($K790="","",$M790-(N($N790)+N($O790)+IF($P790="",Setup!$B$17,$P790)+N($Q790))-N($U790))</f>
        <v/>
      </c>
      <c r="W790" s="94" t="n"/>
      <c r="X790" s="95" t="n"/>
      <c r="Z790" s="92">
        <f>IF($A790="","",DATE(YEAR($A790),MONTH($A790),1))</f>
        <v/>
      </c>
    </row>
    <row r="791">
      <c r="A791" s="85" t="n"/>
      <c r="B791" s="86" t="n"/>
      <c r="C791" s="86" t="n"/>
      <c r="D791" s="87" t="n"/>
      <c r="E791" s="87" t="n"/>
      <c r="F791" s="87" t="n"/>
      <c r="G791" s="87" t="n"/>
      <c r="H791" s="88" t="n"/>
      <c r="I791" s="89">
        <f>IF($G791="","",IF($F791="",IFERROR(INDEX(Setup!$C$21:$C$60,MATCH("|"&amp;UPPER(TRIM($G791)),Setup!$Q$21:$Q$60,0)),"NO RATE"),IFERROR(INDEX(Setup!$C$21:$C$60,MATCH(UPPER(TRIM($F791))&amp;"|"&amp;UPPER(TRIM($G791)),Setup!$P$21:$P$60,0)),IFERROR(INDEX(Setup!$C$21:$C$60,MATCH(UPPER(TRIM($G791))&amp;"|"&amp;UPPER(TRIM($F791)),Setup!$P$21:$P$60,0)),"NO RATE"))))</f>
        <v/>
      </c>
      <c r="J791" s="90" t="n"/>
      <c r="K791" s="89">
        <f>IF(OR($G791="",$H791="",NOT(ISNUMBER($I791))),"",ROUND($H791*$I791*(1+IF($J791="",Setup!$B$16,$J791)),2))</f>
        <v/>
      </c>
      <c r="L791" s="89">
        <f>IF($K791="","",ROUND($K791*Setup!$B$13,2))</f>
        <v/>
      </c>
      <c r="M791" s="89">
        <f>IF($K791="","",$K791-$L791)</f>
        <v/>
      </c>
      <c r="N791" s="89">
        <f>IF(OR($M791="",$D791=""),"",ROUND($M791*IFERROR(IF(VLOOKUP($D791,Setup!$A$76:$C$87,3,FALSE)="",Setup!$B$14,VLOOKUP($D791,Setup!$A$76:$C$87,3,FALSE)),Setup!$B$14),2))</f>
        <v/>
      </c>
      <c r="O791" s="89">
        <f>IF(OR($M791="",$E791=""),"",ROUND($M791*IFERROR(IF(VLOOKUP($E791,Setup!$A$76:$C$87,3,FALSE)="",Setup!$B$15,VLOOKUP($E791,Setup!$A$76:$C$87,3,FALSE)),Setup!$B$15),2))</f>
        <v/>
      </c>
      <c r="P791" s="91" t="n"/>
      <c r="Q791" s="91" t="n"/>
      <c r="R791" s="91" t="n"/>
      <c r="S791" s="91" t="n"/>
      <c r="T791" s="91" t="n"/>
      <c r="U791" s="89">
        <f>IF($K791="","",SUM($R791:$T791))</f>
        <v/>
      </c>
      <c r="V791" s="89">
        <f>IF($K791="","",$M791-(N($N791)+N($O791)+IF($P791="",Setup!$B$17,$P791)+N($Q791))-N($U791))</f>
        <v/>
      </c>
      <c r="W791" s="86" t="n"/>
      <c r="X791" s="87" t="n"/>
      <c r="Z791" s="92">
        <f>IF($A791="","",DATE(YEAR($A791),MONTH($A791),1))</f>
        <v/>
      </c>
    </row>
    <row r="792">
      <c r="A792" s="93" t="n"/>
      <c r="B792" s="94" t="n"/>
      <c r="C792" s="94" t="n"/>
      <c r="D792" s="95" t="n"/>
      <c r="E792" s="95" t="n"/>
      <c r="F792" s="95" t="n"/>
      <c r="G792" s="95" t="n"/>
      <c r="H792" s="96" t="n"/>
      <c r="I792" s="89">
        <f>IF($G792="","",IF($F792="",IFERROR(INDEX(Setup!$C$21:$C$60,MATCH("|"&amp;UPPER(TRIM($G792)),Setup!$Q$21:$Q$60,0)),"NO RATE"),IFERROR(INDEX(Setup!$C$21:$C$60,MATCH(UPPER(TRIM($F792))&amp;"|"&amp;UPPER(TRIM($G792)),Setup!$P$21:$P$60,0)),IFERROR(INDEX(Setup!$C$21:$C$60,MATCH(UPPER(TRIM($G792))&amp;"|"&amp;UPPER(TRIM($F792)),Setup!$P$21:$P$60,0)),"NO RATE"))))</f>
        <v/>
      </c>
      <c r="J792" s="97" t="n"/>
      <c r="K792" s="89">
        <f>IF(OR($G792="",$H792="",NOT(ISNUMBER($I792))),"",ROUND($H792*$I792*(1+IF($J792="",Setup!$B$16,$J792)),2))</f>
        <v/>
      </c>
      <c r="L792" s="89">
        <f>IF($K792="","",ROUND($K792*Setup!$B$13,2))</f>
        <v/>
      </c>
      <c r="M792" s="89">
        <f>IF($K792="","",$K792-$L792)</f>
        <v/>
      </c>
      <c r="N792" s="89">
        <f>IF(OR($M792="",$D792=""),"",ROUND($M792*IFERROR(IF(VLOOKUP($D792,Setup!$A$76:$C$87,3,FALSE)="",Setup!$B$14,VLOOKUP($D792,Setup!$A$76:$C$87,3,FALSE)),Setup!$B$14),2))</f>
        <v/>
      </c>
      <c r="O792" s="89">
        <f>IF(OR($M792="",$E792=""),"",ROUND($M792*IFERROR(IF(VLOOKUP($E792,Setup!$A$76:$C$87,3,FALSE)="",Setup!$B$15,VLOOKUP($E792,Setup!$A$76:$C$87,3,FALSE)),Setup!$B$15),2))</f>
        <v/>
      </c>
      <c r="P792" s="98" t="n"/>
      <c r="Q792" s="98" t="n"/>
      <c r="R792" s="98" t="n"/>
      <c r="S792" s="98" t="n"/>
      <c r="T792" s="98" t="n"/>
      <c r="U792" s="89">
        <f>IF($K792="","",SUM($R792:$T792))</f>
        <v/>
      </c>
      <c r="V792" s="89">
        <f>IF($K792="","",$M792-(N($N792)+N($O792)+IF($P792="",Setup!$B$17,$P792)+N($Q792))-N($U792))</f>
        <v/>
      </c>
      <c r="W792" s="94" t="n"/>
      <c r="X792" s="95" t="n"/>
      <c r="Z792" s="92">
        <f>IF($A792="","",DATE(YEAR($A792),MONTH($A792),1))</f>
        <v/>
      </c>
    </row>
    <row r="793">
      <c r="A793" s="85" t="n"/>
      <c r="B793" s="86" t="n"/>
      <c r="C793" s="86" t="n"/>
      <c r="D793" s="87" t="n"/>
      <c r="E793" s="87" t="n"/>
      <c r="F793" s="87" t="n"/>
      <c r="G793" s="87" t="n"/>
      <c r="H793" s="88" t="n"/>
      <c r="I793" s="89">
        <f>IF($G793="","",IF($F793="",IFERROR(INDEX(Setup!$C$21:$C$60,MATCH("|"&amp;UPPER(TRIM($G793)),Setup!$Q$21:$Q$60,0)),"NO RATE"),IFERROR(INDEX(Setup!$C$21:$C$60,MATCH(UPPER(TRIM($F793))&amp;"|"&amp;UPPER(TRIM($G793)),Setup!$P$21:$P$60,0)),IFERROR(INDEX(Setup!$C$21:$C$60,MATCH(UPPER(TRIM($G793))&amp;"|"&amp;UPPER(TRIM($F793)),Setup!$P$21:$P$60,0)),"NO RATE"))))</f>
        <v/>
      </c>
      <c r="J793" s="90" t="n"/>
      <c r="K793" s="89">
        <f>IF(OR($G793="",$H793="",NOT(ISNUMBER($I793))),"",ROUND($H793*$I793*(1+IF($J793="",Setup!$B$16,$J793)),2))</f>
        <v/>
      </c>
      <c r="L793" s="89">
        <f>IF($K793="","",ROUND($K793*Setup!$B$13,2))</f>
        <v/>
      </c>
      <c r="M793" s="89">
        <f>IF($K793="","",$K793-$L793)</f>
        <v/>
      </c>
      <c r="N793" s="89">
        <f>IF(OR($M793="",$D793=""),"",ROUND($M793*IFERROR(IF(VLOOKUP($D793,Setup!$A$76:$C$87,3,FALSE)="",Setup!$B$14,VLOOKUP($D793,Setup!$A$76:$C$87,3,FALSE)),Setup!$B$14),2))</f>
        <v/>
      </c>
      <c r="O793" s="89">
        <f>IF(OR($M793="",$E793=""),"",ROUND($M793*IFERROR(IF(VLOOKUP($E793,Setup!$A$76:$C$87,3,FALSE)="",Setup!$B$15,VLOOKUP($E793,Setup!$A$76:$C$87,3,FALSE)),Setup!$B$15),2))</f>
        <v/>
      </c>
      <c r="P793" s="91" t="n"/>
      <c r="Q793" s="91" t="n"/>
      <c r="R793" s="91" t="n"/>
      <c r="S793" s="91" t="n"/>
      <c r="T793" s="91" t="n"/>
      <c r="U793" s="89">
        <f>IF($K793="","",SUM($R793:$T793))</f>
        <v/>
      </c>
      <c r="V793" s="89">
        <f>IF($K793="","",$M793-(N($N793)+N($O793)+IF($P793="",Setup!$B$17,$P793)+N($Q793))-N($U793))</f>
        <v/>
      </c>
      <c r="W793" s="86" t="n"/>
      <c r="X793" s="87" t="n"/>
      <c r="Z793" s="92">
        <f>IF($A793="","",DATE(YEAR($A793),MONTH($A793),1))</f>
        <v/>
      </c>
    </row>
    <row r="794">
      <c r="A794" s="93" t="n"/>
      <c r="B794" s="94" t="n"/>
      <c r="C794" s="94" t="n"/>
      <c r="D794" s="95" t="n"/>
      <c r="E794" s="95" t="n"/>
      <c r="F794" s="95" t="n"/>
      <c r="G794" s="95" t="n"/>
      <c r="H794" s="96" t="n"/>
      <c r="I794" s="89">
        <f>IF($G794="","",IF($F794="",IFERROR(INDEX(Setup!$C$21:$C$60,MATCH("|"&amp;UPPER(TRIM($G794)),Setup!$Q$21:$Q$60,0)),"NO RATE"),IFERROR(INDEX(Setup!$C$21:$C$60,MATCH(UPPER(TRIM($F794))&amp;"|"&amp;UPPER(TRIM($G794)),Setup!$P$21:$P$60,0)),IFERROR(INDEX(Setup!$C$21:$C$60,MATCH(UPPER(TRIM($G794))&amp;"|"&amp;UPPER(TRIM($F794)),Setup!$P$21:$P$60,0)),"NO RATE"))))</f>
        <v/>
      </c>
      <c r="J794" s="97" t="n"/>
      <c r="K794" s="89">
        <f>IF(OR($G794="",$H794="",NOT(ISNUMBER($I794))),"",ROUND($H794*$I794*(1+IF($J794="",Setup!$B$16,$J794)),2))</f>
        <v/>
      </c>
      <c r="L794" s="89">
        <f>IF($K794="","",ROUND($K794*Setup!$B$13,2))</f>
        <v/>
      </c>
      <c r="M794" s="89">
        <f>IF($K794="","",$K794-$L794)</f>
        <v/>
      </c>
      <c r="N794" s="89">
        <f>IF(OR($M794="",$D794=""),"",ROUND($M794*IFERROR(IF(VLOOKUP($D794,Setup!$A$76:$C$87,3,FALSE)="",Setup!$B$14,VLOOKUP($D794,Setup!$A$76:$C$87,3,FALSE)),Setup!$B$14),2))</f>
        <v/>
      </c>
      <c r="O794" s="89">
        <f>IF(OR($M794="",$E794=""),"",ROUND($M794*IFERROR(IF(VLOOKUP($E794,Setup!$A$76:$C$87,3,FALSE)="",Setup!$B$15,VLOOKUP($E794,Setup!$A$76:$C$87,3,FALSE)),Setup!$B$15),2))</f>
        <v/>
      </c>
      <c r="P794" s="98" t="n"/>
      <c r="Q794" s="98" t="n"/>
      <c r="R794" s="98" t="n"/>
      <c r="S794" s="98" t="n"/>
      <c r="T794" s="98" t="n"/>
      <c r="U794" s="89">
        <f>IF($K794="","",SUM($R794:$T794))</f>
        <v/>
      </c>
      <c r="V794" s="89">
        <f>IF($K794="","",$M794-(N($N794)+N($O794)+IF($P794="",Setup!$B$17,$P794)+N($Q794))-N($U794))</f>
        <v/>
      </c>
      <c r="W794" s="94" t="n"/>
      <c r="X794" s="95" t="n"/>
      <c r="Z794" s="92">
        <f>IF($A794="","",DATE(YEAR($A794),MONTH($A794),1))</f>
        <v/>
      </c>
    </row>
    <row r="795">
      <c r="A795" s="85" t="n"/>
      <c r="B795" s="86" t="n"/>
      <c r="C795" s="86" t="n"/>
      <c r="D795" s="87" t="n"/>
      <c r="E795" s="87" t="n"/>
      <c r="F795" s="87" t="n"/>
      <c r="G795" s="87" t="n"/>
      <c r="H795" s="88" t="n"/>
      <c r="I795" s="89">
        <f>IF($G795="","",IF($F795="",IFERROR(INDEX(Setup!$C$21:$C$60,MATCH("|"&amp;UPPER(TRIM($G795)),Setup!$Q$21:$Q$60,0)),"NO RATE"),IFERROR(INDEX(Setup!$C$21:$C$60,MATCH(UPPER(TRIM($F795))&amp;"|"&amp;UPPER(TRIM($G795)),Setup!$P$21:$P$60,0)),IFERROR(INDEX(Setup!$C$21:$C$60,MATCH(UPPER(TRIM($G795))&amp;"|"&amp;UPPER(TRIM($F795)),Setup!$P$21:$P$60,0)),"NO RATE"))))</f>
        <v/>
      </c>
      <c r="J795" s="90" t="n"/>
      <c r="K795" s="89">
        <f>IF(OR($G795="",$H795="",NOT(ISNUMBER($I795))),"",ROUND($H795*$I795*(1+IF($J795="",Setup!$B$16,$J795)),2))</f>
        <v/>
      </c>
      <c r="L795" s="89">
        <f>IF($K795="","",ROUND($K795*Setup!$B$13,2))</f>
        <v/>
      </c>
      <c r="M795" s="89">
        <f>IF($K795="","",$K795-$L795)</f>
        <v/>
      </c>
      <c r="N795" s="89">
        <f>IF(OR($M795="",$D795=""),"",ROUND($M795*IFERROR(IF(VLOOKUP($D795,Setup!$A$76:$C$87,3,FALSE)="",Setup!$B$14,VLOOKUP($D795,Setup!$A$76:$C$87,3,FALSE)),Setup!$B$14),2))</f>
        <v/>
      </c>
      <c r="O795" s="89">
        <f>IF(OR($M795="",$E795=""),"",ROUND($M795*IFERROR(IF(VLOOKUP($E795,Setup!$A$76:$C$87,3,FALSE)="",Setup!$B$15,VLOOKUP($E795,Setup!$A$76:$C$87,3,FALSE)),Setup!$B$15),2))</f>
        <v/>
      </c>
      <c r="P795" s="91" t="n"/>
      <c r="Q795" s="91" t="n"/>
      <c r="R795" s="91" t="n"/>
      <c r="S795" s="91" t="n"/>
      <c r="T795" s="91" t="n"/>
      <c r="U795" s="89">
        <f>IF($K795="","",SUM($R795:$T795))</f>
        <v/>
      </c>
      <c r="V795" s="89">
        <f>IF($K795="","",$M795-(N($N795)+N($O795)+IF($P795="",Setup!$B$17,$P795)+N($Q795))-N($U795))</f>
        <v/>
      </c>
      <c r="W795" s="86" t="n"/>
      <c r="X795" s="87" t="n"/>
      <c r="Z795" s="92">
        <f>IF($A795="","",DATE(YEAR($A795),MONTH($A795),1))</f>
        <v/>
      </c>
    </row>
    <row r="796">
      <c r="A796" s="93" t="n"/>
      <c r="B796" s="94" t="n"/>
      <c r="C796" s="94" t="n"/>
      <c r="D796" s="95" t="n"/>
      <c r="E796" s="95" t="n"/>
      <c r="F796" s="95" t="n"/>
      <c r="G796" s="95" t="n"/>
      <c r="H796" s="96" t="n"/>
      <c r="I796" s="89">
        <f>IF($G796="","",IF($F796="",IFERROR(INDEX(Setup!$C$21:$C$60,MATCH("|"&amp;UPPER(TRIM($G796)),Setup!$Q$21:$Q$60,0)),"NO RATE"),IFERROR(INDEX(Setup!$C$21:$C$60,MATCH(UPPER(TRIM($F796))&amp;"|"&amp;UPPER(TRIM($G796)),Setup!$P$21:$P$60,0)),IFERROR(INDEX(Setup!$C$21:$C$60,MATCH(UPPER(TRIM($G796))&amp;"|"&amp;UPPER(TRIM($F796)),Setup!$P$21:$P$60,0)),"NO RATE"))))</f>
        <v/>
      </c>
      <c r="J796" s="97" t="n"/>
      <c r="K796" s="89">
        <f>IF(OR($G796="",$H796="",NOT(ISNUMBER($I796))),"",ROUND($H796*$I796*(1+IF($J796="",Setup!$B$16,$J796)),2))</f>
        <v/>
      </c>
      <c r="L796" s="89">
        <f>IF($K796="","",ROUND($K796*Setup!$B$13,2))</f>
        <v/>
      </c>
      <c r="M796" s="89">
        <f>IF($K796="","",$K796-$L796)</f>
        <v/>
      </c>
      <c r="N796" s="89">
        <f>IF(OR($M796="",$D796=""),"",ROUND($M796*IFERROR(IF(VLOOKUP($D796,Setup!$A$76:$C$87,3,FALSE)="",Setup!$B$14,VLOOKUP($D796,Setup!$A$76:$C$87,3,FALSE)),Setup!$B$14),2))</f>
        <v/>
      </c>
      <c r="O796" s="89">
        <f>IF(OR($M796="",$E796=""),"",ROUND($M796*IFERROR(IF(VLOOKUP($E796,Setup!$A$76:$C$87,3,FALSE)="",Setup!$B$15,VLOOKUP($E796,Setup!$A$76:$C$87,3,FALSE)),Setup!$B$15),2))</f>
        <v/>
      </c>
      <c r="P796" s="98" t="n"/>
      <c r="Q796" s="98" t="n"/>
      <c r="R796" s="98" t="n"/>
      <c r="S796" s="98" t="n"/>
      <c r="T796" s="98" t="n"/>
      <c r="U796" s="89">
        <f>IF($K796="","",SUM($R796:$T796))</f>
        <v/>
      </c>
      <c r="V796" s="89">
        <f>IF($K796="","",$M796-(N($N796)+N($O796)+IF($P796="",Setup!$B$17,$P796)+N($Q796))-N($U796))</f>
        <v/>
      </c>
      <c r="W796" s="94" t="n"/>
      <c r="X796" s="95" t="n"/>
      <c r="Z796" s="92">
        <f>IF($A796="","",DATE(YEAR($A796),MONTH($A796),1))</f>
        <v/>
      </c>
    </row>
    <row r="797">
      <c r="A797" s="85" t="n"/>
      <c r="B797" s="86" t="n"/>
      <c r="C797" s="86" t="n"/>
      <c r="D797" s="87" t="n"/>
      <c r="E797" s="87" t="n"/>
      <c r="F797" s="87" t="n"/>
      <c r="G797" s="87" t="n"/>
      <c r="H797" s="88" t="n"/>
      <c r="I797" s="89">
        <f>IF($G797="","",IF($F797="",IFERROR(INDEX(Setup!$C$21:$C$60,MATCH("|"&amp;UPPER(TRIM($G797)),Setup!$Q$21:$Q$60,0)),"NO RATE"),IFERROR(INDEX(Setup!$C$21:$C$60,MATCH(UPPER(TRIM($F797))&amp;"|"&amp;UPPER(TRIM($G797)),Setup!$P$21:$P$60,0)),IFERROR(INDEX(Setup!$C$21:$C$60,MATCH(UPPER(TRIM($G797))&amp;"|"&amp;UPPER(TRIM($F797)),Setup!$P$21:$P$60,0)),"NO RATE"))))</f>
        <v/>
      </c>
      <c r="J797" s="90" t="n"/>
      <c r="K797" s="89">
        <f>IF(OR($G797="",$H797="",NOT(ISNUMBER($I797))),"",ROUND($H797*$I797*(1+IF($J797="",Setup!$B$16,$J797)),2))</f>
        <v/>
      </c>
      <c r="L797" s="89">
        <f>IF($K797="","",ROUND($K797*Setup!$B$13,2))</f>
        <v/>
      </c>
      <c r="M797" s="89">
        <f>IF($K797="","",$K797-$L797)</f>
        <v/>
      </c>
      <c r="N797" s="89">
        <f>IF(OR($M797="",$D797=""),"",ROUND($M797*IFERROR(IF(VLOOKUP($D797,Setup!$A$76:$C$87,3,FALSE)="",Setup!$B$14,VLOOKUP($D797,Setup!$A$76:$C$87,3,FALSE)),Setup!$B$14),2))</f>
        <v/>
      </c>
      <c r="O797" s="89">
        <f>IF(OR($M797="",$E797=""),"",ROUND($M797*IFERROR(IF(VLOOKUP($E797,Setup!$A$76:$C$87,3,FALSE)="",Setup!$B$15,VLOOKUP($E797,Setup!$A$76:$C$87,3,FALSE)),Setup!$B$15),2))</f>
        <v/>
      </c>
      <c r="P797" s="91" t="n"/>
      <c r="Q797" s="91" t="n"/>
      <c r="R797" s="91" t="n"/>
      <c r="S797" s="91" t="n"/>
      <c r="T797" s="91" t="n"/>
      <c r="U797" s="89">
        <f>IF($K797="","",SUM($R797:$T797))</f>
        <v/>
      </c>
      <c r="V797" s="89">
        <f>IF($K797="","",$M797-(N($N797)+N($O797)+IF($P797="",Setup!$B$17,$P797)+N($Q797))-N($U797))</f>
        <v/>
      </c>
      <c r="W797" s="86" t="n"/>
      <c r="X797" s="87" t="n"/>
      <c r="Z797" s="92">
        <f>IF($A797="","",DATE(YEAR($A797),MONTH($A797),1))</f>
        <v/>
      </c>
    </row>
    <row r="798">
      <c r="A798" s="93" t="n"/>
      <c r="B798" s="94" t="n"/>
      <c r="C798" s="94" t="n"/>
      <c r="D798" s="95" t="n"/>
      <c r="E798" s="95" t="n"/>
      <c r="F798" s="95" t="n"/>
      <c r="G798" s="95" t="n"/>
      <c r="H798" s="96" t="n"/>
      <c r="I798" s="89">
        <f>IF($G798="","",IF($F798="",IFERROR(INDEX(Setup!$C$21:$C$60,MATCH("|"&amp;UPPER(TRIM($G798)),Setup!$Q$21:$Q$60,0)),"NO RATE"),IFERROR(INDEX(Setup!$C$21:$C$60,MATCH(UPPER(TRIM($F798))&amp;"|"&amp;UPPER(TRIM($G798)),Setup!$P$21:$P$60,0)),IFERROR(INDEX(Setup!$C$21:$C$60,MATCH(UPPER(TRIM($G798))&amp;"|"&amp;UPPER(TRIM($F798)),Setup!$P$21:$P$60,0)),"NO RATE"))))</f>
        <v/>
      </c>
      <c r="J798" s="97" t="n"/>
      <c r="K798" s="89">
        <f>IF(OR($G798="",$H798="",NOT(ISNUMBER($I798))),"",ROUND($H798*$I798*(1+IF($J798="",Setup!$B$16,$J798)),2))</f>
        <v/>
      </c>
      <c r="L798" s="89">
        <f>IF($K798="","",ROUND($K798*Setup!$B$13,2))</f>
        <v/>
      </c>
      <c r="M798" s="89">
        <f>IF($K798="","",$K798-$L798)</f>
        <v/>
      </c>
      <c r="N798" s="89">
        <f>IF(OR($M798="",$D798=""),"",ROUND($M798*IFERROR(IF(VLOOKUP($D798,Setup!$A$76:$C$87,3,FALSE)="",Setup!$B$14,VLOOKUP($D798,Setup!$A$76:$C$87,3,FALSE)),Setup!$B$14),2))</f>
        <v/>
      </c>
      <c r="O798" s="89">
        <f>IF(OR($M798="",$E798=""),"",ROUND($M798*IFERROR(IF(VLOOKUP($E798,Setup!$A$76:$C$87,3,FALSE)="",Setup!$B$15,VLOOKUP($E798,Setup!$A$76:$C$87,3,FALSE)),Setup!$B$15),2))</f>
        <v/>
      </c>
      <c r="P798" s="98" t="n"/>
      <c r="Q798" s="98" t="n"/>
      <c r="R798" s="98" t="n"/>
      <c r="S798" s="98" t="n"/>
      <c r="T798" s="98" t="n"/>
      <c r="U798" s="89">
        <f>IF($K798="","",SUM($R798:$T798))</f>
        <v/>
      </c>
      <c r="V798" s="89">
        <f>IF($K798="","",$M798-(N($N798)+N($O798)+IF($P798="",Setup!$B$17,$P798)+N($Q798))-N($U798))</f>
        <v/>
      </c>
      <c r="W798" s="94" t="n"/>
      <c r="X798" s="95" t="n"/>
      <c r="Z798" s="92">
        <f>IF($A798="","",DATE(YEAR($A798),MONTH($A798),1))</f>
        <v/>
      </c>
    </row>
    <row r="799">
      <c r="A799" s="85" t="n"/>
      <c r="B799" s="86" t="n"/>
      <c r="C799" s="86" t="n"/>
      <c r="D799" s="87" t="n"/>
      <c r="E799" s="87" t="n"/>
      <c r="F799" s="87" t="n"/>
      <c r="G799" s="87" t="n"/>
      <c r="H799" s="88" t="n"/>
      <c r="I799" s="89">
        <f>IF($G799="","",IF($F799="",IFERROR(INDEX(Setup!$C$21:$C$60,MATCH("|"&amp;UPPER(TRIM($G799)),Setup!$Q$21:$Q$60,0)),"NO RATE"),IFERROR(INDEX(Setup!$C$21:$C$60,MATCH(UPPER(TRIM($F799))&amp;"|"&amp;UPPER(TRIM($G799)),Setup!$P$21:$P$60,0)),IFERROR(INDEX(Setup!$C$21:$C$60,MATCH(UPPER(TRIM($G799))&amp;"|"&amp;UPPER(TRIM($F799)),Setup!$P$21:$P$60,0)),"NO RATE"))))</f>
        <v/>
      </c>
      <c r="J799" s="90" t="n"/>
      <c r="K799" s="89">
        <f>IF(OR($G799="",$H799="",NOT(ISNUMBER($I799))),"",ROUND($H799*$I799*(1+IF($J799="",Setup!$B$16,$J799)),2))</f>
        <v/>
      </c>
      <c r="L799" s="89">
        <f>IF($K799="","",ROUND($K799*Setup!$B$13,2))</f>
        <v/>
      </c>
      <c r="M799" s="89">
        <f>IF($K799="","",$K799-$L799)</f>
        <v/>
      </c>
      <c r="N799" s="89">
        <f>IF(OR($M799="",$D799=""),"",ROUND($M799*IFERROR(IF(VLOOKUP($D799,Setup!$A$76:$C$87,3,FALSE)="",Setup!$B$14,VLOOKUP($D799,Setup!$A$76:$C$87,3,FALSE)),Setup!$B$14),2))</f>
        <v/>
      </c>
      <c r="O799" s="89">
        <f>IF(OR($M799="",$E799=""),"",ROUND($M799*IFERROR(IF(VLOOKUP($E799,Setup!$A$76:$C$87,3,FALSE)="",Setup!$B$15,VLOOKUP($E799,Setup!$A$76:$C$87,3,FALSE)),Setup!$B$15),2))</f>
        <v/>
      </c>
      <c r="P799" s="91" t="n"/>
      <c r="Q799" s="91" t="n"/>
      <c r="R799" s="91" t="n"/>
      <c r="S799" s="91" t="n"/>
      <c r="T799" s="91" t="n"/>
      <c r="U799" s="89">
        <f>IF($K799="","",SUM($R799:$T799))</f>
        <v/>
      </c>
      <c r="V799" s="89">
        <f>IF($K799="","",$M799-(N($N799)+N($O799)+IF($P799="",Setup!$B$17,$P799)+N($Q799))-N($U799))</f>
        <v/>
      </c>
      <c r="W799" s="86" t="n"/>
      <c r="X799" s="87" t="n"/>
      <c r="Z799" s="92">
        <f>IF($A799="","",DATE(YEAR($A799),MONTH($A799),1))</f>
        <v/>
      </c>
    </row>
    <row r="800">
      <c r="A800" s="93" t="n"/>
      <c r="B800" s="94" t="n"/>
      <c r="C800" s="94" t="n"/>
      <c r="D800" s="95" t="n"/>
      <c r="E800" s="95" t="n"/>
      <c r="F800" s="95" t="n"/>
      <c r="G800" s="95" t="n"/>
      <c r="H800" s="96" t="n"/>
      <c r="I800" s="89">
        <f>IF($G800="","",IF($F800="",IFERROR(INDEX(Setup!$C$21:$C$60,MATCH("|"&amp;UPPER(TRIM($G800)),Setup!$Q$21:$Q$60,0)),"NO RATE"),IFERROR(INDEX(Setup!$C$21:$C$60,MATCH(UPPER(TRIM($F800))&amp;"|"&amp;UPPER(TRIM($G800)),Setup!$P$21:$P$60,0)),IFERROR(INDEX(Setup!$C$21:$C$60,MATCH(UPPER(TRIM($G800))&amp;"|"&amp;UPPER(TRIM($F800)),Setup!$P$21:$P$60,0)),"NO RATE"))))</f>
        <v/>
      </c>
      <c r="J800" s="97" t="n"/>
      <c r="K800" s="89">
        <f>IF(OR($G800="",$H800="",NOT(ISNUMBER($I800))),"",ROUND($H800*$I800*(1+IF($J800="",Setup!$B$16,$J800)),2))</f>
        <v/>
      </c>
      <c r="L800" s="89">
        <f>IF($K800="","",ROUND($K800*Setup!$B$13,2))</f>
        <v/>
      </c>
      <c r="M800" s="89">
        <f>IF($K800="","",$K800-$L800)</f>
        <v/>
      </c>
      <c r="N800" s="89">
        <f>IF(OR($M800="",$D800=""),"",ROUND($M800*IFERROR(IF(VLOOKUP($D800,Setup!$A$76:$C$87,3,FALSE)="",Setup!$B$14,VLOOKUP($D800,Setup!$A$76:$C$87,3,FALSE)),Setup!$B$14),2))</f>
        <v/>
      </c>
      <c r="O800" s="89">
        <f>IF(OR($M800="",$E800=""),"",ROUND($M800*IFERROR(IF(VLOOKUP($E800,Setup!$A$76:$C$87,3,FALSE)="",Setup!$B$15,VLOOKUP($E800,Setup!$A$76:$C$87,3,FALSE)),Setup!$B$15),2))</f>
        <v/>
      </c>
      <c r="P800" s="98" t="n"/>
      <c r="Q800" s="98" t="n"/>
      <c r="R800" s="98" t="n"/>
      <c r="S800" s="98" t="n"/>
      <c r="T800" s="98" t="n"/>
      <c r="U800" s="89">
        <f>IF($K800="","",SUM($R800:$T800))</f>
        <v/>
      </c>
      <c r="V800" s="89">
        <f>IF($K800="","",$M800-(N($N800)+N($O800)+IF($P800="",Setup!$B$17,$P800)+N($Q800))-N($U800))</f>
        <v/>
      </c>
      <c r="W800" s="94" t="n"/>
      <c r="X800" s="95" t="n"/>
      <c r="Z800" s="92">
        <f>IF($A800="","",DATE(YEAR($A800),MONTH($A800),1))</f>
        <v/>
      </c>
    </row>
    <row r="801">
      <c r="A801" s="85" t="n"/>
      <c r="B801" s="86" t="n"/>
      <c r="C801" s="86" t="n"/>
      <c r="D801" s="87" t="n"/>
      <c r="E801" s="87" t="n"/>
      <c r="F801" s="87" t="n"/>
      <c r="G801" s="87" t="n"/>
      <c r="H801" s="88" t="n"/>
      <c r="I801" s="89">
        <f>IF($G801="","",IF($F801="",IFERROR(INDEX(Setup!$C$21:$C$60,MATCH("|"&amp;UPPER(TRIM($G801)),Setup!$Q$21:$Q$60,0)),"NO RATE"),IFERROR(INDEX(Setup!$C$21:$C$60,MATCH(UPPER(TRIM($F801))&amp;"|"&amp;UPPER(TRIM($G801)),Setup!$P$21:$P$60,0)),IFERROR(INDEX(Setup!$C$21:$C$60,MATCH(UPPER(TRIM($G801))&amp;"|"&amp;UPPER(TRIM($F801)),Setup!$P$21:$P$60,0)),"NO RATE"))))</f>
        <v/>
      </c>
      <c r="J801" s="90" t="n"/>
      <c r="K801" s="89">
        <f>IF(OR($G801="",$H801="",NOT(ISNUMBER($I801))),"",ROUND($H801*$I801*(1+IF($J801="",Setup!$B$16,$J801)),2))</f>
        <v/>
      </c>
      <c r="L801" s="89">
        <f>IF($K801="","",ROUND($K801*Setup!$B$13,2))</f>
        <v/>
      </c>
      <c r="M801" s="89">
        <f>IF($K801="","",$K801-$L801)</f>
        <v/>
      </c>
      <c r="N801" s="89">
        <f>IF(OR($M801="",$D801=""),"",ROUND($M801*IFERROR(IF(VLOOKUP($D801,Setup!$A$76:$C$87,3,FALSE)="",Setup!$B$14,VLOOKUP($D801,Setup!$A$76:$C$87,3,FALSE)),Setup!$B$14),2))</f>
        <v/>
      </c>
      <c r="O801" s="89">
        <f>IF(OR($M801="",$E801=""),"",ROUND($M801*IFERROR(IF(VLOOKUP($E801,Setup!$A$76:$C$87,3,FALSE)="",Setup!$B$15,VLOOKUP($E801,Setup!$A$76:$C$87,3,FALSE)),Setup!$B$15),2))</f>
        <v/>
      </c>
      <c r="P801" s="91" t="n"/>
      <c r="Q801" s="91" t="n"/>
      <c r="R801" s="91" t="n"/>
      <c r="S801" s="91" t="n"/>
      <c r="T801" s="91" t="n"/>
      <c r="U801" s="89">
        <f>IF($K801="","",SUM($R801:$T801))</f>
        <v/>
      </c>
      <c r="V801" s="89">
        <f>IF($K801="","",$M801-(N($N801)+N($O801)+IF($P801="",Setup!$B$17,$P801)+N($Q801))-N($U801))</f>
        <v/>
      </c>
      <c r="W801" s="86" t="n"/>
      <c r="X801" s="87" t="n"/>
      <c r="Z801" s="92">
        <f>IF($A801="","",DATE(YEAR($A801),MONTH($A801),1))</f>
        <v/>
      </c>
    </row>
    <row r="802">
      <c r="A802" s="93" t="n"/>
      <c r="B802" s="94" t="n"/>
      <c r="C802" s="94" t="n"/>
      <c r="D802" s="95" t="n"/>
      <c r="E802" s="95" t="n"/>
      <c r="F802" s="95" t="n"/>
      <c r="G802" s="95" t="n"/>
      <c r="H802" s="96" t="n"/>
      <c r="I802" s="89">
        <f>IF($G802="","",IF($F802="",IFERROR(INDEX(Setup!$C$21:$C$60,MATCH("|"&amp;UPPER(TRIM($G802)),Setup!$Q$21:$Q$60,0)),"NO RATE"),IFERROR(INDEX(Setup!$C$21:$C$60,MATCH(UPPER(TRIM($F802))&amp;"|"&amp;UPPER(TRIM($G802)),Setup!$P$21:$P$60,0)),IFERROR(INDEX(Setup!$C$21:$C$60,MATCH(UPPER(TRIM($G802))&amp;"|"&amp;UPPER(TRIM($F802)),Setup!$P$21:$P$60,0)),"NO RATE"))))</f>
        <v/>
      </c>
      <c r="J802" s="97" t="n"/>
      <c r="K802" s="89">
        <f>IF(OR($G802="",$H802="",NOT(ISNUMBER($I802))),"",ROUND($H802*$I802*(1+IF($J802="",Setup!$B$16,$J802)),2))</f>
        <v/>
      </c>
      <c r="L802" s="89">
        <f>IF($K802="","",ROUND($K802*Setup!$B$13,2))</f>
        <v/>
      </c>
      <c r="M802" s="89">
        <f>IF($K802="","",$K802-$L802)</f>
        <v/>
      </c>
      <c r="N802" s="89">
        <f>IF(OR($M802="",$D802=""),"",ROUND($M802*IFERROR(IF(VLOOKUP($D802,Setup!$A$76:$C$87,3,FALSE)="",Setup!$B$14,VLOOKUP($D802,Setup!$A$76:$C$87,3,FALSE)),Setup!$B$14),2))</f>
        <v/>
      </c>
      <c r="O802" s="89">
        <f>IF(OR($M802="",$E802=""),"",ROUND($M802*IFERROR(IF(VLOOKUP($E802,Setup!$A$76:$C$87,3,FALSE)="",Setup!$B$15,VLOOKUP($E802,Setup!$A$76:$C$87,3,FALSE)),Setup!$B$15),2))</f>
        <v/>
      </c>
      <c r="P802" s="98" t="n"/>
      <c r="Q802" s="98" t="n"/>
      <c r="R802" s="98" t="n"/>
      <c r="S802" s="98" t="n"/>
      <c r="T802" s="98" t="n"/>
      <c r="U802" s="89">
        <f>IF($K802="","",SUM($R802:$T802))</f>
        <v/>
      </c>
      <c r="V802" s="89">
        <f>IF($K802="","",$M802-(N($N802)+N($O802)+IF($P802="",Setup!$B$17,$P802)+N($Q802))-N($U802))</f>
        <v/>
      </c>
      <c r="W802" s="94" t="n"/>
      <c r="X802" s="95" t="n"/>
      <c r="Z802" s="92">
        <f>IF($A802="","",DATE(YEAR($A802),MONTH($A802),1))</f>
        <v/>
      </c>
    </row>
    <row r="803">
      <c r="A803" s="85" t="n"/>
      <c r="B803" s="86" t="n"/>
      <c r="C803" s="86" t="n"/>
      <c r="D803" s="87" t="n"/>
      <c r="E803" s="87" t="n"/>
      <c r="F803" s="87" t="n"/>
      <c r="G803" s="87" t="n"/>
      <c r="H803" s="88" t="n"/>
      <c r="I803" s="89">
        <f>IF($G803="","",IF($F803="",IFERROR(INDEX(Setup!$C$21:$C$60,MATCH("|"&amp;UPPER(TRIM($G803)),Setup!$Q$21:$Q$60,0)),"NO RATE"),IFERROR(INDEX(Setup!$C$21:$C$60,MATCH(UPPER(TRIM($F803))&amp;"|"&amp;UPPER(TRIM($G803)),Setup!$P$21:$P$60,0)),IFERROR(INDEX(Setup!$C$21:$C$60,MATCH(UPPER(TRIM($G803))&amp;"|"&amp;UPPER(TRIM($F803)),Setup!$P$21:$P$60,0)),"NO RATE"))))</f>
        <v/>
      </c>
      <c r="J803" s="90" t="n"/>
      <c r="K803" s="89">
        <f>IF(OR($G803="",$H803="",NOT(ISNUMBER($I803))),"",ROUND($H803*$I803*(1+IF($J803="",Setup!$B$16,$J803)),2))</f>
        <v/>
      </c>
      <c r="L803" s="89">
        <f>IF($K803="","",ROUND($K803*Setup!$B$13,2))</f>
        <v/>
      </c>
      <c r="M803" s="89">
        <f>IF($K803="","",$K803-$L803)</f>
        <v/>
      </c>
      <c r="N803" s="89">
        <f>IF(OR($M803="",$D803=""),"",ROUND($M803*IFERROR(IF(VLOOKUP($D803,Setup!$A$76:$C$87,3,FALSE)="",Setup!$B$14,VLOOKUP($D803,Setup!$A$76:$C$87,3,FALSE)),Setup!$B$14),2))</f>
        <v/>
      </c>
      <c r="O803" s="89">
        <f>IF(OR($M803="",$E803=""),"",ROUND($M803*IFERROR(IF(VLOOKUP($E803,Setup!$A$76:$C$87,3,FALSE)="",Setup!$B$15,VLOOKUP($E803,Setup!$A$76:$C$87,3,FALSE)),Setup!$B$15),2))</f>
        <v/>
      </c>
      <c r="P803" s="91" t="n"/>
      <c r="Q803" s="91" t="n"/>
      <c r="R803" s="91" t="n"/>
      <c r="S803" s="91" t="n"/>
      <c r="T803" s="91" t="n"/>
      <c r="U803" s="89">
        <f>IF($K803="","",SUM($R803:$T803))</f>
        <v/>
      </c>
      <c r="V803" s="89">
        <f>IF($K803="","",$M803-(N($N803)+N($O803)+IF($P803="",Setup!$B$17,$P803)+N($Q803))-N($U803))</f>
        <v/>
      </c>
      <c r="W803" s="86" t="n"/>
      <c r="X803" s="87" t="n"/>
      <c r="Z803" s="92">
        <f>IF($A803="","",DATE(YEAR($A803),MONTH($A803),1))</f>
        <v/>
      </c>
    </row>
    <row r="804">
      <c r="A804" s="93" t="n"/>
      <c r="B804" s="94" t="n"/>
      <c r="C804" s="94" t="n"/>
      <c r="D804" s="95" t="n"/>
      <c r="E804" s="95" t="n"/>
      <c r="F804" s="95" t="n"/>
      <c r="G804" s="95" t="n"/>
      <c r="H804" s="96" t="n"/>
      <c r="I804" s="89">
        <f>IF($G804="","",IF($F804="",IFERROR(INDEX(Setup!$C$21:$C$60,MATCH("|"&amp;UPPER(TRIM($G804)),Setup!$Q$21:$Q$60,0)),"NO RATE"),IFERROR(INDEX(Setup!$C$21:$C$60,MATCH(UPPER(TRIM($F804))&amp;"|"&amp;UPPER(TRIM($G804)),Setup!$P$21:$P$60,0)),IFERROR(INDEX(Setup!$C$21:$C$60,MATCH(UPPER(TRIM($G804))&amp;"|"&amp;UPPER(TRIM($F804)),Setup!$P$21:$P$60,0)),"NO RATE"))))</f>
        <v/>
      </c>
      <c r="J804" s="97" t="n"/>
      <c r="K804" s="89">
        <f>IF(OR($G804="",$H804="",NOT(ISNUMBER($I804))),"",ROUND($H804*$I804*(1+IF($J804="",Setup!$B$16,$J804)),2))</f>
        <v/>
      </c>
      <c r="L804" s="89">
        <f>IF($K804="","",ROUND($K804*Setup!$B$13,2))</f>
        <v/>
      </c>
      <c r="M804" s="89">
        <f>IF($K804="","",$K804-$L804)</f>
        <v/>
      </c>
      <c r="N804" s="89">
        <f>IF(OR($M804="",$D804=""),"",ROUND($M804*IFERROR(IF(VLOOKUP($D804,Setup!$A$76:$C$87,3,FALSE)="",Setup!$B$14,VLOOKUP($D804,Setup!$A$76:$C$87,3,FALSE)),Setup!$B$14),2))</f>
        <v/>
      </c>
      <c r="O804" s="89">
        <f>IF(OR($M804="",$E804=""),"",ROUND($M804*IFERROR(IF(VLOOKUP($E804,Setup!$A$76:$C$87,3,FALSE)="",Setup!$B$15,VLOOKUP($E804,Setup!$A$76:$C$87,3,FALSE)),Setup!$B$15),2))</f>
        <v/>
      </c>
      <c r="P804" s="98" t="n"/>
      <c r="Q804" s="98" t="n"/>
      <c r="R804" s="98" t="n"/>
      <c r="S804" s="98" t="n"/>
      <c r="T804" s="98" t="n"/>
      <c r="U804" s="89">
        <f>IF($K804="","",SUM($R804:$T804))</f>
        <v/>
      </c>
      <c r="V804" s="89">
        <f>IF($K804="","",$M804-(N($N804)+N($O804)+IF($P804="",Setup!$B$17,$P804)+N($Q804))-N($U804))</f>
        <v/>
      </c>
      <c r="W804" s="94" t="n"/>
      <c r="X804" s="95" t="n"/>
      <c r="Z804" s="92">
        <f>IF($A804="","",DATE(YEAR($A804),MONTH($A804),1))</f>
        <v/>
      </c>
    </row>
    <row r="805">
      <c r="A805" s="85" t="n"/>
      <c r="B805" s="86" t="n"/>
      <c r="C805" s="86" t="n"/>
      <c r="D805" s="87" t="n"/>
      <c r="E805" s="87" t="n"/>
      <c r="F805" s="87" t="n"/>
      <c r="G805" s="87" t="n"/>
      <c r="H805" s="88" t="n"/>
      <c r="I805" s="89">
        <f>IF($G805="","",IF($F805="",IFERROR(INDEX(Setup!$C$21:$C$60,MATCH("|"&amp;UPPER(TRIM($G805)),Setup!$Q$21:$Q$60,0)),"NO RATE"),IFERROR(INDEX(Setup!$C$21:$C$60,MATCH(UPPER(TRIM($F805))&amp;"|"&amp;UPPER(TRIM($G805)),Setup!$P$21:$P$60,0)),IFERROR(INDEX(Setup!$C$21:$C$60,MATCH(UPPER(TRIM($G805))&amp;"|"&amp;UPPER(TRIM($F805)),Setup!$P$21:$P$60,0)),"NO RATE"))))</f>
        <v/>
      </c>
      <c r="J805" s="90" t="n"/>
      <c r="K805" s="89">
        <f>IF(OR($G805="",$H805="",NOT(ISNUMBER($I805))),"",ROUND($H805*$I805*(1+IF($J805="",Setup!$B$16,$J805)),2))</f>
        <v/>
      </c>
      <c r="L805" s="89">
        <f>IF($K805="","",ROUND($K805*Setup!$B$13,2))</f>
        <v/>
      </c>
      <c r="M805" s="89">
        <f>IF($K805="","",$K805-$L805)</f>
        <v/>
      </c>
      <c r="N805" s="89">
        <f>IF(OR($M805="",$D805=""),"",ROUND($M805*IFERROR(IF(VLOOKUP($D805,Setup!$A$76:$C$87,3,FALSE)="",Setup!$B$14,VLOOKUP($D805,Setup!$A$76:$C$87,3,FALSE)),Setup!$B$14),2))</f>
        <v/>
      </c>
      <c r="O805" s="89">
        <f>IF(OR($M805="",$E805=""),"",ROUND($M805*IFERROR(IF(VLOOKUP($E805,Setup!$A$76:$C$87,3,FALSE)="",Setup!$B$15,VLOOKUP($E805,Setup!$A$76:$C$87,3,FALSE)),Setup!$B$15),2))</f>
        <v/>
      </c>
      <c r="P805" s="91" t="n"/>
      <c r="Q805" s="91" t="n"/>
      <c r="R805" s="91" t="n"/>
      <c r="S805" s="91" t="n"/>
      <c r="T805" s="91" t="n"/>
      <c r="U805" s="89">
        <f>IF($K805="","",SUM($R805:$T805))</f>
        <v/>
      </c>
      <c r="V805" s="89">
        <f>IF($K805="","",$M805-(N($N805)+N($O805)+IF($P805="",Setup!$B$17,$P805)+N($Q805))-N($U805))</f>
        <v/>
      </c>
      <c r="W805" s="86" t="n"/>
      <c r="X805" s="87" t="n"/>
      <c r="Z805" s="92">
        <f>IF($A805="","",DATE(YEAR($A805),MONTH($A805),1))</f>
        <v/>
      </c>
    </row>
    <row r="806">
      <c r="A806" s="93" t="n"/>
      <c r="B806" s="94" t="n"/>
      <c r="C806" s="94" t="n"/>
      <c r="D806" s="95" t="n"/>
      <c r="E806" s="95" t="n"/>
      <c r="F806" s="95" t="n"/>
      <c r="G806" s="95" t="n"/>
      <c r="H806" s="96" t="n"/>
      <c r="I806" s="89">
        <f>IF($G806="","",IF($F806="",IFERROR(INDEX(Setup!$C$21:$C$60,MATCH("|"&amp;UPPER(TRIM($G806)),Setup!$Q$21:$Q$60,0)),"NO RATE"),IFERROR(INDEX(Setup!$C$21:$C$60,MATCH(UPPER(TRIM($F806))&amp;"|"&amp;UPPER(TRIM($G806)),Setup!$P$21:$P$60,0)),IFERROR(INDEX(Setup!$C$21:$C$60,MATCH(UPPER(TRIM($G806))&amp;"|"&amp;UPPER(TRIM($F806)),Setup!$P$21:$P$60,0)),"NO RATE"))))</f>
        <v/>
      </c>
      <c r="J806" s="97" t="n"/>
      <c r="K806" s="89">
        <f>IF(OR($G806="",$H806="",NOT(ISNUMBER($I806))),"",ROUND($H806*$I806*(1+IF($J806="",Setup!$B$16,$J806)),2))</f>
        <v/>
      </c>
      <c r="L806" s="89">
        <f>IF($K806="","",ROUND($K806*Setup!$B$13,2))</f>
        <v/>
      </c>
      <c r="M806" s="89">
        <f>IF($K806="","",$K806-$L806)</f>
        <v/>
      </c>
      <c r="N806" s="89">
        <f>IF(OR($M806="",$D806=""),"",ROUND($M806*IFERROR(IF(VLOOKUP($D806,Setup!$A$76:$C$87,3,FALSE)="",Setup!$B$14,VLOOKUP($D806,Setup!$A$76:$C$87,3,FALSE)),Setup!$B$14),2))</f>
        <v/>
      </c>
      <c r="O806" s="89">
        <f>IF(OR($M806="",$E806=""),"",ROUND($M806*IFERROR(IF(VLOOKUP($E806,Setup!$A$76:$C$87,3,FALSE)="",Setup!$B$15,VLOOKUP($E806,Setup!$A$76:$C$87,3,FALSE)),Setup!$B$15),2))</f>
        <v/>
      </c>
      <c r="P806" s="98" t="n"/>
      <c r="Q806" s="98" t="n"/>
      <c r="R806" s="98" t="n"/>
      <c r="S806" s="98" t="n"/>
      <c r="T806" s="98" t="n"/>
      <c r="U806" s="89">
        <f>IF($K806="","",SUM($R806:$T806))</f>
        <v/>
      </c>
      <c r="V806" s="89">
        <f>IF($K806="","",$M806-(N($N806)+N($O806)+IF($P806="",Setup!$B$17,$P806)+N($Q806))-N($U806))</f>
        <v/>
      </c>
      <c r="W806" s="94" t="n"/>
      <c r="X806" s="95" t="n"/>
      <c r="Z806" s="92">
        <f>IF($A806="","",DATE(YEAR($A806),MONTH($A806),1))</f>
        <v/>
      </c>
    </row>
    <row r="807">
      <c r="A807" s="85" t="n"/>
      <c r="B807" s="86" t="n"/>
      <c r="C807" s="86" t="n"/>
      <c r="D807" s="87" t="n"/>
      <c r="E807" s="87" t="n"/>
      <c r="F807" s="87" t="n"/>
      <c r="G807" s="87" t="n"/>
      <c r="H807" s="88" t="n"/>
      <c r="I807" s="89">
        <f>IF($G807="","",IF($F807="",IFERROR(INDEX(Setup!$C$21:$C$60,MATCH("|"&amp;UPPER(TRIM($G807)),Setup!$Q$21:$Q$60,0)),"NO RATE"),IFERROR(INDEX(Setup!$C$21:$C$60,MATCH(UPPER(TRIM($F807))&amp;"|"&amp;UPPER(TRIM($G807)),Setup!$P$21:$P$60,0)),IFERROR(INDEX(Setup!$C$21:$C$60,MATCH(UPPER(TRIM($G807))&amp;"|"&amp;UPPER(TRIM($F807)),Setup!$P$21:$P$60,0)),"NO RATE"))))</f>
        <v/>
      </c>
      <c r="J807" s="90" t="n"/>
      <c r="K807" s="89">
        <f>IF(OR($G807="",$H807="",NOT(ISNUMBER($I807))),"",ROUND($H807*$I807*(1+IF($J807="",Setup!$B$16,$J807)),2))</f>
        <v/>
      </c>
      <c r="L807" s="89">
        <f>IF($K807="","",ROUND($K807*Setup!$B$13,2))</f>
        <v/>
      </c>
      <c r="M807" s="89">
        <f>IF($K807="","",$K807-$L807)</f>
        <v/>
      </c>
      <c r="N807" s="89">
        <f>IF(OR($M807="",$D807=""),"",ROUND($M807*IFERROR(IF(VLOOKUP($D807,Setup!$A$76:$C$87,3,FALSE)="",Setup!$B$14,VLOOKUP($D807,Setup!$A$76:$C$87,3,FALSE)),Setup!$B$14),2))</f>
        <v/>
      </c>
      <c r="O807" s="89">
        <f>IF(OR($M807="",$E807=""),"",ROUND($M807*IFERROR(IF(VLOOKUP($E807,Setup!$A$76:$C$87,3,FALSE)="",Setup!$B$15,VLOOKUP($E807,Setup!$A$76:$C$87,3,FALSE)),Setup!$B$15),2))</f>
        <v/>
      </c>
      <c r="P807" s="91" t="n"/>
      <c r="Q807" s="91" t="n"/>
      <c r="R807" s="91" t="n"/>
      <c r="S807" s="91" t="n"/>
      <c r="T807" s="91" t="n"/>
      <c r="U807" s="89">
        <f>IF($K807="","",SUM($R807:$T807))</f>
        <v/>
      </c>
      <c r="V807" s="89">
        <f>IF($K807="","",$M807-(N($N807)+N($O807)+IF($P807="",Setup!$B$17,$P807)+N($Q807))-N($U807))</f>
        <v/>
      </c>
      <c r="W807" s="86" t="n"/>
      <c r="X807" s="87" t="n"/>
      <c r="Z807" s="92">
        <f>IF($A807="","",DATE(YEAR($A807),MONTH($A807),1))</f>
        <v/>
      </c>
    </row>
    <row r="808">
      <c r="A808" s="93" t="n"/>
      <c r="B808" s="94" t="n"/>
      <c r="C808" s="94" t="n"/>
      <c r="D808" s="95" t="n"/>
      <c r="E808" s="95" t="n"/>
      <c r="F808" s="95" t="n"/>
      <c r="G808" s="95" t="n"/>
      <c r="H808" s="96" t="n"/>
      <c r="I808" s="89">
        <f>IF($G808="","",IF($F808="",IFERROR(INDEX(Setup!$C$21:$C$60,MATCH("|"&amp;UPPER(TRIM($G808)),Setup!$Q$21:$Q$60,0)),"NO RATE"),IFERROR(INDEX(Setup!$C$21:$C$60,MATCH(UPPER(TRIM($F808))&amp;"|"&amp;UPPER(TRIM($G808)),Setup!$P$21:$P$60,0)),IFERROR(INDEX(Setup!$C$21:$C$60,MATCH(UPPER(TRIM($G808))&amp;"|"&amp;UPPER(TRIM($F808)),Setup!$P$21:$P$60,0)),"NO RATE"))))</f>
        <v/>
      </c>
      <c r="J808" s="97" t="n"/>
      <c r="K808" s="89">
        <f>IF(OR($G808="",$H808="",NOT(ISNUMBER($I808))),"",ROUND($H808*$I808*(1+IF($J808="",Setup!$B$16,$J808)),2))</f>
        <v/>
      </c>
      <c r="L808" s="89">
        <f>IF($K808="","",ROUND($K808*Setup!$B$13,2))</f>
        <v/>
      </c>
      <c r="M808" s="89">
        <f>IF($K808="","",$K808-$L808)</f>
        <v/>
      </c>
      <c r="N808" s="89">
        <f>IF(OR($M808="",$D808=""),"",ROUND($M808*IFERROR(IF(VLOOKUP($D808,Setup!$A$76:$C$87,3,FALSE)="",Setup!$B$14,VLOOKUP($D808,Setup!$A$76:$C$87,3,FALSE)),Setup!$B$14),2))</f>
        <v/>
      </c>
      <c r="O808" s="89">
        <f>IF(OR($M808="",$E808=""),"",ROUND($M808*IFERROR(IF(VLOOKUP($E808,Setup!$A$76:$C$87,3,FALSE)="",Setup!$B$15,VLOOKUP($E808,Setup!$A$76:$C$87,3,FALSE)),Setup!$B$15),2))</f>
        <v/>
      </c>
      <c r="P808" s="98" t="n"/>
      <c r="Q808" s="98" t="n"/>
      <c r="R808" s="98" t="n"/>
      <c r="S808" s="98" t="n"/>
      <c r="T808" s="98" t="n"/>
      <c r="U808" s="89">
        <f>IF($K808="","",SUM($R808:$T808))</f>
        <v/>
      </c>
      <c r="V808" s="89">
        <f>IF($K808="","",$M808-(N($N808)+N($O808)+IF($P808="",Setup!$B$17,$P808)+N($Q808))-N($U808))</f>
        <v/>
      </c>
      <c r="W808" s="94" t="n"/>
      <c r="X808" s="95" t="n"/>
      <c r="Z808" s="92">
        <f>IF($A808="","",DATE(YEAR($A808),MONTH($A808),1))</f>
        <v/>
      </c>
    </row>
    <row r="809">
      <c r="A809" s="85" t="n"/>
      <c r="B809" s="86" t="n"/>
      <c r="C809" s="86" t="n"/>
      <c r="D809" s="87" t="n"/>
      <c r="E809" s="87" t="n"/>
      <c r="F809" s="87" t="n"/>
      <c r="G809" s="87" t="n"/>
      <c r="H809" s="88" t="n"/>
      <c r="I809" s="89">
        <f>IF($G809="","",IF($F809="",IFERROR(INDEX(Setup!$C$21:$C$60,MATCH("|"&amp;UPPER(TRIM($G809)),Setup!$Q$21:$Q$60,0)),"NO RATE"),IFERROR(INDEX(Setup!$C$21:$C$60,MATCH(UPPER(TRIM($F809))&amp;"|"&amp;UPPER(TRIM($G809)),Setup!$P$21:$P$60,0)),IFERROR(INDEX(Setup!$C$21:$C$60,MATCH(UPPER(TRIM($G809))&amp;"|"&amp;UPPER(TRIM($F809)),Setup!$P$21:$P$60,0)),"NO RATE"))))</f>
        <v/>
      </c>
      <c r="J809" s="90" t="n"/>
      <c r="K809" s="89">
        <f>IF(OR($G809="",$H809="",NOT(ISNUMBER($I809))),"",ROUND($H809*$I809*(1+IF($J809="",Setup!$B$16,$J809)),2))</f>
        <v/>
      </c>
      <c r="L809" s="89">
        <f>IF($K809="","",ROUND($K809*Setup!$B$13,2))</f>
        <v/>
      </c>
      <c r="M809" s="89">
        <f>IF($K809="","",$K809-$L809)</f>
        <v/>
      </c>
      <c r="N809" s="89">
        <f>IF(OR($M809="",$D809=""),"",ROUND($M809*IFERROR(IF(VLOOKUP($D809,Setup!$A$76:$C$87,3,FALSE)="",Setup!$B$14,VLOOKUP($D809,Setup!$A$76:$C$87,3,FALSE)),Setup!$B$14),2))</f>
        <v/>
      </c>
      <c r="O809" s="89">
        <f>IF(OR($M809="",$E809=""),"",ROUND($M809*IFERROR(IF(VLOOKUP($E809,Setup!$A$76:$C$87,3,FALSE)="",Setup!$B$15,VLOOKUP($E809,Setup!$A$76:$C$87,3,FALSE)),Setup!$B$15),2))</f>
        <v/>
      </c>
      <c r="P809" s="91" t="n"/>
      <c r="Q809" s="91" t="n"/>
      <c r="R809" s="91" t="n"/>
      <c r="S809" s="91" t="n"/>
      <c r="T809" s="91" t="n"/>
      <c r="U809" s="89">
        <f>IF($K809="","",SUM($R809:$T809))</f>
        <v/>
      </c>
      <c r="V809" s="89">
        <f>IF($K809="","",$M809-(N($N809)+N($O809)+IF($P809="",Setup!$B$17,$P809)+N($Q809))-N($U809))</f>
        <v/>
      </c>
      <c r="W809" s="86" t="n"/>
      <c r="X809" s="87" t="n"/>
      <c r="Z809" s="92">
        <f>IF($A809="","",DATE(YEAR($A809),MONTH($A809),1))</f>
        <v/>
      </c>
    </row>
    <row r="810">
      <c r="A810" s="93" t="n"/>
      <c r="B810" s="94" t="n"/>
      <c r="C810" s="94" t="n"/>
      <c r="D810" s="95" t="n"/>
      <c r="E810" s="95" t="n"/>
      <c r="F810" s="95" t="n"/>
      <c r="G810" s="95" t="n"/>
      <c r="H810" s="96" t="n"/>
      <c r="I810" s="89">
        <f>IF($G810="","",IF($F810="",IFERROR(INDEX(Setup!$C$21:$C$60,MATCH("|"&amp;UPPER(TRIM($G810)),Setup!$Q$21:$Q$60,0)),"NO RATE"),IFERROR(INDEX(Setup!$C$21:$C$60,MATCH(UPPER(TRIM($F810))&amp;"|"&amp;UPPER(TRIM($G810)),Setup!$P$21:$P$60,0)),IFERROR(INDEX(Setup!$C$21:$C$60,MATCH(UPPER(TRIM($G810))&amp;"|"&amp;UPPER(TRIM($F810)),Setup!$P$21:$P$60,0)),"NO RATE"))))</f>
        <v/>
      </c>
      <c r="J810" s="97" t="n"/>
      <c r="K810" s="89">
        <f>IF(OR($G810="",$H810="",NOT(ISNUMBER($I810))),"",ROUND($H810*$I810*(1+IF($J810="",Setup!$B$16,$J810)),2))</f>
        <v/>
      </c>
      <c r="L810" s="89">
        <f>IF($K810="","",ROUND($K810*Setup!$B$13,2))</f>
        <v/>
      </c>
      <c r="M810" s="89">
        <f>IF($K810="","",$K810-$L810)</f>
        <v/>
      </c>
      <c r="N810" s="89">
        <f>IF(OR($M810="",$D810=""),"",ROUND($M810*IFERROR(IF(VLOOKUP($D810,Setup!$A$76:$C$87,3,FALSE)="",Setup!$B$14,VLOOKUP($D810,Setup!$A$76:$C$87,3,FALSE)),Setup!$B$14),2))</f>
        <v/>
      </c>
      <c r="O810" s="89">
        <f>IF(OR($M810="",$E810=""),"",ROUND($M810*IFERROR(IF(VLOOKUP($E810,Setup!$A$76:$C$87,3,FALSE)="",Setup!$B$15,VLOOKUP($E810,Setup!$A$76:$C$87,3,FALSE)),Setup!$B$15),2))</f>
        <v/>
      </c>
      <c r="P810" s="98" t="n"/>
      <c r="Q810" s="98" t="n"/>
      <c r="R810" s="98" t="n"/>
      <c r="S810" s="98" t="n"/>
      <c r="T810" s="98" t="n"/>
      <c r="U810" s="89">
        <f>IF($K810="","",SUM($R810:$T810))</f>
        <v/>
      </c>
      <c r="V810" s="89">
        <f>IF($K810="","",$M810-(N($N810)+N($O810)+IF($P810="",Setup!$B$17,$P810)+N($Q810))-N($U810))</f>
        <v/>
      </c>
      <c r="W810" s="94" t="n"/>
      <c r="X810" s="95" t="n"/>
      <c r="Z810" s="92">
        <f>IF($A810="","",DATE(YEAR($A810),MONTH($A810),1))</f>
        <v/>
      </c>
    </row>
    <row r="811">
      <c r="A811" s="85" t="n"/>
      <c r="B811" s="86" t="n"/>
      <c r="C811" s="86" t="n"/>
      <c r="D811" s="87" t="n"/>
      <c r="E811" s="87" t="n"/>
      <c r="F811" s="87" t="n"/>
      <c r="G811" s="87" t="n"/>
      <c r="H811" s="88" t="n"/>
      <c r="I811" s="89">
        <f>IF($G811="","",IF($F811="",IFERROR(INDEX(Setup!$C$21:$C$60,MATCH("|"&amp;UPPER(TRIM($G811)),Setup!$Q$21:$Q$60,0)),"NO RATE"),IFERROR(INDEX(Setup!$C$21:$C$60,MATCH(UPPER(TRIM($F811))&amp;"|"&amp;UPPER(TRIM($G811)),Setup!$P$21:$P$60,0)),IFERROR(INDEX(Setup!$C$21:$C$60,MATCH(UPPER(TRIM($G811))&amp;"|"&amp;UPPER(TRIM($F811)),Setup!$P$21:$P$60,0)),"NO RATE"))))</f>
        <v/>
      </c>
      <c r="J811" s="90" t="n"/>
      <c r="K811" s="89">
        <f>IF(OR($G811="",$H811="",NOT(ISNUMBER($I811))),"",ROUND($H811*$I811*(1+IF($J811="",Setup!$B$16,$J811)),2))</f>
        <v/>
      </c>
      <c r="L811" s="89">
        <f>IF($K811="","",ROUND($K811*Setup!$B$13,2))</f>
        <v/>
      </c>
      <c r="M811" s="89">
        <f>IF($K811="","",$K811-$L811)</f>
        <v/>
      </c>
      <c r="N811" s="89">
        <f>IF(OR($M811="",$D811=""),"",ROUND($M811*IFERROR(IF(VLOOKUP($D811,Setup!$A$76:$C$87,3,FALSE)="",Setup!$B$14,VLOOKUP($D811,Setup!$A$76:$C$87,3,FALSE)),Setup!$B$14),2))</f>
        <v/>
      </c>
      <c r="O811" s="89">
        <f>IF(OR($M811="",$E811=""),"",ROUND($M811*IFERROR(IF(VLOOKUP($E811,Setup!$A$76:$C$87,3,FALSE)="",Setup!$B$15,VLOOKUP($E811,Setup!$A$76:$C$87,3,FALSE)),Setup!$B$15),2))</f>
        <v/>
      </c>
      <c r="P811" s="91" t="n"/>
      <c r="Q811" s="91" t="n"/>
      <c r="R811" s="91" t="n"/>
      <c r="S811" s="91" t="n"/>
      <c r="T811" s="91" t="n"/>
      <c r="U811" s="89">
        <f>IF($K811="","",SUM($R811:$T811))</f>
        <v/>
      </c>
      <c r="V811" s="89">
        <f>IF($K811="","",$M811-(N($N811)+N($O811)+IF($P811="",Setup!$B$17,$P811)+N($Q811))-N($U811))</f>
        <v/>
      </c>
      <c r="W811" s="86" t="n"/>
      <c r="X811" s="87" t="n"/>
      <c r="Z811" s="92">
        <f>IF($A811="","",DATE(YEAR($A811),MONTH($A811),1))</f>
        <v/>
      </c>
    </row>
    <row r="812">
      <c r="A812" s="93" t="n"/>
      <c r="B812" s="94" t="n"/>
      <c r="C812" s="94" t="n"/>
      <c r="D812" s="95" t="n"/>
      <c r="E812" s="95" t="n"/>
      <c r="F812" s="95" t="n"/>
      <c r="G812" s="95" t="n"/>
      <c r="H812" s="96" t="n"/>
      <c r="I812" s="89">
        <f>IF($G812="","",IF($F812="",IFERROR(INDEX(Setup!$C$21:$C$60,MATCH("|"&amp;UPPER(TRIM($G812)),Setup!$Q$21:$Q$60,0)),"NO RATE"),IFERROR(INDEX(Setup!$C$21:$C$60,MATCH(UPPER(TRIM($F812))&amp;"|"&amp;UPPER(TRIM($G812)),Setup!$P$21:$P$60,0)),IFERROR(INDEX(Setup!$C$21:$C$60,MATCH(UPPER(TRIM($G812))&amp;"|"&amp;UPPER(TRIM($F812)),Setup!$P$21:$P$60,0)),"NO RATE"))))</f>
        <v/>
      </c>
      <c r="J812" s="97" t="n"/>
      <c r="K812" s="89">
        <f>IF(OR($G812="",$H812="",NOT(ISNUMBER($I812))),"",ROUND($H812*$I812*(1+IF($J812="",Setup!$B$16,$J812)),2))</f>
        <v/>
      </c>
      <c r="L812" s="89">
        <f>IF($K812="","",ROUND($K812*Setup!$B$13,2))</f>
        <v/>
      </c>
      <c r="M812" s="89">
        <f>IF($K812="","",$K812-$L812)</f>
        <v/>
      </c>
      <c r="N812" s="89">
        <f>IF(OR($M812="",$D812=""),"",ROUND($M812*IFERROR(IF(VLOOKUP($D812,Setup!$A$76:$C$87,3,FALSE)="",Setup!$B$14,VLOOKUP($D812,Setup!$A$76:$C$87,3,FALSE)),Setup!$B$14),2))</f>
        <v/>
      </c>
      <c r="O812" s="89">
        <f>IF(OR($M812="",$E812=""),"",ROUND($M812*IFERROR(IF(VLOOKUP($E812,Setup!$A$76:$C$87,3,FALSE)="",Setup!$B$15,VLOOKUP($E812,Setup!$A$76:$C$87,3,FALSE)),Setup!$B$15),2))</f>
        <v/>
      </c>
      <c r="P812" s="98" t="n"/>
      <c r="Q812" s="98" t="n"/>
      <c r="R812" s="98" t="n"/>
      <c r="S812" s="98" t="n"/>
      <c r="T812" s="98" t="n"/>
      <c r="U812" s="89">
        <f>IF($K812="","",SUM($R812:$T812))</f>
        <v/>
      </c>
      <c r="V812" s="89">
        <f>IF($K812="","",$M812-(N($N812)+N($O812)+IF($P812="",Setup!$B$17,$P812)+N($Q812))-N($U812))</f>
        <v/>
      </c>
      <c r="W812" s="94" t="n"/>
      <c r="X812" s="95" t="n"/>
      <c r="Z812" s="92">
        <f>IF($A812="","",DATE(YEAR($A812),MONTH($A812),1))</f>
        <v/>
      </c>
    </row>
    <row r="813">
      <c r="A813" s="85" t="n"/>
      <c r="B813" s="86" t="n"/>
      <c r="C813" s="86" t="n"/>
      <c r="D813" s="87" t="n"/>
      <c r="E813" s="87" t="n"/>
      <c r="F813" s="87" t="n"/>
      <c r="G813" s="87" t="n"/>
      <c r="H813" s="88" t="n"/>
      <c r="I813" s="89">
        <f>IF($G813="","",IF($F813="",IFERROR(INDEX(Setup!$C$21:$C$60,MATCH("|"&amp;UPPER(TRIM($G813)),Setup!$Q$21:$Q$60,0)),"NO RATE"),IFERROR(INDEX(Setup!$C$21:$C$60,MATCH(UPPER(TRIM($F813))&amp;"|"&amp;UPPER(TRIM($G813)),Setup!$P$21:$P$60,0)),IFERROR(INDEX(Setup!$C$21:$C$60,MATCH(UPPER(TRIM($G813))&amp;"|"&amp;UPPER(TRIM($F813)),Setup!$P$21:$P$60,0)),"NO RATE"))))</f>
        <v/>
      </c>
      <c r="J813" s="90" t="n"/>
      <c r="K813" s="89">
        <f>IF(OR($G813="",$H813="",NOT(ISNUMBER($I813))),"",ROUND($H813*$I813*(1+IF($J813="",Setup!$B$16,$J813)),2))</f>
        <v/>
      </c>
      <c r="L813" s="89">
        <f>IF($K813="","",ROUND($K813*Setup!$B$13,2))</f>
        <v/>
      </c>
      <c r="M813" s="89">
        <f>IF($K813="","",$K813-$L813)</f>
        <v/>
      </c>
      <c r="N813" s="89">
        <f>IF(OR($M813="",$D813=""),"",ROUND($M813*IFERROR(IF(VLOOKUP($D813,Setup!$A$76:$C$87,3,FALSE)="",Setup!$B$14,VLOOKUP($D813,Setup!$A$76:$C$87,3,FALSE)),Setup!$B$14),2))</f>
        <v/>
      </c>
      <c r="O813" s="89">
        <f>IF(OR($M813="",$E813=""),"",ROUND($M813*IFERROR(IF(VLOOKUP($E813,Setup!$A$76:$C$87,3,FALSE)="",Setup!$B$15,VLOOKUP($E813,Setup!$A$76:$C$87,3,FALSE)),Setup!$B$15),2))</f>
        <v/>
      </c>
      <c r="P813" s="91" t="n"/>
      <c r="Q813" s="91" t="n"/>
      <c r="R813" s="91" t="n"/>
      <c r="S813" s="91" t="n"/>
      <c r="T813" s="91" t="n"/>
      <c r="U813" s="89">
        <f>IF($K813="","",SUM($R813:$T813))</f>
        <v/>
      </c>
      <c r="V813" s="89">
        <f>IF($K813="","",$M813-(N($N813)+N($O813)+IF($P813="",Setup!$B$17,$P813)+N($Q813))-N($U813))</f>
        <v/>
      </c>
      <c r="W813" s="86" t="n"/>
      <c r="X813" s="87" t="n"/>
      <c r="Z813" s="92">
        <f>IF($A813="","",DATE(YEAR($A813),MONTH($A813),1))</f>
        <v/>
      </c>
    </row>
    <row r="814">
      <c r="A814" s="93" t="n"/>
      <c r="B814" s="94" t="n"/>
      <c r="C814" s="94" t="n"/>
      <c r="D814" s="95" t="n"/>
      <c r="E814" s="95" t="n"/>
      <c r="F814" s="95" t="n"/>
      <c r="G814" s="95" t="n"/>
      <c r="H814" s="96" t="n"/>
      <c r="I814" s="89">
        <f>IF($G814="","",IF($F814="",IFERROR(INDEX(Setup!$C$21:$C$60,MATCH("|"&amp;UPPER(TRIM($G814)),Setup!$Q$21:$Q$60,0)),"NO RATE"),IFERROR(INDEX(Setup!$C$21:$C$60,MATCH(UPPER(TRIM($F814))&amp;"|"&amp;UPPER(TRIM($G814)),Setup!$P$21:$P$60,0)),IFERROR(INDEX(Setup!$C$21:$C$60,MATCH(UPPER(TRIM($G814))&amp;"|"&amp;UPPER(TRIM($F814)),Setup!$P$21:$P$60,0)),"NO RATE"))))</f>
        <v/>
      </c>
      <c r="J814" s="97" t="n"/>
      <c r="K814" s="89">
        <f>IF(OR($G814="",$H814="",NOT(ISNUMBER($I814))),"",ROUND($H814*$I814*(1+IF($J814="",Setup!$B$16,$J814)),2))</f>
        <v/>
      </c>
      <c r="L814" s="89">
        <f>IF($K814="","",ROUND($K814*Setup!$B$13,2))</f>
        <v/>
      </c>
      <c r="M814" s="89">
        <f>IF($K814="","",$K814-$L814)</f>
        <v/>
      </c>
      <c r="N814" s="89">
        <f>IF(OR($M814="",$D814=""),"",ROUND($M814*IFERROR(IF(VLOOKUP($D814,Setup!$A$76:$C$87,3,FALSE)="",Setup!$B$14,VLOOKUP($D814,Setup!$A$76:$C$87,3,FALSE)),Setup!$B$14),2))</f>
        <v/>
      </c>
      <c r="O814" s="89">
        <f>IF(OR($M814="",$E814=""),"",ROUND($M814*IFERROR(IF(VLOOKUP($E814,Setup!$A$76:$C$87,3,FALSE)="",Setup!$B$15,VLOOKUP($E814,Setup!$A$76:$C$87,3,FALSE)),Setup!$B$15),2))</f>
        <v/>
      </c>
      <c r="P814" s="98" t="n"/>
      <c r="Q814" s="98" t="n"/>
      <c r="R814" s="98" t="n"/>
      <c r="S814" s="98" t="n"/>
      <c r="T814" s="98" t="n"/>
      <c r="U814" s="89">
        <f>IF($K814="","",SUM($R814:$T814))</f>
        <v/>
      </c>
      <c r="V814" s="89">
        <f>IF($K814="","",$M814-(N($N814)+N($O814)+IF($P814="",Setup!$B$17,$P814)+N($Q814))-N($U814))</f>
        <v/>
      </c>
      <c r="W814" s="94" t="n"/>
      <c r="X814" s="95" t="n"/>
      <c r="Z814" s="92">
        <f>IF($A814="","",DATE(YEAR($A814),MONTH($A814),1))</f>
        <v/>
      </c>
    </row>
    <row r="815">
      <c r="A815" s="85" t="n"/>
      <c r="B815" s="86" t="n"/>
      <c r="C815" s="86" t="n"/>
      <c r="D815" s="87" t="n"/>
      <c r="E815" s="87" t="n"/>
      <c r="F815" s="87" t="n"/>
      <c r="G815" s="87" t="n"/>
      <c r="H815" s="88" t="n"/>
      <c r="I815" s="89">
        <f>IF($G815="","",IF($F815="",IFERROR(INDEX(Setup!$C$21:$C$60,MATCH("|"&amp;UPPER(TRIM($G815)),Setup!$Q$21:$Q$60,0)),"NO RATE"),IFERROR(INDEX(Setup!$C$21:$C$60,MATCH(UPPER(TRIM($F815))&amp;"|"&amp;UPPER(TRIM($G815)),Setup!$P$21:$P$60,0)),IFERROR(INDEX(Setup!$C$21:$C$60,MATCH(UPPER(TRIM($G815))&amp;"|"&amp;UPPER(TRIM($F815)),Setup!$P$21:$P$60,0)),"NO RATE"))))</f>
        <v/>
      </c>
      <c r="J815" s="90" t="n"/>
      <c r="K815" s="89">
        <f>IF(OR($G815="",$H815="",NOT(ISNUMBER($I815))),"",ROUND($H815*$I815*(1+IF($J815="",Setup!$B$16,$J815)),2))</f>
        <v/>
      </c>
      <c r="L815" s="89">
        <f>IF($K815="","",ROUND($K815*Setup!$B$13,2))</f>
        <v/>
      </c>
      <c r="M815" s="89">
        <f>IF($K815="","",$K815-$L815)</f>
        <v/>
      </c>
      <c r="N815" s="89">
        <f>IF(OR($M815="",$D815=""),"",ROUND($M815*IFERROR(IF(VLOOKUP($D815,Setup!$A$76:$C$87,3,FALSE)="",Setup!$B$14,VLOOKUP($D815,Setup!$A$76:$C$87,3,FALSE)),Setup!$B$14),2))</f>
        <v/>
      </c>
      <c r="O815" s="89">
        <f>IF(OR($M815="",$E815=""),"",ROUND($M815*IFERROR(IF(VLOOKUP($E815,Setup!$A$76:$C$87,3,FALSE)="",Setup!$B$15,VLOOKUP($E815,Setup!$A$76:$C$87,3,FALSE)),Setup!$B$15),2))</f>
        <v/>
      </c>
      <c r="P815" s="91" t="n"/>
      <c r="Q815" s="91" t="n"/>
      <c r="R815" s="91" t="n"/>
      <c r="S815" s="91" t="n"/>
      <c r="T815" s="91" t="n"/>
      <c r="U815" s="89">
        <f>IF($K815="","",SUM($R815:$T815))</f>
        <v/>
      </c>
      <c r="V815" s="89">
        <f>IF($K815="","",$M815-(N($N815)+N($O815)+IF($P815="",Setup!$B$17,$P815)+N($Q815))-N($U815))</f>
        <v/>
      </c>
      <c r="W815" s="86" t="n"/>
      <c r="X815" s="87" t="n"/>
      <c r="Z815" s="92">
        <f>IF($A815="","",DATE(YEAR($A815),MONTH($A815),1))</f>
        <v/>
      </c>
    </row>
    <row r="816">
      <c r="A816" s="93" t="n"/>
      <c r="B816" s="94" t="n"/>
      <c r="C816" s="94" t="n"/>
      <c r="D816" s="95" t="n"/>
      <c r="E816" s="95" t="n"/>
      <c r="F816" s="95" t="n"/>
      <c r="G816" s="95" t="n"/>
      <c r="H816" s="96" t="n"/>
      <c r="I816" s="89">
        <f>IF($G816="","",IF($F816="",IFERROR(INDEX(Setup!$C$21:$C$60,MATCH("|"&amp;UPPER(TRIM($G816)),Setup!$Q$21:$Q$60,0)),"NO RATE"),IFERROR(INDEX(Setup!$C$21:$C$60,MATCH(UPPER(TRIM($F816))&amp;"|"&amp;UPPER(TRIM($G816)),Setup!$P$21:$P$60,0)),IFERROR(INDEX(Setup!$C$21:$C$60,MATCH(UPPER(TRIM($G816))&amp;"|"&amp;UPPER(TRIM($F816)),Setup!$P$21:$P$60,0)),"NO RATE"))))</f>
        <v/>
      </c>
      <c r="J816" s="97" t="n"/>
      <c r="K816" s="89">
        <f>IF(OR($G816="",$H816="",NOT(ISNUMBER($I816))),"",ROUND($H816*$I816*(1+IF($J816="",Setup!$B$16,$J816)),2))</f>
        <v/>
      </c>
      <c r="L816" s="89">
        <f>IF($K816="","",ROUND($K816*Setup!$B$13,2))</f>
        <v/>
      </c>
      <c r="M816" s="89">
        <f>IF($K816="","",$K816-$L816)</f>
        <v/>
      </c>
      <c r="N816" s="89">
        <f>IF(OR($M816="",$D816=""),"",ROUND($M816*IFERROR(IF(VLOOKUP($D816,Setup!$A$76:$C$87,3,FALSE)="",Setup!$B$14,VLOOKUP($D816,Setup!$A$76:$C$87,3,FALSE)),Setup!$B$14),2))</f>
        <v/>
      </c>
      <c r="O816" s="89">
        <f>IF(OR($M816="",$E816=""),"",ROUND($M816*IFERROR(IF(VLOOKUP($E816,Setup!$A$76:$C$87,3,FALSE)="",Setup!$B$15,VLOOKUP($E816,Setup!$A$76:$C$87,3,FALSE)),Setup!$B$15),2))</f>
        <v/>
      </c>
      <c r="P816" s="98" t="n"/>
      <c r="Q816" s="98" t="n"/>
      <c r="R816" s="98" t="n"/>
      <c r="S816" s="98" t="n"/>
      <c r="T816" s="98" t="n"/>
      <c r="U816" s="89">
        <f>IF($K816="","",SUM($R816:$T816))</f>
        <v/>
      </c>
      <c r="V816" s="89">
        <f>IF($K816="","",$M816-(N($N816)+N($O816)+IF($P816="",Setup!$B$17,$P816)+N($Q816))-N($U816))</f>
        <v/>
      </c>
      <c r="W816" s="94" t="n"/>
      <c r="X816" s="95" t="n"/>
      <c r="Z816" s="92">
        <f>IF($A816="","",DATE(YEAR($A816),MONTH($A816),1))</f>
        <v/>
      </c>
    </row>
    <row r="817">
      <c r="A817" s="85" t="n"/>
      <c r="B817" s="86" t="n"/>
      <c r="C817" s="86" t="n"/>
      <c r="D817" s="87" t="n"/>
      <c r="E817" s="87" t="n"/>
      <c r="F817" s="87" t="n"/>
      <c r="G817" s="87" t="n"/>
      <c r="H817" s="88" t="n"/>
      <c r="I817" s="89">
        <f>IF($G817="","",IF($F817="",IFERROR(INDEX(Setup!$C$21:$C$60,MATCH("|"&amp;UPPER(TRIM($G817)),Setup!$Q$21:$Q$60,0)),"NO RATE"),IFERROR(INDEX(Setup!$C$21:$C$60,MATCH(UPPER(TRIM($F817))&amp;"|"&amp;UPPER(TRIM($G817)),Setup!$P$21:$P$60,0)),IFERROR(INDEX(Setup!$C$21:$C$60,MATCH(UPPER(TRIM($G817))&amp;"|"&amp;UPPER(TRIM($F817)),Setup!$P$21:$P$60,0)),"NO RATE"))))</f>
        <v/>
      </c>
      <c r="J817" s="90" t="n"/>
      <c r="K817" s="89">
        <f>IF(OR($G817="",$H817="",NOT(ISNUMBER($I817))),"",ROUND($H817*$I817*(1+IF($J817="",Setup!$B$16,$J817)),2))</f>
        <v/>
      </c>
      <c r="L817" s="89">
        <f>IF($K817="","",ROUND($K817*Setup!$B$13,2))</f>
        <v/>
      </c>
      <c r="M817" s="89">
        <f>IF($K817="","",$K817-$L817)</f>
        <v/>
      </c>
      <c r="N817" s="89">
        <f>IF(OR($M817="",$D817=""),"",ROUND($M817*IFERROR(IF(VLOOKUP($D817,Setup!$A$76:$C$87,3,FALSE)="",Setup!$B$14,VLOOKUP($D817,Setup!$A$76:$C$87,3,FALSE)),Setup!$B$14),2))</f>
        <v/>
      </c>
      <c r="O817" s="89">
        <f>IF(OR($M817="",$E817=""),"",ROUND($M817*IFERROR(IF(VLOOKUP($E817,Setup!$A$76:$C$87,3,FALSE)="",Setup!$B$15,VLOOKUP($E817,Setup!$A$76:$C$87,3,FALSE)),Setup!$B$15),2))</f>
        <v/>
      </c>
      <c r="P817" s="91" t="n"/>
      <c r="Q817" s="91" t="n"/>
      <c r="R817" s="91" t="n"/>
      <c r="S817" s="91" t="n"/>
      <c r="T817" s="91" t="n"/>
      <c r="U817" s="89">
        <f>IF($K817="","",SUM($R817:$T817))</f>
        <v/>
      </c>
      <c r="V817" s="89">
        <f>IF($K817="","",$M817-(N($N817)+N($O817)+IF($P817="",Setup!$B$17,$P817)+N($Q817))-N($U817))</f>
        <v/>
      </c>
      <c r="W817" s="86" t="n"/>
      <c r="X817" s="87" t="n"/>
      <c r="Z817" s="92">
        <f>IF($A817="","",DATE(YEAR($A817),MONTH($A817),1))</f>
        <v/>
      </c>
    </row>
    <row r="818">
      <c r="A818" s="93" t="n"/>
      <c r="B818" s="94" t="n"/>
      <c r="C818" s="94" t="n"/>
      <c r="D818" s="95" t="n"/>
      <c r="E818" s="95" t="n"/>
      <c r="F818" s="95" t="n"/>
      <c r="G818" s="95" t="n"/>
      <c r="H818" s="96" t="n"/>
      <c r="I818" s="89">
        <f>IF($G818="","",IF($F818="",IFERROR(INDEX(Setup!$C$21:$C$60,MATCH("|"&amp;UPPER(TRIM($G818)),Setup!$Q$21:$Q$60,0)),"NO RATE"),IFERROR(INDEX(Setup!$C$21:$C$60,MATCH(UPPER(TRIM($F818))&amp;"|"&amp;UPPER(TRIM($G818)),Setup!$P$21:$P$60,0)),IFERROR(INDEX(Setup!$C$21:$C$60,MATCH(UPPER(TRIM($G818))&amp;"|"&amp;UPPER(TRIM($F818)),Setup!$P$21:$P$60,0)),"NO RATE"))))</f>
        <v/>
      </c>
      <c r="J818" s="97" t="n"/>
      <c r="K818" s="89">
        <f>IF(OR($G818="",$H818="",NOT(ISNUMBER($I818))),"",ROUND($H818*$I818*(1+IF($J818="",Setup!$B$16,$J818)),2))</f>
        <v/>
      </c>
      <c r="L818" s="89">
        <f>IF($K818="","",ROUND($K818*Setup!$B$13,2))</f>
        <v/>
      </c>
      <c r="M818" s="89">
        <f>IF($K818="","",$K818-$L818)</f>
        <v/>
      </c>
      <c r="N818" s="89">
        <f>IF(OR($M818="",$D818=""),"",ROUND($M818*IFERROR(IF(VLOOKUP($D818,Setup!$A$76:$C$87,3,FALSE)="",Setup!$B$14,VLOOKUP($D818,Setup!$A$76:$C$87,3,FALSE)),Setup!$B$14),2))</f>
        <v/>
      </c>
      <c r="O818" s="89">
        <f>IF(OR($M818="",$E818=""),"",ROUND($M818*IFERROR(IF(VLOOKUP($E818,Setup!$A$76:$C$87,3,FALSE)="",Setup!$B$15,VLOOKUP($E818,Setup!$A$76:$C$87,3,FALSE)),Setup!$B$15),2))</f>
        <v/>
      </c>
      <c r="P818" s="98" t="n"/>
      <c r="Q818" s="98" t="n"/>
      <c r="R818" s="98" t="n"/>
      <c r="S818" s="98" t="n"/>
      <c r="T818" s="98" t="n"/>
      <c r="U818" s="89">
        <f>IF($K818="","",SUM($R818:$T818))</f>
        <v/>
      </c>
      <c r="V818" s="89">
        <f>IF($K818="","",$M818-(N($N818)+N($O818)+IF($P818="",Setup!$B$17,$P818)+N($Q818))-N($U818))</f>
        <v/>
      </c>
      <c r="W818" s="94" t="n"/>
      <c r="X818" s="95" t="n"/>
      <c r="Z818" s="92">
        <f>IF($A818="","",DATE(YEAR($A818),MONTH($A818),1))</f>
        <v/>
      </c>
    </row>
    <row r="819">
      <c r="A819" s="85" t="n"/>
      <c r="B819" s="86" t="n"/>
      <c r="C819" s="86" t="n"/>
      <c r="D819" s="87" t="n"/>
      <c r="E819" s="87" t="n"/>
      <c r="F819" s="87" t="n"/>
      <c r="G819" s="87" t="n"/>
      <c r="H819" s="88" t="n"/>
      <c r="I819" s="89">
        <f>IF($G819="","",IF($F819="",IFERROR(INDEX(Setup!$C$21:$C$60,MATCH("|"&amp;UPPER(TRIM($G819)),Setup!$Q$21:$Q$60,0)),"NO RATE"),IFERROR(INDEX(Setup!$C$21:$C$60,MATCH(UPPER(TRIM($F819))&amp;"|"&amp;UPPER(TRIM($G819)),Setup!$P$21:$P$60,0)),IFERROR(INDEX(Setup!$C$21:$C$60,MATCH(UPPER(TRIM($G819))&amp;"|"&amp;UPPER(TRIM($F819)),Setup!$P$21:$P$60,0)),"NO RATE"))))</f>
        <v/>
      </c>
      <c r="J819" s="90" t="n"/>
      <c r="K819" s="89">
        <f>IF(OR($G819="",$H819="",NOT(ISNUMBER($I819))),"",ROUND($H819*$I819*(1+IF($J819="",Setup!$B$16,$J819)),2))</f>
        <v/>
      </c>
      <c r="L819" s="89">
        <f>IF($K819="","",ROUND($K819*Setup!$B$13,2))</f>
        <v/>
      </c>
      <c r="M819" s="89">
        <f>IF($K819="","",$K819-$L819)</f>
        <v/>
      </c>
      <c r="N819" s="89">
        <f>IF(OR($M819="",$D819=""),"",ROUND($M819*IFERROR(IF(VLOOKUP($D819,Setup!$A$76:$C$87,3,FALSE)="",Setup!$B$14,VLOOKUP($D819,Setup!$A$76:$C$87,3,FALSE)),Setup!$B$14),2))</f>
        <v/>
      </c>
      <c r="O819" s="89">
        <f>IF(OR($M819="",$E819=""),"",ROUND($M819*IFERROR(IF(VLOOKUP($E819,Setup!$A$76:$C$87,3,FALSE)="",Setup!$B$15,VLOOKUP($E819,Setup!$A$76:$C$87,3,FALSE)),Setup!$B$15),2))</f>
        <v/>
      </c>
      <c r="P819" s="91" t="n"/>
      <c r="Q819" s="91" t="n"/>
      <c r="R819" s="91" t="n"/>
      <c r="S819" s="91" t="n"/>
      <c r="T819" s="91" t="n"/>
      <c r="U819" s="89">
        <f>IF($K819="","",SUM($R819:$T819))</f>
        <v/>
      </c>
      <c r="V819" s="89">
        <f>IF($K819="","",$M819-(N($N819)+N($O819)+IF($P819="",Setup!$B$17,$P819)+N($Q819))-N($U819))</f>
        <v/>
      </c>
      <c r="W819" s="86" t="n"/>
      <c r="X819" s="87" t="n"/>
      <c r="Z819" s="92">
        <f>IF($A819="","",DATE(YEAR($A819),MONTH($A819),1))</f>
        <v/>
      </c>
    </row>
    <row r="820">
      <c r="A820" s="93" t="n"/>
      <c r="B820" s="94" t="n"/>
      <c r="C820" s="94" t="n"/>
      <c r="D820" s="95" t="n"/>
      <c r="E820" s="95" t="n"/>
      <c r="F820" s="95" t="n"/>
      <c r="G820" s="95" t="n"/>
      <c r="H820" s="96" t="n"/>
      <c r="I820" s="89">
        <f>IF($G820="","",IF($F820="",IFERROR(INDEX(Setup!$C$21:$C$60,MATCH("|"&amp;UPPER(TRIM($G820)),Setup!$Q$21:$Q$60,0)),"NO RATE"),IFERROR(INDEX(Setup!$C$21:$C$60,MATCH(UPPER(TRIM($F820))&amp;"|"&amp;UPPER(TRIM($G820)),Setup!$P$21:$P$60,0)),IFERROR(INDEX(Setup!$C$21:$C$60,MATCH(UPPER(TRIM($G820))&amp;"|"&amp;UPPER(TRIM($F820)),Setup!$P$21:$P$60,0)),"NO RATE"))))</f>
        <v/>
      </c>
      <c r="J820" s="97" t="n"/>
      <c r="K820" s="89">
        <f>IF(OR($G820="",$H820="",NOT(ISNUMBER($I820))),"",ROUND($H820*$I820*(1+IF($J820="",Setup!$B$16,$J820)),2))</f>
        <v/>
      </c>
      <c r="L820" s="89">
        <f>IF($K820="","",ROUND($K820*Setup!$B$13,2))</f>
        <v/>
      </c>
      <c r="M820" s="89">
        <f>IF($K820="","",$K820-$L820)</f>
        <v/>
      </c>
      <c r="N820" s="89">
        <f>IF(OR($M820="",$D820=""),"",ROUND($M820*IFERROR(IF(VLOOKUP($D820,Setup!$A$76:$C$87,3,FALSE)="",Setup!$B$14,VLOOKUP($D820,Setup!$A$76:$C$87,3,FALSE)),Setup!$B$14),2))</f>
        <v/>
      </c>
      <c r="O820" s="89">
        <f>IF(OR($M820="",$E820=""),"",ROUND($M820*IFERROR(IF(VLOOKUP($E820,Setup!$A$76:$C$87,3,FALSE)="",Setup!$B$15,VLOOKUP($E820,Setup!$A$76:$C$87,3,FALSE)),Setup!$B$15),2))</f>
        <v/>
      </c>
      <c r="P820" s="98" t="n"/>
      <c r="Q820" s="98" t="n"/>
      <c r="R820" s="98" t="n"/>
      <c r="S820" s="98" t="n"/>
      <c r="T820" s="98" t="n"/>
      <c r="U820" s="89">
        <f>IF($K820="","",SUM($R820:$T820))</f>
        <v/>
      </c>
      <c r="V820" s="89">
        <f>IF($K820="","",$M820-(N($N820)+N($O820)+IF($P820="",Setup!$B$17,$P820)+N($Q820))-N($U820))</f>
        <v/>
      </c>
      <c r="W820" s="94" t="n"/>
      <c r="X820" s="95" t="n"/>
      <c r="Z820" s="92">
        <f>IF($A820="","",DATE(YEAR($A820),MONTH($A820),1))</f>
        <v/>
      </c>
    </row>
    <row r="821">
      <c r="A821" s="85" t="n"/>
      <c r="B821" s="86" t="n"/>
      <c r="C821" s="86" t="n"/>
      <c r="D821" s="87" t="n"/>
      <c r="E821" s="87" t="n"/>
      <c r="F821" s="87" t="n"/>
      <c r="G821" s="87" t="n"/>
      <c r="H821" s="88" t="n"/>
      <c r="I821" s="89">
        <f>IF($G821="","",IF($F821="",IFERROR(INDEX(Setup!$C$21:$C$60,MATCH("|"&amp;UPPER(TRIM($G821)),Setup!$Q$21:$Q$60,0)),"NO RATE"),IFERROR(INDEX(Setup!$C$21:$C$60,MATCH(UPPER(TRIM($F821))&amp;"|"&amp;UPPER(TRIM($G821)),Setup!$P$21:$P$60,0)),IFERROR(INDEX(Setup!$C$21:$C$60,MATCH(UPPER(TRIM($G821))&amp;"|"&amp;UPPER(TRIM($F821)),Setup!$P$21:$P$60,0)),"NO RATE"))))</f>
        <v/>
      </c>
      <c r="J821" s="90" t="n"/>
      <c r="K821" s="89">
        <f>IF(OR($G821="",$H821="",NOT(ISNUMBER($I821))),"",ROUND($H821*$I821*(1+IF($J821="",Setup!$B$16,$J821)),2))</f>
        <v/>
      </c>
      <c r="L821" s="89">
        <f>IF($K821="","",ROUND($K821*Setup!$B$13,2))</f>
        <v/>
      </c>
      <c r="M821" s="89">
        <f>IF($K821="","",$K821-$L821)</f>
        <v/>
      </c>
      <c r="N821" s="89">
        <f>IF(OR($M821="",$D821=""),"",ROUND($M821*IFERROR(IF(VLOOKUP($D821,Setup!$A$76:$C$87,3,FALSE)="",Setup!$B$14,VLOOKUP($D821,Setup!$A$76:$C$87,3,FALSE)),Setup!$B$14),2))</f>
        <v/>
      </c>
      <c r="O821" s="89">
        <f>IF(OR($M821="",$E821=""),"",ROUND($M821*IFERROR(IF(VLOOKUP($E821,Setup!$A$76:$C$87,3,FALSE)="",Setup!$B$15,VLOOKUP($E821,Setup!$A$76:$C$87,3,FALSE)),Setup!$B$15),2))</f>
        <v/>
      </c>
      <c r="P821" s="91" t="n"/>
      <c r="Q821" s="91" t="n"/>
      <c r="R821" s="91" t="n"/>
      <c r="S821" s="91" t="n"/>
      <c r="T821" s="91" t="n"/>
      <c r="U821" s="89">
        <f>IF($K821="","",SUM($R821:$T821))</f>
        <v/>
      </c>
      <c r="V821" s="89">
        <f>IF($K821="","",$M821-(N($N821)+N($O821)+IF($P821="",Setup!$B$17,$P821)+N($Q821))-N($U821))</f>
        <v/>
      </c>
      <c r="W821" s="86" t="n"/>
      <c r="X821" s="87" t="n"/>
      <c r="Z821" s="92">
        <f>IF($A821="","",DATE(YEAR($A821),MONTH($A821),1))</f>
        <v/>
      </c>
    </row>
    <row r="822">
      <c r="A822" s="93" t="n"/>
      <c r="B822" s="94" t="n"/>
      <c r="C822" s="94" t="n"/>
      <c r="D822" s="95" t="n"/>
      <c r="E822" s="95" t="n"/>
      <c r="F822" s="95" t="n"/>
      <c r="G822" s="95" t="n"/>
      <c r="H822" s="96" t="n"/>
      <c r="I822" s="89">
        <f>IF($G822="","",IF($F822="",IFERROR(INDEX(Setup!$C$21:$C$60,MATCH("|"&amp;UPPER(TRIM($G822)),Setup!$Q$21:$Q$60,0)),"NO RATE"),IFERROR(INDEX(Setup!$C$21:$C$60,MATCH(UPPER(TRIM($F822))&amp;"|"&amp;UPPER(TRIM($G822)),Setup!$P$21:$P$60,0)),IFERROR(INDEX(Setup!$C$21:$C$60,MATCH(UPPER(TRIM($G822))&amp;"|"&amp;UPPER(TRIM($F822)),Setup!$P$21:$P$60,0)),"NO RATE"))))</f>
        <v/>
      </c>
      <c r="J822" s="97" t="n"/>
      <c r="K822" s="89">
        <f>IF(OR($G822="",$H822="",NOT(ISNUMBER($I822))),"",ROUND($H822*$I822*(1+IF($J822="",Setup!$B$16,$J822)),2))</f>
        <v/>
      </c>
      <c r="L822" s="89">
        <f>IF($K822="","",ROUND($K822*Setup!$B$13,2))</f>
        <v/>
      </c>
      <c r="M822" s="89">
        <f>IF($K822="","",$K822-$L822)</f>
        <v/>
      </c>
      <c r="N822" s="89">
        <f>IF(OR($M822="",$D822=""),"",ROUND($M822*IFERROR(IF(VLOOKUP($D822,Setup!$A$76:$C$87,3,FALSE)="",Setup!$B$14,VLOOKUP($D822,Setup!$A$76:$C$87,3,FALSE)),Setup!$B$14),2))</f>
        <v/>
      </c>
      <c r="O822" s="89">
        <f>IF(OR($M822="",$E822=""),"",ROUND($M822*IFERROR(IF(VLOOKUP($E822,Setup!$A$76:$C$87,3,FALSE)="",Setup!$B$15,VLOOKUP($E822,Setup!$A$76:$C$87,3,FALSE)),Setup!$B$15),2))</f>
        <v/>
      </c>
      <c r="P822" s="98" t="n"/>
      <c r="Q822" s="98" t="n"/>
      <c r="R822" s="98" t="n"/>
      <c r="S822" s="98" t="n"/>
      <c r="T822" s="98" t="n"/>
      <c r="U822" s="89">
        <f>IF($K822="","",SUM($R822:$T822))</f>
        <v/>
      </c>
      <c r="V822" s="89">
        <f>IF($K822="","",$M822-(N($N822)+N($O822)+IF($P822="",Setup!$B$17,$P822)+N($Q822))-N($U822))</f>
        <v/>
      </c>
      <c r="W822" s="94" t="n"/>
      <c r="X822" s="95" t="n"/>
      <c r="Z822" s="92">
        <f>IF($A822="","",DATE(YEAR($A822),MONTH($A822),1))</f>
        <v/>
      </c>
    </row>
    <row r="823">
      <c r="A823" s="85" t="n"/>
      <c r="B823" s="86" t="n"/>
      <c r="C823" s="86" t="n"/>
      <c r="D823" s="87" t="n"/>
      <c r="E823" s="87" t="n"/>
      <c r="F823" s="87" t="n"/>
      <c r="G823" s="87" t="n"/>
      <c r="H823" s="88" t="n"/>
      <c r="I823" s="89">
        <f>IF($G823="","",IF($F823="",IFERROR(INDEX(Setup!$C$21:$C$60,MATCH("|"&amp;UPPER(TRIM($G823)),Setup!$Q$21:$Q$60,0)),"NO RATE"),IFERROR(INDEX(Setup!$C$21:$C$60,MATCH(UPPER(TRIM($F823))&amp;"|"&amp;UPPER(TRIM($G823)),Setup!$P$21:$P$60,0)),IFERROR(INDEX(Setup!$C$21:$C$60,MATCH(UPPER(TRIM($G823))&amp;"|"&amp;UPPER(TRIM($F823)),Setup!$P$21:$P$60,0)),"NO RATE"))))</f>
        <v/>
      </c>
      <c r="J823" s="90" t="n"/>
      <c r="K823" s="89">
        <f>IF(OR($G823="",$H823="",NOT(ISNUMBER($I823))),"",ROUND($H823*$I823*(1+IF($J823="",Setup!$B$16,$J823)),2))</f>
        <v/>
      </c>
      <c r="L823" s="89">
        <f>IF($K823="","",ROUND($K823*Setup!$B$13,2))</f>
        <v/>
      </c>
      <c r="M823" s="89">
        <f>IF($K823="","",$K823-$L823)</f>
        <v/>
      </c>
      <c r="N823" s="89">
        <f>IF(OR($M823="",$D823=""),"",ROUND($M823*IFERROR(IF(VLOOKUP($D823,Setup!$A$76:$C$87,3,FALSE)="",Setup!$B$14,VLOOKUP($D823,Setup!$A$76:$C$87,3,FALSE)),Setup!$B$14),2))</f>
        <v/>
      </c>
      <c r="O823" s="89">
        <f>IF(OR($M823="",$E823=""),"",ROUND($M823*IFERROR(IF(VLOOKUP($E823,Setup!$A$76:$C$87,3,FALSE)="",Setup!$B$15,VLOOKUP($E823,Setup!$A$76:$C$87,3,FALSE)),Setup!$B$15),2))</f>
        <v/>
      </c>
      <c r="P823" s="91" t="n"/>
      <c r="Q823" s="91" t="n"/>
      <c r="R823" s="91" t="n"/>
      <c r="S823" s="91" t="n"/>
      <c r="T823" s="91" t="n"/>
      <c r="U823" s="89">
        <f>IF($K823="","",SUM($R823:$T823))</f>
        <v/>
      </c>
      <c r="V823" s="89">
        <f>IF($K823="","",$M823-(N($N823)+N($O823)+IF($P823="",Setup!$B$17,$P823)+N($Q823))-N($U823))</f>
        <v/>
      </c>
      <c r="W823" s="86" t="n"/>
      <c r="X823" s="87" t="n"/>
      <c r="Z823" s="92">
        <f>IF($A823="","",DATE(YEAR($A823),MONTH($A823),1))</f>
        <v/>
      </c>
    </row>
    <row r="824">
      <c r="A824" s="93" t="n"/>
      <c r="B824" s="94" t="n"/>
      <c r="C824" s="94" t="n"/>
      <c r="D824" s="95" t="n"/>
      <c r="E824" s="95" t="n"/>
      <c r="F824" s="95" t="n"/>
      <c r="G824" s="95" t="n"/>
      <c r="H824" s="96" t="n"/>
      <c r="I824" s="89">
        <f>IF($G824="","",IF($F824="",IFERROR(INDEX(Setup!$C$21:$C$60,MATCH("|"&amp;UPPER(TRIM($G824)),Setup!$Q$21:$Q$60,0)),"NO RATE"),IFERROR(INDEX(Setup!$C$21:$C$60,MATCH(UPPER(TRIM($F824))&amp;"|"&amp;UPPER(TRIM($G824)),Setup!$P$21:$P$60,0)),IFERROR(INDEX(Setup!$C$21:$C$60,MATCH(UPPER(TRIM($G824))&amp;"|"&amp;UPPER(TRIM($F824)),Setup!$P$21:$P$60,0)),"NO RATE"))))</f>
        <v/>
      </c>
      <c r="J824" s="97" t="n"/>
      <c r="K824" s="89">
        <f>IF(OR($G824="",$H824="",NOT(ISNUMBER($I824))),"",ROUND($H824*$I824*(1+IF($J824="",Setup!$B$16,$J824)),2))</f>
        <v/>
      </c>
      <c r="L824" s="89">
        <f>IF($K824="","",ROUND($K824*Setup!$B$13,2))</f>
        <v/>
      </c>
      <c r="M824" s="89">
        <f>IF($K824="","",$K824-$L824)</f>
        <v/>
      </c>
      <c r="N824" s="89">
        <f>IF(OR($M824="",$D824=""),"",ROUND($M824*IFERROR(IF(VLOOKUP($D824,Setup!$A$76:$C$87,3,FALSE)="",Setup!$B$14,VLOOKUP($D824,Setup!$A$76:$C$87,3,FALSE)),Setup!$B$14),2))</f>
        <v/>
      </c>
      <c r="O824" s="89">
        <f>IF(OR($M824="",$E824=""),"",ROUND($M824*IFERROR(IF(VLOOKUP($E824,Setup!$A$76:$C$87,3,FALSE)="",Setup!$B$15,VLOOKUP($E824,Setup!$A$76:$C$87,3,FALSE)),Setup!$B$15),2))</f>
        <v/>
      </c>
      <c r="P824" s="98" t="n"/>
      <c r="Q824" s="98" t="n"/>
      <c r="R824" s="98" t="n"/>
      <c r="S824" s="98" t="n"/>
      <c r="T824" s="98" t="n"/>
      <c r="U824" s="89">
        <f>IF($K824="","",SUM($R824:$T824))</f>
        <v/>
      </c>
      <c r="V824" s="89">
        <f>IF($K824="","",$M824-(N($N824)+N($O824)+IF($P824="",Setup!$B$17,$P824)+N($Q824))-N($U824))</f>
        <v/>
      </c>
      <c r="W824" s="94" t="n"/>
      <c r="X824" s="95" t="n"/>
      <c r="Z824" s="92">
        <f>IF($A824="","",DATE(YEAR($A824),MONTH($A824),1))</f>
        <v/>
      </c>
    </row>
    <row r="825">
      <c r="A825" s="85" t="n"/>
      <c r="B825" s="86" t="n"/>
      <c r="C825" s="86" t="n"/>
      <c r="D825" s="87" t="n"/>
      <c r="E825" s="87" t="n"/>
      <c r="F825" s="87" t="n"/>
      <c r="G825" s="87" t="n"/>
      <c r="H825" s="88" t="n"/>
      <c r="I825" s="89">
        <f>IF($G825="","",IF($F825="",IFERROR(INDEX(Setup!$C$21:$C$60,MATCH("|"&amp;UPPER(TRIM($G825)),Setup!$Q$21:$Q$60,0)),"NO RATE"),IFERROR(INDEX(Setup!$C$21:$C$60,MATCH(UPPER(TRIM($F825))&amp;"|"&amp;UPPER(TRIM($G825)),Setup!$P$21:$P$60,0)),IFERROR(INDEX(Setup!$C$21:$C$60,MATCH(UPPER(TRIM($G825))&amp;"|"&amp;UPPER(TRIM($F825)),Setup!$P$21:$P$60,0)),"NO RATE"))))</f>
        <v/>
      </c>
      <c r="J825" s="90" t="n"/>
      <c r="K825" s="89">
        <f>IF(OR($G825="",$H825="",NOT(ISNUMBER($I825))),"",ROUND($H825*$I825*(1+IF($J825="",Setup!$B$16,$J825)),2))</f>
        <v/>
      </c>
      <c r="L825" s="89">
        <f>IF($K825="","",ROUND($K825*Setup!$B$13,2))</f>
        <v/>
      </c>
      <c r="M825" s="89">
        <f>IF($K825="","",$K825-$L825)</f>
        <v/>
      </c>
      <c r="N825" s="89">
        <f>IF(OR($M825="",$D825=""),"",ROUND($M825*IFERROR(IF(VLOOKUP($D825,Setup!$A$76:$C$87,3,FALSE)="",Setup!$B$14,VLOOKUP($D825,Setup!$A$76:$C$87,3,FALSE)),Setup!$B$14),2))</f>
        <v/>
      </c>
      <c r="O825" s="89">
        <f>IF(OR($M825="",$E825=""),"",ROUND($M825*IFERROR(IF(VLOOKUP($E825,Setup!$A$76:$C$87,3,FALSE)="",Setup!$B$15,VLOOKUP($E825,Setup!$A$76:$C$87,3,FALSE)),Setup!$B$15),2))</f>
        <v/>
      </c>
      <c r="P825" s="91" t="n"/>
      <c r="Q825" s="91" t="n"/>
      <c r="R825" s="91" t="n"/>
      <c r="S825" s="91" t="n"/>
      <c r="T825" s="91" t="n"/>
      <c r="U825" s="89">
        <f>IF($K825="","",SUM($R825:$T825))</f>
        <v/>
      </c>
      <c r="V825" s="89">
        <f>IF($K825="","",$M825-(N($N825)+N($O825)+IF($P825="",Setup!$B$17,$P825)+N($Q825))-N($U825))</f>
        <v/>
      </c>
      <c r="W825" s="86" t="n"/>
      <c r="X825" s="87" t="n"/>
      <c r="Z825" s="92">
        <f>IF($A825="","",DATE(YEAR($A825),MONTH($A825),1))</f>
        <v/>
      </c>
    </row>
    <row r="826">
      <c r="A826" s="93" t="n"/>
      <c r="B826" s="94" t="n"/>
      <c r="C826" s="94" t="n"/>
      <c r="D826" s="95" t="n"/>
      <c r="E826" s="95" t="n"/>
      <c r="F826" s="95" t="n"/>
      <c r="G826" s="95" t="n"/>
      <c r="H826" s="96" t="n"/>
      <c r="I826" s="89">
        <f>IF($G826="","",IF($F826="",IFERROR(INDEX(Setup!$C$21:$C$60,MATCH("|"&amp;UPPER(TRIM($G826)),Setup!$Q$21:$Q$60,0)),"NO RATE"),IFERROR(INDEX(Setup!$C$21:$C$60,MATCH(UPPER(TRIM($F826))&amp;"|"&amp;UPPER(TRIM($G826)),Setup!$P$21:$P$60,0)),IFERROR(INDEX(Setup!$C$21:$C$60,MATCH(UPPER(TRIM($G826))&amp;"|"&amp;UPPER(TRIM($F826)),Setup!$P$21:$P$60,0)),"NO RATE"))))</f>
        <v/>
      </c>
      <c r="J826" s="97" t="n"/>
      <c r="K826" s="89">
        <f>IF(OR($G826="",$H826="",NOT(ISNUMBER($I826))),"",ROUND($H826*$I826*(1+IF($J826="",Setup!$B$16,$J826)),2))</f>
        <v/>
      </c>
      <c r="L826" s="89">
        <f>IF($K826="","",ROUND($K826*Setup!$B$13,2))</f>
        <v/>
      </c>
      <c r="M826" s="89">
        <f>IF($K826="","",$K826-$L826)</f>
        <v/>
      </c>
      <c r="N826" s="89">
        <f>IF(OR($M826="",$D826=""),"",ROUND($M826*IFERROR(IF(VLOOKUP($D826,Setup!$A$76:$C$87,3,FALSE)="",Setup!$B$14,VLOOKUP($D826,Setup!$A$76:$C$87,3,FALSE)),Setup!$B$14),2))</f>
        <v/>
      </c>
      <c r="O826" s="89">
        <f>IF(OR($M826="",$E826=""),"",ROUND($M826*IFERROR(IF(VLOOKUP($E826,Setup!$A$76:$C$87,3,FALSE)="",Setup!$B$15,VLOOKUP($E826,Setup!$A$76:$C$87,3,FALSE)),Setup!$B$15),2))</f>
        <v/>
      </c>
      <c r="P826" s="98" t="n"/>
      <c r="Q826" s="98" t="n"/>
      <c r="R826" s="98" t="n"/>
      <c r="S826" s="98" t="n"/>
      <c r="T826" s="98" t="n"/>
      <c r="U826" s="89">
        <f>IF($K826="","",SUM($R826:$T826))</f>
        <v/>
      </c>
      <c r="V826" s="89">
        <f>IF($K826="","",$M826-(N($N826)+N($O826)+IF($P826="",Setup!$B$17,$P826)+N($Q826))-N($U826))</f>
        <v/>
      </c>
      <c r="W826" s="94" t="n"/>
      <c r="X826" s="95" t="n"/>
      <c r="Z826" s="92">
        <f>IF($A826="","",DATE(YEAR($A826),MONTH($A826),1))</f>
        <v/>
      </c>
    </row>
    <row r="827">
      <c r="A827" s="85" t="n"/>
      <c r="B827" s="86" t="n"/>
      <c r="C827" s="86" t="n"/>
      <c r="D827" s="87" t="n"/>
      <c r="E827" s="87" t="n"/>
      <c r="F827" s="87" t="n"/>
      <c r="G827" s="87" t="n"/>
      <c r="H827" s="88" t="n"/>
      <c r="I827" s="89">
        <f>IF($G827="","",IF($F827="",IFERROR(INDEX(Setup!$C$21:$C$60,MATCH("|"&amp;UPPER(TRIM($G827)),Setup!$Q$21:$Q$60,0)),"NO RATE"),IFERROR(INDEX(Setup!$C$21:$C$60,MATCH(UPPER(TRIM($F827))&amp;"|"&amp;UPPER(TRIM($G827)),Setup!$P$21:$P$60,0)),IFERROR(INDEX(Setup!$C$21:$C$60,MATCH(UPPER(TRIM($G827))&amp;"|"&amp;UPPER(TRIM($F827)),Setup!$P$21:$P$60,0)),"NO RATE"))))</f>
        <v/>
      </c>
      <c r="J827" s="90" t="n"/>
      <c r="K827" s="89">
        <f>IF(OR($G827="",$H827="",NOT(ISNUMBER($I827))),"",ROUND($H827*$I827*(1+IF($J827="",Setup!$B$16,$J827)),2))</f>
        <v/>
      </c>
      <c r="L827" s="89">
        <f>IF($K827="","",ROUND($K827*Setup!$B$13,2))</f>
        <v/>
      </c>
      <c r="M827" s="89">
        <f>IF($K827="","",$K827-$L827)</f>
        <v/>
      </c>
      <c r="N827" s="89">
        <f>IF(OR($M827="",$D827=""),"",ROUND($M827*IFERROR(IF(VLOOKUP($D827,Setup!$A$76:$C$87,3,FALSE)="",Setup!$B$14,VLOOKUP($D827,Setup!$A$76:$C$87,3,FALSE)),Setup!$B$14),2))</f>
        <v/>
      </c>
      <c r="O827" s="89">
        <f>IF(OR($M827="",$E827=""),"",ROUND($M827*IFERROR(IF(VLOOKUP($E827,Setup!$A$76:$C$87,3,FALSE)="",Setup!$B$15,VLOOKUP($E827,Setup!$A$76:$C$87,3,FALSE)),Setup!$B$15),2))</f>
        <v/>
      </c>
      <c r="P827" s="91" t="n"/>
      <c r="Q827" s="91" t="n"/>
      <c r="R827" s="91" t="n"/>
      <c r="S827" s="91" t="n"/>
      <c r="T827" s="91" t="n"/>
      <c r="U827" s="89">
        <f>IF($K827="","",SUM($R827:$T827))</f>
        <v/>
      </c>
      <c r="V827" s="89">
        <f>IF($K827="","",$M827-(N($N827)+N($O827)+IF($P827="",Setup!$B$17,$P827)+N($Q827))-N($U827))</f>
        <v/>
      </c>
      <c r="W827" s="86" t="n"/>
      <c r="X827" s="87" t="n"/>
      <c r="Z827" s="92">
        <f>IF($A827="","",DATE(YEAR($A827),MONTH($A827),1))</f>
        <v/>
      </c>
    </row>
    <row r="828">
      <c r="A828" s="93" t="n"/>
      <c r="B828" s="94" t="n"/>
      <c r="C828" s="94" t="n"/>
      <c r="D828" s="95" t="n"/>
      <c r="E828" s="95" t="n"/>
      <c r="F828" s="95" t="n"/>
      <c r="G828" s="95" t="n"/>
      <c r="H828" s="96" t="n"/>
      <c r="I828" s="89">
        <f>IF($G828="","",IF($F828="",IFERROR(INDEX(Setup!$C$21:$C$60,MATCH("|"&amp;UPPER(TRIM($G828)),Setup!$Q$21:$Q$60,0)),"NO RATE"),IFERROR(INDEX(Setup!$C$21:$C$60,MATCH(UPPER(TRIM($F828))&amp;"|"&amp;UPPER(TRIM($G828)),Setup!$P$21:$P$60,0)),IFERROR(INDEX(Setup!$C$21:$C$60,MATCH(UPPER(TRIM($G828))&amp;"|"&amp;UPPER(TRIM($F828)),Setup!$P$21:$P$60,0)),"NO RATE"))))</f>
        <v/>
      </c>
      <c r="J828" s="97" t="n"/>
      <c r="K828" s="89">
        <f>IF(OR($G828="",$H828="",NOT(ISNUMBER($I828))),"",ROUND($H828*$I828*(1+IF($J828="",Setup!$B$16,$J828)),2))</f>
        <v/>
      </c>
      <c r="L828" s="89">
        <f>IF($K828="","",ROUND($K828*Setup!$B$13,2))</f>
        <v/>
      </c>
      <c r="M828" s="89">
        <f>IF($K828="","",$K828-$L828)</f>
        <v/>
      </c>
      <c r="N828" s="89">
        <f>IF(OR($M828="",$D828=""),"",ROUND($M828*IFERROR(IF(VLOOKUP($D828,Setup!$A$76:$C$87,3,FALSE)="",Setup!$B$14,VLOOKUP($D828,Setup!$A$76:$C$87,3,FALSE)),Setup!$B$14),2))</f>
        <v/>
      </c>
      <c r="O828" s="89">
        <f>IF(OR($M828="",$E828=""),"",ROUND($M828*IFERROR(IF(VLOOKUP($E828,Setup!$A$76:$C$87,3,FALSE)="",Setup!$B$15,VLOOKUP($E828,Setup!$A$76:$C$87,3,FALSE)),Setup!$B$15),2))</f>
        <v/>
      </c>
      <c r="P828" s="98" t="n"/>
      <c r="Q828" s="98" t="n"/>
      <c r="R828" s="98" t="n"/>
      <c r="S828" s="98" t="n"/>
      <c r="T828" s="98" t="n"/>
      <c r="U828" s="89">
        <f>IF($K828="","",SUM($R828:$T828))</f>
        <v/>
      </c>
      <c r="V828" s="89">
        <f>IF($K828="","",$M828-(N($N828)+N($O828)+IF($P828="",Setup!$B$17,$P828)+N($Q828))-N($U828))</f>
        <v/>
      </c>
      <c r="W828" s="94" t="n"/>
      <c r="X828" s="95" t="n"/>
      <c r="Z828" s="92">
        <f>IF($A828="","",DATE(YEAR($A828),MONTH($A828),1))</f>
        <v/>
      </c>
    </row>
    <row r="829">
      <c r="A829" s="85" t="n"/>
      <c r="B829" s="86" t="n"/>
      <c r="C829" s="86" t="n"/>
      <c r="D829" s="87" t="n"/>
      <c r="E829" s="87" t="n"/>
      <c r="F829" s="87" t="n"/>
      <c r="G829" s="87" t="n"/>
      <c r="H829" s="88" t="n"/>
      <c r="I829" s="89">
        <f>IF($G829="","",IF($F829="",IFERROR(INDEX(Setup!$C$21:$C$60,MATCH("|"&amp;UPPER(TRIM($G829)),Setup!$Q$21:$Q$60,0)),"NO RATE"),IFERROR(INDEX(Setup!$C$21:$C$60,MATCH(UPPER(TRIM($F829))&amp;"|"&amp;UPPER(TRIM($G829)),Setup!$P$21:$P$60,0)),IFERROR(INDEX(Setup!$C$21:$C$60,MATCH(UPPER(TRIM($G829))&amp;"|"&amp;UPPER(TRIM($F829)),Setup!$P$21:$P$60,0)),"NO RATE"))))</f>
        <v/>
      </c>
      <c r="J829" s="90" t="n"/>
      <c r="K829" s="89">
        <f>IF(OR($G829="",$H829="",NOT(ISNUMBER($I829))),"",ROUND($H829*$I829*(1+IF($J829="",Setup!$B$16,$J829)),2))</f>
        <v/>
      </c>
      <c r="L829" s="89">
        <f>IF($K829="","",ROUND($K829*Setup!$B$13,2))</f>
        <v/>
      </c>
      <c r="M829" s="89">
        <f>IF($K829="","",$K829-$L829)</f>
        <v/>
      </c>
      <c r="N829" s="89">
        <f>IF(OR($M829="",$D829=""),"",ROUND($M829*IFERROR(IF(VLOOKUP($D829,Setup!$A$76:$C$87,3,FALSE)="",Setup!$B$14,VLOOKUP($D829,Setup!$A$76:$C$87,3,FALSE)),Setup!$B$14),2))</f>
        <v/>
      </c>
      <c r="O829" s="89">
        <f>IF(OR($M829="",$E829=""),"",ROUND($M829*IFERROR(IF(VLOOKUP($E829,Setup!$A$76:$C$87,3,FALSE)="",Setup!$B$15,VLOOKUP($E829,Setup!$A$76:$C$87,3,FALSE)),Setup!$B$15),2))</f>
        <v/>
      </c>
      <c r="P829" s="91" t="n"/>
      <c r="Q829" s="91" t="n"/>
      <c r="R829" s="91" t="n"/>
      <c r="S829" s="91" t="n"/>
      <c r="T829" s="91" t="n"/>
      <c r="U829" s="89">
        <f>IF($K829="","",SUM($R829:$T829))</f>
        <v/>
      </c>
      <c r="V829" s="89">
        <f>IF($K829="","",$M829-(N($N829)+N($O829)+IF($P829="",Setup!$B$17,$P829)+N($Q829))-N($U829))</f>
        <v/>
      </c>
      <c r="W829" s="86" t="n"/>
      <c r="X829" s="87" t="n"/>
      <c r="Z829" s="92">
        <f>IF($A829="","",DATE(YEAR($A829),MONTH($A829),1))</f>
        <v/>
      </c>
    </row>
    <row r="830">
      <c r="A830" s="93" t="n"/>
      <c r="B830" s="94" t="n"/>
      <c r="C830" s="94" t="n"/>
      <c r="D830" s="95" t="n"/>
      <c r="E830" s="95" t="n"/>
      <c r="F830" s="95" t="n"/>
      <c r="G830" s="95" t="n"/>
      <c r="H830" s="96" t="n"/>
      <c r="I830" s="89">
        <f>IF($G830="","",IF($F830="",IFERROR(INDEX(Setup!$C$21:$C$60,MATCH("|"&amp;UPPER(TRIM($G830)),Setup!$Q$21:$Q$60,0)),"NO RATE"),IFERROR(INDEX(Setup!$C$21:$C$60,MATCH(UPPER(TRIM($F830))&amp;"|"&amp;UPPER(TRIM($G830)),Setup!$P$21:$P$60,0)),IFERROR(INDEX(Setup!$C$21:$C$60,MATCH(UPPER(TRIM($G830))&amp;"|"&amp;UPPER(TRIM($F830)),Setup!$P$21:$P$60,0)),"NO RATE"))))</f>
        <v/>
      </c>
      <c r="J830" s="97" t="n"/>
      <c r="K830" s="89">
        <f>IF(OR($G830="",$H830="",NOT(ISNUMBER($I830))),"",ROUND($H830*$I830*(1+IF($J830="",Setup!$B$16,$J830)),2))</f>
        <v/>
      </c>
      <c r="L830" s="89">
        <f>IF($K830="","",ROUND($K830*Setup!$B$13,2))</f>
        <v/>
      </c>
      <c r="M830" s="89">
        <f>IF($K830="","",$K830-$L830)</f>
        <v/>
      </c>
      <c r="N830" s="89">
        <f>IF(OR($M830="",$D830=""),"",ROUND($M830*IFERROR(IF(VLOOKUP($D830,Setup!$A$76:$C$87,3,FALSE)="",Setup!$B$14,VLOOKUP($D830,Setup!$A$76:$C$87,3,FALSE)),Setup!$B$14),2))</f>
        <v/>
      </c>
      <c r="O830" s="89">
        <f>IF(OR($M830="",$E830=""),"",ROUND($M830*IFERROR(IF(VLOOKUP($E830,Setup!$A$76:$C$87,3,FALSE)="",Setup!$B$15,VLOOKUP($E830,Setup!$A$76:$C$87,3,FALSE)),Setup!$B$15),2))</f>
        <v/>
      </c>
      <c r="P830" s="98" t="n"/>
      <c r="Q830" s="98" t="n"/>
      <c r="R830" s="98" t="n"/>
      <c r="S830" s="98" t="n"/>
      <c r="T830" s="98" t="n"/>
      <c r="U830" s="89">
        <f>IF($K830="","",SUM($R830:$T830))</f>
        <v/>
      </c>
      <c r="V830" s="89">
        <f>IF($K830="","",$M830-(N($N830)+N($O830)+IF($P830="",Setup!$B$17,$P830)+N($Q830))-N($U830))</f>
        <v/>
      </c>
      <c r="W830" s="94" t="n"/>
      <c r="X830" s="95" t="n"/>
      <c r="Z830" s="92">
        <f>IF($A830="","",DATE(YEAR($A830),MONTH($A830),1))</f>
        <v/>
      </c>
    </row>
    <row r="831">
      <c r="A831" s="85" t="n"/>
      <c r="B831" s="86" t="n"/>
      <c r="C831" s="86" t="n"/>
      <c r="D831" s="87" t="n"/>
      <c r="E831" s="87" t="n"/>
      <c r="F831" s="87" t="n"/>
      <c r="G831" s="87" t="n"/>
      <c r="H831" s="88" t="n"/>
      <c r="I831" s="89">
        <f>IF($G831="","",IF($F831="",IFERROR(INDEX(Setup!$C$21:$C$60,MATCH("|"&amp;UPPER(TRIM($G831)),Setup!$Q$21:$Q$60,0)),"NO RATE"),IFERROR(INDEX(Setup!$C$21:$C$60,MATCH(UPPER(TRIM($F831))&amp;"|"&amp;UPPER(TRIM($G831)),Setup!$P$21:$P$60,0)),IFERROR(INDEX(Setup!$C$21:$C$60,MATCH(UPPER(TRIM($G831))&amp;"|"&amp;UPPER(TRIM($F831)),Setup!$P$21:$P$60,0)),"NO RATE"))))</f>
        <v/>
      </c>
      <c r="J831" s="90" t="n"/>
      <c r="K831" s="89">
        <f>IF(OR($G831="",$H831="",NOT(ISNUMBER($I831))),"",ROUND($H831*$I831*(1+IF($J831="",Setup!$B$16,$J831)),2))</f>
        <v/>
      </c>
      <c r="L831" s="89">
        <f>IF($K831="","",ROUND($K831*Setup!$B$13,2))</f>
        <v/>
      </c>
      <c r="M831" s="89">
        <f>IF($K831="","",$K831-$L831)</f>
        <v/>
      </c>
      <c r="N831" s="89">
        <f>IF(OR($M831="",$D831=""),"",ROUND($M831*IFERROR(IF(VLOOKUP($D831,Setup!$A$76:$C$87,3,FALSE)="",Setup!$B$14,VLOOKUP($D831,Setup!$A$76:$C$87,3,FALSE)),Setup!$B$14),2))</f>
        <v/>
      </c>
      <c r="O831" s="89">
        <f>IF(OR($M831="",$E831=""),"",ROUND($M831*IFERROR(IF(VLOOKUP($E831,Setup!$A$76:$C$87,3,FALSE)="",Setup!$B$15,VLOOKUP($E831,Setup!$A$76:$C$87,3,FALSE)),Setup!$B$15),2))</f>
        <v/>
      </c>
      <c r="P831" s="91" t="n"/>
      <c r="Q831" s="91" t="n"/>
      <c r="R831" s="91" t="n"/>
      <c r="S831" s="91" t="n"/>
      <c r="T831" s="91" t="n"/>
      <c r="U831" s="89">
        <f>IF($K831="","",SUM($R831:$T831))</f>
        <v/>
      </c>
      <c r="V831" s="89">
        <f>IF($K831="","",$M831-(N($N831)+N($O831)+IF($P831="",Setup!$B$17,$P831)+N($Q831))-N($U831))</f>
        <v/>
      </c>
      <c r="W831" s="86" t="n"/>
      <c r="X831" s="87" t="n"/>
      <c r="Z831" s="92">
        <f>IF($A831="","",DATE(YEAR($A831),MONTH($A831),1))</f>
        <v/>
      </c>
    </row>
    <row r="832">
      <c r="A832" s="93" t="n"/>
      <c r="B832" s="94" t="n"/>
      <c r="C832" s="94" t="n"/>
      <c r="D832" s="95" t="n"/>
      <c r="E832" s="95" t="n"/>
      <c r="F832" s="95" t="n"/>
      <c r="G832" s="95" t="n"/>
      <c r="H832" s="96" t="n"/>
      <c r="I832" s="89">
        <f>IF($G832="","",IF($F832="",IFERROR(INDEX(Setup!$C$21:$C$60,MATCH("|"&amp;UPPER(TRIM($G832)),Setup!$Q$21:$Q$60,0)),"NO RATE"),IFERROR(INDEX(Setup!$C$21:$C$60,MATCH(UPPER(TRIM($F832))&amp;"|"&amp;UPPER(TRIM($G832)),Setup!$P$21:$P$60,0)),IFERROR(INDEX(Setup!$C$21:$C$60,MATCH(UPPER(TRIM($G832))&amp;"|"&amp;UPPER(TRIM($F832)),Setup!$P$21:$P$60,0)),"NO RATE"))))</f>
        <v/>
      </c>
      <c r="J832" s="97" t="n"/>
      <c r="K832" s="89">
        <f>IF(OR($G832="",$H832="",NOT(ISNUMBER($I832))),"",ROUND($H832*$I832*(1+IF($J832="",Setup!$B$16,$J832)),2))</f>
        <v/>
      </c>
      <c r="L832" s="89">
        <f>IF($K832="","",ROUND($K832*Setup!$B$13,2))</f>
        <v/>
      </c>
      <c r="M832" s="89">
        <f>IF($K832="","",$K832-$L832)</f>
        <v/>
      </c>
      <c r="N832" s="89">
        <f>IF(OR($M832="",$D832=""),"",ROUND($M832*IFERROR(IF(VLOOKUP($D832,Setup!$A$76:$C$87,3,FALSE)="",Setup!$B$14,VLOOKUP($D832,Setup!$A$76:$C$87,3,FALSE)),Setup!$B$14),2))</f>
        <v/>
      </c>
      <c r="O832" s="89">
        <f>IF(OR($M832="",$E832=""),"",ROUND($M832*IFERROR(IF(VLOOKUP($E832,Setup!$A$76:$C$87,3,FALSE)="",Setup!$B$15,VLOOKUP($E832,Setup!$A$76:$C$87,3,FALSE)),Setup!$B$15),2))</f>
        <v/>
      </c>
      <c r="P832" s="98" t="n"/>
      <c r="Q832" s="98" t="n"/>
      <c r="R832" s="98" t="n"/>
      <c r="S832" s="98" t="n"/>
      <c r="T832" s="98" t="n"/>
      <c r="U832" s="89">
        <f>IF($K832="","",SUM($R832:$T832))</f>
        <v/>
      </c>
      <c r="V832" s="89">
        <f>IF($K832="","",$M832-(N($N832)+N($O832)+IF($P832="",Setup!$B$17,$P832)+N($Q832))-N($U832))</f>
        <v/>
      </c>
      <c r="W832" s="94" t="n"/>
      <c r="X832" s="95" t="n"/>
      <c r="Z832" s="92">
        <f>IF($A832="","",DATE(YEAR($A832),MONTH($A832),1))</f>
        <v/>
      </c>
    </row>
    <row r="833">
      <c r="A833" s="85" t="n"/>
      <c r="B833" s="86" t="n"/>
      <c r="C833" s="86" t="n"/>
      <c r="D833" s="87" t="n"/>
      <c r="E833" s="87" t="n"/>
      <c r="F833" s="87" t="n"/>
      <c r="G833" s="87" t="n"/>
      <c r="H833" s="88" t="n"/>
      <c r="I833" s="89">
        <f>IF($G833="","",IF($F833="",IFERROR(INDEX(Setup!$C$21:$C$60,MATCH("|"&amp;UPPER(TRIM($G833)),Setup!$Q$21:$Q$60,0)),"NO RATE"),IFERROR(INDEX(Setup!$C$21:$C$60,MATCH(UPPER(TRIM($F833))&amp;"|"&amp;UPPER(TRIM($G833)),Setup!$P$21:$P$60,0)),IFERROR(INDEX(Setup!$C$21:$C$60,MATCH(UPPER(TRIM($G833))&amp;"|"&amp;UPPER(TRIM($F833)),Setup!$P$21:$P$60,0)),"NO RATE"))))</f>
        <v/>
      </c>
      <c r="J833" s="90" t="n"/>
      <c r="K833" s="89">
        <f>IF(OR($G833="",$H833="",NOT(ISNUMBER($I833))),"",ROUND($H833*$I833*(1+IF($J833="",Setup!$B$16,$J833)),2))</f>
        <v/>
      </c>
      <c r="L833" s="89">
        <f>IF($K833="","",ROUND($K833*Setup!$B$13,2))</f>
        <v/>
      </c>
      <c r="M833" s="89">
        <f>IF($K833="","",$K833-$L833)</f>
        <v/>
      </c>
      <c r="N833" s="89">
        <f>IF(OR($M833="",$D833=""),"",ROUND($M833*IFERROR(IF(VLOOKUP($D833,Setup!$A$76:$C$87,3,FALSE)="",Setup!$B$14,VLOOKUP($D833,Setup!$A$76:$C$87,3,FALSE)),Setup!$B$14),2))</f>
        <v/>
      </c>
      <c r="O833" s="89">
        <f>IF(OR($M833="",$E833=""),"",ROUND($M833*IFERROR(IF(VLOOKUP($E833,Setup!$A$76:$C$87,3,FALSE)="",Setup!$B$15,VLOOKUP($E833,Setup!$A$76:$C$87,3,FALSE)),Setup!$B$15),2))</f>
        <v/>
      </c>
      <c r="P833" s="91" t="n"/>
      <c r="Q833" s="91" t="n"/>
      <c r="R833" s="91" t="n"/>
      <c r="S833" s="91" t="n"/>
      <c r="T833" s="91" t="n"/>
      <c r="U833" s="89">
        <f>IF($K833="","",SUM($R833:$T833))</f>
        <v/>
      </c>
      <c r="V833" s="89">
        <f>IF($K833="","",$M833-(N($N833)+N($O833)+IF($P833="",Setup!$B$17,$P833)+N($Q833))-N($U833))</f>
        <v/>
      </c>
      <c r="W833" s="86" t="n"/>
      <c r="X833" s="87" t="n"/>
      <c r="Z833" s="92">
        <f>IF($A833="","",DATE(YEAR($A833),MONTH($A833),1))</f>
        <v/>
      </c>
    </row>
    <row r="834">
      <c r="A834" s="93" t="n"/>
      <c r="B834" s="94" t="n"/>
      <c r="C834" s="94" t="n"/>
      <c r="D834" s="95" t="n"/>
      <c r="E834" s="95" t="n"/>
      <c r="F834" s="95" t="n"/>
      <c r="G834" s="95" t="n"/>
      <c r="H834" s="96" t="n"/>
      <c r="I834" s="89">
        <f>IF($G834="","",IF($F834="",IFERROR(INDEX(Setup!$C$21:$C$60,MATCH("|"&amp;UPPER(TRIM($G834)),Setup!$Q$21:$Q$60,0)),"NO RATE"),IFERROR(INDEX(Setup!$C$21:$C$60,MATCH(UPPER(TRIM($F834))&amp;"|"&amp;UPPER(TRIM($G834)),Setup!$P$21:$P$60,0)),IFERROR(INDEX(Setup!$C$21:$C$60,MATCH(UPPER(TRIM($G834))&amp;"|"&amp;UPPER(TRIM($F834)),Setup!$P$21:$P$60,0)),"NO RATE"))))</f>
        <v/>
      </c>
      <c r="J834" s="97" t="n"/>
      <c r="K834" s="89">
        <f>IF(OR($G834="",$H834="",NOT(ISNUMBER($I834))),"",ROUND($H834*$I834*(1+IF($J834="",Setup!$B$16,$J834)),2))</f>
        <v/>
      </c>
      <c r="L834" s="89">
        <f>IF($K834="","",ROUND($K834*Setup!$B$13,2))</f>
        <v/>
      </c>
      <c r="M834" s="89">
        <f>IF($K834="","",$K834-$L834)</f>
        <v/>
      </c>
      <c r="N834" s="89">
        <f>IF(OR($M834="",$D834=""),"",ROUND($M834*IFERROR(IF(VLOOKUP($D834,Setup!$A$76:$C$87,3,FALSE)="",Setup!$B$14,VLOOKUP($D834,Setup!$A$76:$C$87,3,FALSE)),Setup!$B$14),2))</f>
        <v/>
      </c>
      <c r="O834" s="89">
        <f>IF(OR($M834="",$E834=""),"",ROUND($M834*IFERROR(IF(VLOOKUP($E834,Setup!$A$76:$C$87,3,FALSE)="",Setup!$B$15,VLOOKUP($E834,Setup!$A$76:$C$87,3,FALSE)),Setup!$B$15),2))</f>
        <v/>
      </c>
      <c r="P834" s="98" t="n"/>
      <c r="Q834" s="98" t="n"/>
      <c r="R834" s="98" t="n"/>
      <c r="S834" s="98" t="n"/>
      <c r="T834" s="98" t="n"/>
      <c r="U834" s="89">
        <f>IF($K834="","",SUM($R834:$T834))</f>
        <v/>
      </c>
      <c r="V834" s="89">
        <f>IF($K834="","",$M834-(N($N834)+N($O834)+IF($P834="",Setup!$B$17,$P834)+N($Q834))-N($U834))</f>
        <v/>
      </c>
      <c r="W834" s="94" t="n"/>
      <c r="X834" s="95" t="n"/>
      <c r="Z834" s="92">
        <f>IF($A834="","",DATE(YEAR($A834),MONTH($A834),1))</f>
        <v/>
      </c>
    </row>
    <row r="835">
      <c r="A835" s="85" t="n"/>
      <c r="B835" s="86" t="n"/>
      <c r="C835" s="86" t="n"/>
      <c r="D835" s="87" t="n"/>
      <c r="E835" s="87" t="n"/>
      <c r="F835" s="87" t="n"/>
      <c r="G835" s="87" t="n"/>
      <c r="H835" s="88" t="n"/>
      <c r="I835" s="89">
        <f>IF($G835="","",IF($F835="",IFERROR(INDEX(Setup!$C$21:$C$60,MATCH("|"&amp;UPPER(TRIM($G835)),Setup!$Q$21:$Q$60,0)),"NO RATE"),IFERROR(INDEX(Setup!$C$21:$C$60,MATCH(UPPER(TRIM($F835))&amp;"|"&amp;UPPER(TRIM($G835)),Setup!$P$21:$P$60,0)),IFERROR(INDEX(Setup!$C$21:$C$60,MATCH(UPPER(TRIM($G835))&amp;"|"&amp;UPPER(TRIM($F835)),Setup!$P$21:$P$60,0)),"NO RATE"))))</f>
        <v/>
      </c>
      <c r="J835" s="90" t="n"/>
      <c r="K835" s="89">
        <f>IF(OR($G835="",$H835="",NOT(ISNUMBER($I835))),"",ROUND($H835*$I835*(1+IF($J835="",Setup!$B$16,$J835)),2))</f>
        <v/>
      </c>
      <c r="L835" s="89">
        <f>IF($K835="","",ROUND($K835*Setup!$B$13,2))</f>
        <v/>
      </c>
      <c r="M835" s="89">
        <f>IF($K835="","",$K835-$L835)</f>
        <v/>
      </c>
      <c r="N835" s="89">
        <f>IF(OR($M835="",$D835=""),"",ROUND($M835*IFERROR(IF(VLOOKUP($D835,Setup!$A$76:$C$87,3,FALSE)="",Setup!$B$14,VLOOKUP($D835,Setup!$A$76:$C$87,3,FALSE)),Setup!$B$14),2))</f>
        <v/>
      </c>
      <c r="O835" s="89">
        <f>IF(OR($M835="",$E835=""),"",ROUND($M835*IFERROR(IF(VLOOKUP($E835,Setup!$A$76:$C$87,3,FALSE)="",Setup!$B$15,VLOOKUP($E835,Setup!$A$76:$C$87,3,FALSE)),Setup!$B$15),2))</f>
        <v/>
      </c>
      <c r="P835" s="91" t="n"/>
      <c r="Q835" s="91" t="n"/>
      <c r="R835" s="91" t="n"/>
      <c r="S835" s="91" t="n"/>
      <c r="T835" s="91" t="n"/>
      <c r="U835" s="89">
        <f>IF($K835="","",SUM($R835:$T835))</f>
        <v/>
      </c>
      <c r="V835" s="89">
        <f>IF($K835="","",$M835-(N($N835)+N($O835)+IF($P835="",Setup!$B$17,$P835)+N($Q835))-N($U835))</f>
        <v/>
      </c>
      <c r="W835" s="86" t="n"/>
      <c r="X835" s="87" t="n"/>
      <c r="Z835" s="92">
        <f>IF($A835="","",DATE(YEAR($A835),MONTH($A835),1))</f>
        <v/>
      </c>
    </row>
    <row r="836">
      <c r="A836" s="93" t="n"/>
      <c r="B836" s="94" t="n"/>
      <c r="C836" s="94" t="n"/>
      <c r="D836" s="95" t="n"/>
      <c r="E836" s="95" t="n"/>
      <c r="F836" s="95" t="n"/>
      <c r="G836" s="95" t="n"/>
      <c r="H836" s="96" t="n"/>
      <c r="I836" s="89">
        <f>IF($G836="","",IF($F836="",IFERROR(INDEX(Setup!$C$21:$C$60,MATCH("|"&amp;UPPER(TRIM($G836)),Setup!$Q$21:$Q$60,0)),"NO RATE"),IFERROR(INDEX(Setup!$C$21:$C$60,MATCH(UPPER(TRIM($F836))&amp;"|"&amp;UPPER(TRIM($G836)),Setup!$P$21:$P$60,0)),IFERROR(INDEX(Setup!$C$21:$C$60,MATCH(UPPER(TRIM($G836))&amp;"|"&amp;UPPER(TRIM($F836)),Setup!$P$21:$P$60,0)),"NO RATE"))))</f>
        <v/>
      </c>
      <c r="J836" s="97" t="n"/>
      <c r="K836" s="89">
        <f>IF(OR($G836="",$H836="",NOT(ISNUMBER($I836))),"",ROUND($H836*$I836*(1+IF($J836="",Setup!$B$16,$J836)),2))</f>
        <v/>
      </c>
      <c r="L836" s="89">
        <f>IF($K836="","",ROUND($K836*Setup!$B$13,2))</f>
        <v/>
      </c>
      <c r="M836" s="89">
        <f>IF($K836="","",$K836-$L836)</f>
        <v/>
      </c>
      <c r="N836" s="89">
        <f>IF(OR($M836="",$D836=""),"",ROUND($M836*IFERROR(IF(VLOOKUP($D836,Setup!$A$76:$C$87,3,FALSE)="",Setup!$B$14,VLOOKUP($D836,Setup!$A$76:$C$87,3,FALSE)),Setup!$B$14),2))</f>
        <v/>
      </c>
      <c r="O836" s="89">
        <f>IF(OR($M836="",$E836=""),"",ROUND($M836*IFERROR(IF(VLOOKUP($E836,Setup!$A$76:$C$87,3,FALSE)="",Setup!$B$15,VLOOKUP($E836,Setup!$A$76:$C$87,3,FALSE)),Setup!$B$15),2))</f>
        <v/>
      </c>
      <c r="P836" s="98" t="n"/>
      <c r="Q836" s="98" t="n"/>
      <c r="R836" s="98" t="n"/>
      <c r="S836" s="98" t="n"/>
      <c r="T836" s="98" t="n"/>
      <c r="U836" s="89">
        <f>IF($K836="","",SUM($R836:$T836))</f>
        <v/>
      </c>
      <c r="V836" s="89">
        <f>IF($K836="","",$M836-(N($N836)+N($O836)+IF($P836="",Setup!$B$17,$P836)+N($Q836))-N($U836))</f>
        <v/>
      </c>
      <c r="W836" s="94" t="n"/>
      <c r="X836" s="95" t="n"/>
      <c r="Z836" s="92">
        <f>IF($A836="","",DATE(YEAR($A836),MONTH($A836),1))</f>
        <v/>
      </c>
    </row>
    <row r="837">
      <c r="A837" s="85" t="n"/>
      <c r="B837" s="86" t="n"/>
      <c r="C837" s="86" t="n"/>
      <c r="D837" s="87" t="n"/>
      <c r="E837" s="87" t="n"/>
      <c r="F837" s="87" t="n"/>
      <c r="G837" s="87" t="n"/>
      <c r="H837" s="88" t="n"/>
      <c r="I837" s="89">
        <f>IF($G837="","",IF($F837="",IFERROR(INDEX(Setup!$C$21:$C$60,MATCH("|"&amp;UPPER(TRIM($G837)),Setup!$Q$21:$Q$60,0)),"NO RATE"),IFERROR(INDEX(Setup!$C$21:$C$60,MATCH(UPPER(TRIM($F837))&amp;"|"&amp;UPPER(TRIM($G837)),Setup!$P$21:$P$60,0)),IFERROR(INDEX(Setup!$C$21:$C$60,MATCH(UPPER(TRIM($G837))&amp;"|"&amp;UPPER(TRIM($F837)),Setup!$P$21:$P$60,0)),"NO RATE"))))</f>
        <v/>
      </c>
      <c r="J837" s="90" t="n"/>
      <c r="K837" s="89">
        <f>IF(OR($G837="",$H837="",NOT(ISNUMBER($I837))),"",ROUND($H837*$I837*(1+IF($J837="",Setup!$B$16,$J837)),2))</f>
        <v/>
      </c>
      <c r="L837" s="89">
        <f>IF($K837="","",ROUND($K837*Setup!$B$13,2))</f>
        <v/>
      </c>
      <c r="M837" s="89">
        <f>IF($K837="","",$K837-$L837)</f>
        <v/>
      </c>
      <c r="N837" s="89">
        <f>IF(OR($M837="",$D837=""),"",ROUND($M837*IFERROR(IF(VLOOKUP($D837,Setup!$A$76:$C$87,3,FALSE)="",Setup!$B$14,VLOOKUP($D837,Setup!$A$76:$C$87,3,FALSE)),Setup!$B$14),2))</f>
        <v/>
      </c>
      <c r="O837" s="89">
        <f>IF(OR($M837="",$E837=""),"",ROUND($M837*IFERROR(IF(VLOOKUP($E837,Setup!$A$76:$C$87,3,FALSE)="",Setup!$B$15,VLOOKUP($E837,Setup!$A$76:$C$87,3,FALSE)),Setup!$B$15),2))</f>
        <v/>
      </c>
      <c r="P837" s="91" t="n"/>
      <c r="Q837" s="91" t="n"/>
      <c r="R837" s="91" t="n"/>
      <c r="S837" s="91" t="n"/>
      <c r="T837" s="91" t="n"/>
      <c r="U837" s="89">
        <f>IF($K837="","",SUM($R837:$T837))</f>
        <v/>
      </c>
      <c r="V837" s="89">
        <f>IF($K837="","",$M837-(N($N837)+N($O837)+IF($P837="",Setup!$B$17,$P837)+N($Q837))-N($U837))</f>
        <v/>
      </c>
      <c r="W837" s="86" t="n"/>
      <c r="X837" s="87" t="n"/>
      <c r="Z837" s="92">
        <f>IF($A837="","",DATE(YEAR($A837),MONTH($A837),1))</f>
        <v/>
      </c>
    </row>
    <row r="838">
      <c r="A838" s="93" t="n"/>
      <c r="B838" s="94" t="n"/>
      <c r="C838" s="94" t="n"/>
      <c r="D838" s="95" t="n"/>
      <c r="E838" s="95" t="n"/>
      <c r="F838" s="95" t="n"/>
      <c r="G838" s="95" t="n"/>
      <c r="H838" s="96" t="n"/>
      <c r="I838" s="89">
        <f>IF($G838="","",IF($F838="",IFERROR(INDEX(Setup!$C$21:$C$60,MATCH("|"&amp;UPPER(TRIM($G838)),Setup!$Q$21:$Q$60,0)),"NO RATE"),IFERROR(INDEX(Setup!$C$21:$C$60,MATCH(UPPER(TRIM($F838))&amp;"|"&amp;UPPER(TRIM($G838)),Setup!$P$21:$P$60,0)),IFERROR(INDEX(Setup!$C$21:$C$60,MATCH(UPPER(TRIM($G838))&amp;"|"&amp;UPPER(TRIM($F838)),Setup!$P$21:$P$60,0)),"NO RATE"))))</f>
        <v/>
      </c>
      <c r="J838" s="97" t="n"/>
      <c r="K838" s="89">
        <f>IF(OR($G838="",$H838="",NOT(ISNUMBER($I838))),"",ROUND($H838*$I838*(1+IF($J838="",Setup!$B$16,$J838)),2))</f>
        <v/>
      </c>
      <c r="L838" s="89">
        <f>IF($K838="","",ROUND($K838*Setup!$B$13,2))</f>
        <v/>
      </c>
      <c r="M838" s="89">
        <f>IF($K838="","",$K838-$L838)</f>
        <v/>
      </c>
      <c r="N838" s="89">
        <f>IF(OR($M838="",$D838=""),"",ROUND($M838*IFERROR(IF(VLOOKUP($D838,Setup!$A$76:$C$87,3,FALSE)="",Setup!$B$14,VLOOKUP($D838,Setup!$A$76:$C$87,3,FALSE)),Setup!$B$14),2))</f>
        <v/>
      </c>
      <c r="O838" s="89">
        <f>IF(OR($M838="",$E838=""),"",ROUND($M838*IFERROR(IF(VLOOKUP($E838,Setup!$A$76:$C$87,3,FALSE)="",Setup!$B$15,VLOOKUP($E838,Setup!$A$76:$C$87,3,FALSE)),Setup!$B$15),2))</f>
        <v/>
      </c>
      <c r="P838" s="98" t="n"/>
      <c r="Q838" s="98" t="n"/>
      <c r="R838" s="98" t="n"/>
      <c r="S838" s="98" t="n"/>
      <c r="T838" s="98" t="n"/>
      <c r="U838" s="89">
        <f>IF($K838="","",SUM($R838:$T838))</f>
        <v/>
      </c>
      <c r="V838" s="89">
        <f>IF($K838="","",$M838-(N($N838)+N($O838)+IF($P838="",Setup!$B$17,$P838)+N($Q838))-N($U838))</f>
        <v/>
      </c>
      <c r="W838" s="94" t="n"/>
      <c r="X838" s="95" t="n"/>
      <c r="Z838" s="92">
        <f>IF($A838="","",DATE(YEAR($A838),MONTH($A838),1))</f>
        <v/>
      </c>
    </row>
    <row r="839">
      <c r="A839" s="85" t="n"/>
      <c r="B839" s="86" t="n"/>
      <c r="C839" s="86" t="n"/>
      <c r="D839" s="87" t="n"/>
      <c r="E839" s="87" t="n"/>
      <c r="F839" s="87" t="n"/>
      <c r="G839" s="87" t="n"/>
      <c r="H839" s="88" t="n"/>
      <c r="I839" s="89">
        <f>IF($G839="","",IF($F839="",IFERROR(INDEX(Setup!$C$21:$C$60,MATCH("|"&amp;UPPER(TRIM($G839)),Setup!$Q$21:$Q$60,0)),"NO RATE"),IFERROR(INDEX(Setup!$C$21:$C$60,MATCH(UPPER(TRIM($F839))&amp;"|"&amp;UPPER(TRIM($G839)),Setup!$P$21:$P$60,0)),IFERROR(INDEX(Setup!$C$21:$C$60,MATCH(UPPER(TRIM($G839))&amp;"|"&amp;UPPER(TRIM($F839)),Setup!$P$21:$P$60,0)),"NO RATE"))))</f>
        <v/>
      </c>
      <c r="J839" s="90" t="n"/>
      <c r="K839" s="89">
        <f>IF(OR($G839="",$H839="",NOT(ISNUMBER($I839))),"",ROUND($H839*$I839*(1+IF($J839="",Setup!$B$16,$J839)),2))</f>
        <v/>
      </c>
      <c r="L839" s="89">
        <f>IF($K839="","",ROUND($K839*Setup!$B$13,2))</f>
        <v/>
      </c>
      <c r="M839" s="89">
        <f>IF($K839="","",$K839-$L839)</f>
        <v/>
      </c>
      <c r="N839" s="89">
        <f>IF(OR($M839="",$D839=""),"",ROUND($M839*IFERROR(IF(VLOOKUP($D839,Setup!$A$76:$C$87,3,FALSE)="",Setup!$B$14,VLOOKUP($D839,Setup!$A$76:$C$87,3,FALSE)),Setup!$B$14),2))</f>
        <v/>
      </c>
      <c r="O839" s="89">
        <f>IF(OR($M839="",$E839=""),"",ROUND($M839*IFERROR(IF(VLOOKUP($E839,Setup!$A$76:$C$87,3,FALSE)="",Setup!$B$15,VLOOKUP($E839,Setup!$A$76:$C$87,3,FALSE)),Setup!$B$15),2))</f>
        <v/>
      </c>
      <c r="P839" s="91" t="n"/>
      <c r="Q839" s="91" t="n"/>
      <c r="R839" s="91" t="n"/>
      <c r="S839" s="91" t="n"/>
      <c r="T839" s="91" t="n"/>
      <c r="U839" s="89">
        <f>IF($K839="","",SUM($R839:$T839))</f>
        <v/>
      </c>
      <c r="V839" s="89">
        <f>IF($K839="","",$M839-(N($N839)+N($O839)+IF($P839="",Setup!$B$17,$P839)+N($Q839))-N($U839))</f>
        <v/>
      </c>
      <c r="W839" s="86" t="n"/>
      <c r="X839" s="87" t="n"/>
      <c r="Z839" s="92">
        <f>IF($A839="","",DATE(YEAR($A839),MONTH($A839),1))</f>
        <v/>
      </c>
    </row>
    <row r="840">
      <c r="A840" s="93" t="n"/>
      <c r="B840" s="94" t="n"/>
      <c r="C840" s="94" t="n"/>
      <c r="D840" s="95" t="n"/>
      <c r="E840" s="95" t="n"/>
      <c r="F840" s="95" t="n"/>
      <c r="G840" s="95" t="n"/>
      <c r="H840" s="96" t="n"/>
      <c r="I840" s="89">
        <f>IF($G840="","",IF($F840="",IFERROR(INDEX(Setup!$C$21:$C$60,MATCH("|"&amp;UPPER(TRIM($G840)),Setup!$Q$21:$Q$60,0)),"NO RATE"),IFERROR(INDEX(Setup!$C$21:$C$60,MATCH(UPPER(TRIM($F840))&amp;"|"&amp;UPPER(TRIM($G840)),Setup!$P$21:$P$60,0)),IFERROR(INDEX(Setup!$C$21:$C$60,MATCH(UPPER(TRIM($G840))&amp;"|"&amp;UPPER(TRIM($F840)),Setup!$P$21:$P$60,0)),"NO RATE"))))</f>
        <v/>
      </c>
      <c r="J840" s="97" t="n"/>
      <c r="K840" s="89">
        <f>IF(OR($G840="",$H840="",NOT(ISNUMBER($I840))),"",ROUND($H840*$I840*(1+IF($J840="",Setup!$B$16,$J840)),2))</f>
        <v/>
      </c>
      <c r="L840" s="89">
        <f>IF($K840="","",ROUND($K840*Setup!$B$13,2))</f>
        <v/>
      </c>
      <c r="M840" s="89">
        <f>IF($K840="","",$K840-$L840)</f>
        <v/>
      </c>
      <c r="N840" s="89">
        <f>IF(OR($M840="",$D840=""),"",ROUND($M840*IFERROR(IF(VLOOKUP($D840,Setup!$A$76:$C$87,3,FALSE)="",Setup!$B$14,VLOOKUP($D840,Setup!$A$76:$C$87,3,FALSE)),Setup!$B$14),2))</f>
        <v/>
      </c>
      <c r="O840" s="89">
        <f>IF(OR($M840="",$E840=""),"",ROUND($M840*IFERROR(IF(VLOOKUP($E840,Setup!$A$76:$C$87,3,FALSE)="",Setup!$B$15,VLOOKUP($E840,Setup!$A$76:$C$87,3,FALSE)),Setup!$B$15),2))</f>
        <v/>
      </c>
      <c r="P840" s="98" t="n"/>
      <c r="Q840" s="98" t="n"/>
      <c r="R840" s="98" t="n"/>
      <c r="S840" s="98" t="n"/>
      <c r="T840" s="98" t="n"/>
      <c r="U840" s="89">
        <f>IF($K840="","",SUM($R840:$T840))</f>
        <v/>
      </c>
      <c r="V840" s="89">
        <f>IF($K840="","",$M840-(N($N840)+N($O840)+IF($P840="",Setup!$B$17,$P840)+N($Q840))-N($U840))</f>
        <v/>
      </c>
      <c r="W840" s="94" t="n"/>
      <c r="X840" s="95" t="n"/>
      <c r="Z840" s="92">
        <f>IF($A840="","",DATE(YEAR($A840),MONTH($A840),1))</f>
        <v/>
      </c>
    </row>
    <row r="841">
      <c r="A841" s="85" t="n"/>
      <c r="B841" s="86" t="n"/>
      <c r="C841" s="86" t="n"/>
      <c r="D841" s="87" t="n"/>
      <c r="E841" s="87" t="n"/>
      <c r="F841" s="87" t="n"/>
      <c r="G841" s="87" t="n"/>
      <c r="H841" s="88" t="n"/>
      <c r="I841" s="89">
        <f>IF($G841="","",IF($F841="",IFERROR(INDEX(Setup!$C$21:$C$60,MATCH("|"&amp;UPPER(TRIM($G841)),Setup!$Q$21:$Q$60,0)),"NO RATE"),IFERROR(INDEX(Setup!$C$21:$C$60,MATCH(UPPER(TRIM($F841))&amp;"|"&amp;UPPER(TRIM($G841)),Setup!$P$21:$P$60,0)),IFERROR(INDEX(Setup!$C$21:$C$60,MATCH(UPPER(TRIM($G841))&amp;"|"&amp;UPPER(TRIM($F841)),Setup!$P$21:$P$60,0)),"NO RATE"))))</f>
        <v/>
      </c>
      <c r="J841" s="90" t="n"/>
      <c r="K841" s="89">
        <f>IF(OR($G841="",$H841="",NOT(ISNUMBER($I841))),"",ROUND($H841*$I841*(1+IF($J841="",Setup!$B$16,$J841)),2))</f>
        <v/>
      </c>
      <c r="L841" s="89">
        <f>IF($K841="","",ROUND($K841*Setup!$B$13,2))</f>
        <v/>
      </c>
      <c r="M841" s="89">
        <f>IF($K841="","",$K841-$L841)</f>
        <v/>
      </c>
      <c r="N841" s="89">
        <f>IF(OR($M841="",$D841=""),"",ROUND($M841*IFERROR(IF(VLOOKUP($D841,Setup!$A$76:$C$87,3,FALSE)="",Setup!$B$14,VLOOKUP($D841,Setup!$A$76:$C$87,3,FALSE)),Setup!$B$14),2))</f>
        <v/>
      </c>
      <c r="O841" s="89">
        <f>IF(OR($M841="",$E841=""),"",ROUND($M841*IFERROR(IF(VLOOKUP($E841,Setup!$A$76:$C$87,3,FALSE)="",Setup!$B$15,VLOOKUP($E841,Setup!$A$76:$C$87,3,FALSE)),Setup!$B$15),2))</f>
        <v/>
      </c>
      <c r="P841" s="91" t="n"/>
      <c r="Q841" s="91" t="n"/>
      <c r="R841" s="91" t="n"/>
      <c r="S841" s="91" t="n"/>
      <c r="T841" s="91" t="n"/>
      <c r="U841" s="89">
        <f>IF($K841="","",SUM($R841:$T841))</f>
        <v/>
      </c>
      <c r="V841" s="89">
        <f>IF($K841="","",$M841-(N($N841)+N($O841)+IF($P841="",Setup!$B$17,$P841)+N($Q841))-N($U841))</f>
        <v/>
      </c>
      <c r="W841" s="86" t="n"/>
      <c r="X841" s="87" t="n"/>
      <c r="Z841" s="92">
        <f>IF($A841="","",DATE(YEAR($A841),MONTH($A841),1))</f>
        <v/>
      </c>
    </row>
    <row r="842">
      <c r="A842" s="93" t="n"/>
      <c r="B842" s="94" t="n"/>
      <c r="C842" s="94" t="n"/>
      <c r="D842" s="95" t="n"/>
      <c r="E842" s="95" t="n"/>
      <c r="F842" s="95" t="n"/>
      <c r="G842" s="95" t="n"/>
      <c r="H842" s="96" t="n"/>
      <c r="I842" s="89">
        <f>IF($G842="","",IF($F842="",IFERROR(INDEX(Setup!$C$21:$C$60,MATCH("|"&amp;UPPER(TRIM($G842)),Setup!$Q$21:$Q$60,0)),"NO RATE"),IFERROR(INDEX(Setup!$C$21:$C$60,MATCH(UPPER(TRIM($F842))&amp;"|"&amp;UPPER(TRIM($G842)),Setup!$P$21:$P$60,0)),IFERROR(INDEX(Setup!$C$21:$C$60,MATCH(UPPER(TRIM($G842))&amp;"|"&amp;UPPER(TRIM($F842)),Setup!$P$21:$P$60,0)),"NO RATE"))))</f>
        <v/>
      </c>
      <c r="J842" s="97" t="n"/>
      <c r="K842" s="89">
        <f>IF(OR($G842="",$H842="",NOT(ISNUMBER($I842))),"",ROUND($H842*$I842*(1+IF($J842="",Setup!$B$16,$J842)),2))</f>
        <v/>
      </c>
      <c r="L842" s="89">
        <f>IF($K842="","",ROUND($K842*Setup!$B$13,2))</f>
        <v/>
      </c>
      <c r="M842" s="89">
        <f>IF($K842="","",$K842-$L842)</f>
        <v/>
      </c>
      <c r="N842" s="89">
        <f>IF(OR($M842="",$D842=""),"",ROUND($M842*IFERROR(IF(VLOOKUP($D842,Setup!$A$76:$C$87,3,FALSE)="",Setup!$B$14,VLOOKUP($D842,Setup!$A$76:$C$87,3,FALSE)),Setup!$B$14),2))</f>
        <v/>
      </c>
      <c r="O842" s="89">
        <f>IF(OR($M842="",$E842=""),"",ROUND($M842*IFERROR(IF(VLOOKUP($E842,Setup!$A$76:$C$87,3,FALSE)="",Setup!$B$15,VLOOKUP($E842,Setup!$A$76:$C$87,3,FALSE)),Setup!$B$15),2))</f>
        <v/>
      </c>
      <c r="P842" s="98" t="n"/>
      <c r="Q842" s="98" t="n"/>
      <c r="R842" s="98" t="n"/>
      <c r="S842" s="98" t="n"/>
      <c r="T842" s="98" t="n"/>
      <c r="U842" s="89">
        <f>IF($K842="","",SUM($R842:$T842))</f>
        <v/>
      </c>
      <c r="V842" s="89">
        <f>IF($K842="","",$M842-(N($N842)+N($O842)+IF($P842="",Setup!$B$17,$P842)+N($Q842))-N($U842))</f>
        <v/>
      </c>
      <c r="W842" s="94" t="n"/>
      <c r="X842" s="95" t="n"/>
      <c r="Z842" s="92">
        <f>IF($A842="","",DATE(YEAR($A842),MONTH($A842),1))</f>
        <v/>
      </c>
    </row>
    <row r="843">
      <c r="A843" s="85" t="n"/>
      <c r="B843" s="86" t="n"/>
      <c r="C843" s="86" t="n"/>
      <c r="D843" s="87" t="n"/>
      <c r="E843" s="87" t="n"/>
      <c r="F843" s="87" t="n"/>
      <c r="G843" s="87" t="n"/>
      <c r="H843" s="88" t="n"/>
      <c r="I843" s="89">
        <f>IF($G843="","",IF($F843="",IFERROR(INDEX(Setup!$C$21:$C$60,MATCH("|"&amp;UPPER(TRIM($G843)),Setup!$Q$21:$Q$60,0)),"NO RATE"),IFERROR(INDEX(Setup!$C$21:$C$60,MATCH(UPPER(TRIM($F843))&amp;"|"&amp;UPPER(TRIM($G843)),Setup!$P$21:$P$60,0)),IFERROR(INDEX(Setup!$C$21:$C$60,MATCH(UPPER(TRIM($G843))&amp;"|"&amp;UPPER(TRIM($F843)),Setup!$P$21:$P$60,0)),"NO RATE"))))</f>
        <v/>
      </c>
      <c r="J843" s="90" t="n"/>
      <c r="K843" s="89">
        <f>IF(OR($G843="",$H843="",NOT(ISNUMBER($I843))),"",ROUND($H843*$I843*(1+IF($J843="",Setup!$B$16,$J843)),2))</f>
        <v/>
      </c>
      <c r="L843" s="89">
        <f>IF($K843="","",ROUND($K843*Setup!$B$13,2))</f>
        <v/>
      </c>
      <c r="M843" s="89">
        <f>IF($K843="","",$K843-$L843)</f>
        <v/>
      </c>
      <c r="N843" s="89">
        <f>IF(OR($M843="",$D843=""),"",ROUND($M843*IFERROR(IF(VLOOKUP($D843,Setup!$A$76:$C$87,3,FALSE)="",Setup!$B$14,VLOOKUP($D843,Setup!$A$76:$C$87,3,FALSE)),Setup!$B$14),2))</f>
        <v/>
      </c>
      <c r="O843" s="89">
        <f>IF(OR($M843="",$E843=""),"",ROUND($M843*IFERROR(IF(VLOOKUP($E843,Setup!$A$76:$C$87,3,FALSE)="",Setup!$B$15,VLOOKUP($E843,Setup!$A$76:$C$87,3,FALSE)),Setup!$B$15),2))</f>
        <v/>
      </c>
      <c r="P843" s="91" t="n"/>
      <c r="Q843" s="91" t="n"/>
      <c r="R843" s="91" t="n"/>
      <c r="S843" s="91" t="n"/>
      <c r="T843" s="91" t="n"/>
      <c r="U843" s="89">
        <f>IF($K843="","",SUM($R843:$T843))</f>
        <v/>
      </c>
      <c r="V843" s="89">
        <f>IF($K843="","",$M843-(N($N843)+N($O843)+IF($P843="",Setup!$B$17,$P843)+N($Q843))-N($U843))</f>
        <v/>
      </c>
      <c r="W843" s="86" t="n"/>
      <c r="X843" s="87" t="n"/>
      <c r="Z843" s="92">
        <f>IF($A843="","",DATE(YEAR($A843),MONTH($A843),1))</f>
        <v/>
      </c>
    </row>
    <row r="844">
      <c r="A844" s="93" t="n"/>
      <c r="B844" s="94" t="n"/>
      <c r="C844" s="94" t="n"/>
      <c r="D844" s="95" t="n"/>
      <c r="E844" s="95" t="n"/>
      <c r="F844" s="95" t="n"/>
      <c r="G844" s="95" t="n"/>
      <c r="H844" s="96" t="n"/>
      <c r="I844" s="89">
        <f>IF($G844="","",IF($F844="",IFERROR(INDEX(Setup!$C$21:$C$60,MATCH("|"&amp;UPPER(TRIM($G844)),Setup!$Q$21:$Q$60,0)),"NO RATE"),IFERROR(INDEX(Setup!$C$21:$C$60,MATCH(UPPER(TRIM($F844))&amp;"|"&amp;UPPER(TRIM($G844)),Setup!$P$21:$P$60,0)),IFERROR(INDEX(Setup!$C$21:$C$60,MATCH(UPPER(TRIM($G844))&amp;"|"&amp;UPPER(TRIM($F844)),Setup!$P$21:$P$60,0)),"NO RATE"))))</f>
        <v/>
      </c>
      <c r="J844" s="97" t="n"/>
      <c r="K844" s="89">
        <f>IF(OR($G844="",$H844="",NOT(ISNUMBER($I844))),"",ROUND($H844*$I844*(1+IF($J844="",Setup!$B$16,$J844)),2))</f>
        <v/>
      </c>
      <c r="L844" s="89">
        <f>IF($K844="","",ROUND($K844*Setup!$B$13,2))</f>
        <v/>
      </c>
      <c r="M844" s="89">
        <f>IF($K844="","",$K844-$L844)</f>
        <v/>
      </c>
      <c r="N844" s="89">
        <f>IF(OR($M844="",$D844=""),"",ROUND($M844*IFERROR(IF(VLOOKUP($D844,Setup!$A$76:$C$87,3,FALSE)="",Setup!$B$14,VLOOKUP($D844,Setup!$A$76:$C$87,3,FALSE)),Setup!$B$14),2))</f>
        <v/>
      </c>
      <c r="O844" s="89">
        <f>IF(OR($M844="",$E844=""),"",ROUND($M844*IFERROR(IF(VLOOKUP($E844,Setup!$A$76:$C$87,3,FALSE)="",Setup!$B$15,VLOOKUP($E844,Setup!$A$76:$C$87,3,FALSE)),Setup!$B$15),2))</f>
        <v/>
      </c>
      <c r="P844" s="98" t="n"/>
      <c r="Q844" s="98" t="n"/>
      <c r="R844" s="98" t="n"/>
      <c r="S844" s="98" t="n"/>
      <c r="T844" s="98" t="n"/>
      <c r="U844" s="89">
        <f>IF($K844="","",SUM($R844:$T844))</f>
        <v/>
      </c>
      <c r="V844" s="89">
        <f>IF($K844="","",$M844-(N($N844)+N($O844)+IF($P844="",Setup!$B$17,$P844)+N($Q844))-N($U844))</f>
        <v/>
      </c>
      <c r="W844" s="94" t="n"/>
      <c r="X844" s="95" t="n"/>
      <c r="Z844" s="92">
        <f>IF($A844="","",DATE(YEAR($A844),MONTH($A844),1))</f>
        <v/>
      </c>
    </row>
    <row r="845">
      <c r="A845" s="85" t="n"/>
      <c r="B845" s="86" t="n"/>
      <c r="C845" s="86" t="n"/>
      <c r="D845" s="87" t="n"/>
      <c r="E845" s="87" t="n"/>
      <c r="F845" s="87" t="n"/>
      <c r="G845" s="87" t="n"/>
      <c r="H845" s="88" t="n"/>
      <c r="I845" s="89">
        <f>IF($G845="","",IF($F845="",IFERROR(INDEX(Setup!$C$21:$C$60,MATCH("|"&amp;UPPER(TRIM($G845)),Setup!$Q$21:$Q$60,0)),"NO RATE"),IFERROR(INDEX(Setup!$C$21:$C$60,MATCH(UPPER(TRIM($F845))&amp;"|"&amp;UPPER(TRIM($G845)),Setup!$P$21:$P$60,0)),IFERROR(INDEX(Setup!$C$21:$C$60,MATCH(UPPER(TRIM($G845))&amp;"|"&amp;UPPER(TRIM($F845)),Setup!$P$21:$P$60,0)),"NO RATE"))))</f>
        <v/>
      </c>
      <c r="J845" s="90" t="n"/>
      <c r="K845" s="89">
        <f>IF(OR($G845="",$H845="",NOT(ISNUMBER($I845))),"",ROUND($H845*$I845*(1+IF($J845="",Setup!$B$16,$J845)),2))</f>
        <v/>
      </c>
      <c r="L845" s="89">
        <f>IF($K845="","",ROUND($K845*Setup!$B$13,2))</f>
        <v/>
      </c>
      <c r="M845" s="89">
        <f>IF($K845="","",$K845-$L845)</f>
        <v/>
      </c>
      <c r="N845" s="89">
        <f>IF(OR($M845="",$D845=""),"",ROUND($M845*IFERROR(IF(VLOOKUP($D845,Setup!$A$76:$C$87,3,FALSE)="",Setup!$B$14,VLOOKUP($D845,Setup!$A$76:$C$87,3,FALSE)),Setup!$B$14),2))</f>
        <v/>
      </c>
      <c r="O845" s="89">
        <f>IF(OR($M845="",$E845=""),"",ROUND($M845*IFERROR(IF(VLOOKUP($E845,Setup!$A$76:$C$87,3,FALSE)="",Setup!$B$15,VLOOKUP($E845,Setup!$A$76:$C$87,3,FALSE)),Setup!$B$15),2))</f>
        <v/>
      </c>
      <c r="P845" s="91" t="n"/>
      <c r="Q845" s="91" t="n"/>
      <c r="R845" s="91" t="n"/>
      <c r="S845" s="91" t="n"/>
      <c r="T845" s="91" t="n"/>
      <c r="U845" s="89">
        <f>IF($K845="","",SUM($R845:$T845))</f>
        <v/>
      </c>
      <c r="V845" s="89">
        <f>IF($K845="","",$M845-(N($N845)+N($O845)+IF($P845="",Setup!$B$17,$P845)+N($Q845))-N($U845))</f>
        <v/>
      </c>
      <c r="W845" s="86" t="n"/>
      <c r="X845" s="87" t="n"/>
      <c r="Z845" s="92">
        <f>IF($A845="","",DATE(YEAR($A845),MONTH($A845),1))</f>
        <v/>
      </c>
    </row>
    <row r="846">
      <c r="A846" s="93" t="n"/>
      <c r="B846" s="94" t="n"/>
      <c r="C846" s="94" t="n"/>
      <c r="D846" s="95" t="n"/>
      <c r="E846" s="95" t="n"/>
      <c r="F846" s="95" t="n"/>
      <c r="G846" s="95" t="n"/>
      <c r="H846" s="96" t="n"/>
      <c r="I846" s="89">
        <f>IF($G846="","",IF($F846="",IFERROR(INDEX(Setup!$C$21:$C$60,MATCH("|"&amp;UPPER(TRIM($G846)),Setup!$Q$21:$Q$60,0)),"NO RATE"),IFERROR(INDEX(Setup!$C$21:$C$60,MATCH(UPPER(TRIM($F846))&amp;"|"&amp;UPPER(TRIM($G846)),Setup!$P$21:$P$60,0)),IFERROR(INDEX(Setup!$C$21:$C$60,MATCH(UPPER(TRIM($G846))&amp;"|"&amp;UPPER(TRIM($F846)),Setup!$P$21:$P$60,0)),"NO RATE"))))</f>
        <v/>
      </c>
      <c r="J846" s="97" t="n"/>
      <c r="K846" s="89">
        <f>IF(OR($G846="",$H846="",NOT(ISNUMBER($I846))),"",ROUND($H846*$I846*(1+IF($J846="",Setup!$B$16,$J846)),2))</f>
        <v/>
      </c>
      <c r="L846" s="89">
        <f>IF($K846="","",ROUND($K846*Setup!$B$13,2))</f>
        <v/>
      </c>
      <c r="M846" s="89">
        <f>IF($K846="","",$K846-$L846)</f>
        <v/>
      </c>
      <c r="N846" s="89">
        <f>IF(OR($M846="",$D846=""),"",ROUND($M846*IFERROR(IF(VLOOKUP($D846,Setup!$A$76:$C$87,3,FALSE)="",Setup!$B$14,VLOOKUP($D846,Setup!$A$76:$C$87,3,FALSE)),Setup!$B$14),2))</f>
        <v/>
      </c>
      <c r="O846" s="89">
        <f>IF(OR($M846="",$E846=""),"",ROUND($M846*IFERROR(IF(VLOOKUP($E846,Setup!$A$76:$C$87,3,FALSE)="",Setup!$B$15,VLOOKUP($E846,Setup!$A$76:$C$87,3,FALSE)),Setup!$B$15),2))</f>
        <v/>
      </c>
      <c r="P846" s="98" t="n"/>
      <c r="Q846" s="98" t="n"/>
      <c r="R846" s="98" t="n"/>
      <c r="S846" s="98" t="n"/>
      <c r="T846" s="98" t="n"/>
      <c r="U846" s="89">
        <f>IF($K846="","",SUM($R846:$T846))</f>
        <v/>
      </c>
      <c r="V846" s="89">
        <f>IF($K846="","",$M846-(N($N846)+N($O846)+IF($P846="",Setup!$B$17,$P846)+N($Q846))-N($U846))</f>
        <v/>
      </c>
      <c r="W846" s="94" t="n"/>
      <c r="X846" s="95" t="n"/>
      <c r="Z846" s="92">
        <f>IF($A846="","",DATE(YEAR($A846),MONTH($A846),1))</f>
        <v/>
      </c>
    </row>
    <row r="847">
      <c r="A847" s="85" t="n"/>
      <c r="B847" s="86" t="n"/>
      <c r="C847" s="86" t="n"/>
      <c r="D847" s="87" t="n"/>
      <c r="E847" s="87" t="n"/>
      <c r="F847" s="87" t="n"/>
      <c r="G847" s="87" t="n"/>
      <c r="H847" s="88" t="n"/>
      <c r="I847" s="89">
        <f>IF($G847="","",IF($F847="",IFERROR(INDEX(Setup!$C$21:$C$60,MATCH("|"&amp;UPPER(TRIM($G847)),Setup!$Q$21:$Q$60,0)),"NO RATE"),IFERROR(INDEX(Setup!$C$21:$C$60,MATCH(UPPER(TRIM($F847))&amp;"|"&amp;UPPER(TRIM($G847)),Setup!$P$21:$P$60,0)),IFERROR(INDEX(Setup!$C$21:$C$60,MATCH(UPPER(TRIM($G847))&amp;"|"&amp;UPPER(TRIM($F847)),Setup!$P$21:$P$60,0)),"NO RATE"))))</f>
        <v/>
      </c>
      <c r="J847" s="90" t="n"/>
      <c r="K847" s="89">
        <f>IF(OR($G847="",$H847="",NOT(ISNUMBER($I847))),"",ROUND($H847*$I847*(1+IF($J847="",Setup!$B$16,$J847)),2))</f>
        <v/>
      </c>
      <c r="L847" s="89">
        <f>IF($K847="","",ROUND($K847*Setup!$B$13,2))</f>
        <v/>
      </c>
      <c r="M847" s="89">
        <f>IF($K847="","",$K847-$L847)</f>
        <v/>
      </c>
      <c r="N847" s="89">
        <f>IF(OR($M847="",$D847=""),"",ROUND($M847*IFERROR(IF(VLOOKUP($D847,Setup!$A$76:$C$87,3,FALSE)="",Setup!$B$14,VLOOKUP($D847,Setup!$A$76:$C$87,3,FALSE)),Setup!$B$14),2))</f>
        <v/>
      </c>
      <c r="O847" s="89">
        <f>IF(OR($M847="",$E847=""),"",ROUND($M847*IFERROR(IF(VLOOKUP($E847,Setup!$A$76:$C$87,3,FALSE)="",Setup!$B$15,VLOOKUP($E847,Setup!$A$76:$C$87,3,FALSE)),Setup!$B$15),2))</f>
        <v/>
      </c>
      <c r="P847" s="91" t="n"/>
      <c r="Q847" s="91" t="n"/>
      <c r="R847" s="91" t="n"/>
      <c r="S847" s="91" t="n"/>
      <c r="T847" s="91" t="n"/>
      <c r="U847" s="89">
        <f>IF($K847="","",SUM($R847:$T847))</f>
        <v/>
      </c>
      <c r="V847" s="89">
        <f>IF($K847="","",$M847-(N($N847)+N($O847)+IF($P847="",Setup!$B$17,$P847)+N($Q847))-N($U847))</f>
        <v/>
      </c>
      <c r="W847" s="86" t="n"/>
      <c r="X847" s="87" t="n"/>
      <c r="Z847" s="92">
        <f>IF($A847="","",DATE(YEAR($A847),MONTH($A847),1))</f>
        <v/>
      </c>
    </row>
    <row r="848">
      <c r="A848" s="93" t="n"/>
      <c r="B848" s="94" t="n"/>
      <c r="C848" s="94" t="n"/>
      <c r="D848" s="95" t="n"/>
      <c r="E848" s="95" t="n"/>
      <c r="F848" s="95" t="n"/>
      <c r="G848" s="95" t="n"/>
      <c r="H848" s="96" t="n"/>
      <c r="I848" s="89">
        <f>IF($G848="","",IF($F848="",IFERROR(INDEX(Setup!$C$21:$C$60,MATCH("|"&amp;UPPER(TRIM($G848)),Setup!$Q$21:$Q$60,0)),"NO RATE"),IFERROR(INDEX(Setup!$C$21:$C$60,MATCH(UPPER(TRIM($F848))&amp;"|"&amp;UPPER(TRIM($G848)),Setup!$P$21:$P$60,0)),IFERROR(INDEX(Setup!$C$21:$C$60,MATCH(UPPER(TRIM($G848))&amp;"|"&amp;UPPER(TRIM($F848)),Setup!$P$21:$P$60,0)),"NO RATE"))))</f>
        <v/>
      </c>
      <c r="J848" s="97" t="n"/>
      <c r="K848" s="89">
        <f>IF(OR($G848="",$H848="",NOT(ISNUMBER($I848))),"",ROUND($H848*$I848*(1+IF($J848="",Setup!$B$16,$J848)),2))</f>
        <v/>
      </c>
      <c r="L848" s="89">
        <f>IF($K848="","",ROUND($K848*Setup!$B$13,2))</f>
        <v/>
      </c>
      <c r="M848" s="89">
        <f>IF($K848="","",$K848-$L848)</f>
        <v/>
      </c>
      <c r="N848" s="89">
        <f>IF(OR($M848="",$D848=""),"",ROUND($M848*IFERROR(IF(VLOOKUP($D848,Setup!$A$76:$C$87,3,FALSE)="",Setup!$B$14,VLOOKUP($D848,Setup!$A$76:$C$87,3,FALSE)),Setup!$B$14),2))</f>
        <v/>
      </c>
      <c r="O848" s="89">
        <f>IF(OR($M848="",$E848=""),"",ROUND($M848*IFERROR(IF(VLOOKUP($E848,Setup!$A$76:$C$87,3,FALSE)="",Setup!$B$15,VLOOKUP($E848,Setup!$A$76:$C$87,3,FALSE)),Setup!$B$15),2))</f>
        <v/>
      </c>
      <c r="P848" s="98" t="n"/>
      <c r="Q848" s="98" t="n"/>
      <c r="R848" s="98" t="n"/>
      <c r="S848" s="98" t="n"/>
      <c r="T848" s="98" t="n"/>
      <c r="U848" s="89">
        <f>IF($K848="","",SUM($R848:$T848))</f>
        <v/>
      </c>
      <c r="V848" s="89">
        <f>IF($K848="","",$M848-(N($N848)+N($O848)+IF($P848="",Setup!$B$17,$P848)+N($Q848))-N($U848))</f>
        <v/>
      </c>
      <c r="W848" s="94" t="n"/>
      <c r="X848" s="95" t="n"/>
      <c r="Z848" s="92">
        <f>IF($A848="","",DATE(YEAR($A848),MONTH($A848),1))</f>
        <v/>
      </c>
    </row>
    <row r="849">
      <c r="A849" s="85" t="n"/>
      <c r="B849" s="86" t="n"/>
      <c r="C849" s="86" t="n"/>
      <c r="D849" s="87" t="n"/>
      <c r="E849" s="87" t="n"/>
      <c r="F849" s="87" t="n"/>
      <c r="G849" s="87" t="n"/>
      <c r="H849" s="88" t="n"/>
      <c r="I849" s="89">
        <f>IF($G849="","",IF($F849="",IFERROR(INDEX(Setup!$C$21:$C$60,MATCH("|"&amp;UPPER(TRIM($G849)),Setup!$Q$21:$Q$60,0)),"NO RATE"),IFERROR(INDEX(Setup!$C$21:$C$60,MATCH(UPPER(TRIM($F849))&amp;"|"&amp;UPPER(TRIM($G849)),Setup!$P$21:$P$60,0)),IFERROR(INDEX(Setup!$C$21:$C$60,MATCH(UPPER(TRIM($G849))&amp;"|"&amp;UPPER(TRIM($F849)),Setup!$P$21:$P$60,0)),"NO RATE"))))</f>
        <v/>
      </c>
      <c r="J849" s="90" t="n"/>
      <c r="K849" s="89">
        <f>IF(OR($G849="",$H849="",NOT(ISNUMBER($I849))),"",ROUND($H849*$I849*(1+IF($J849="",Setup!$B$16,$J849)),2))</f>
        <v/>
      </c>
      <c r="L849" s="89">
        <f>IF($K849="","",ROUND($K849*Setup!$B$13,2))</f>
        <v/>
      </c>
      <c r="M849" s="89">
        <f>IF($K849="","",$K849-$L849)</f>
        <v/>
      </c>
      <c r="N849" s="89">
        <f>IF(OR($M849="",$D849=""),"",ROUND($M849*IFERROR(IF(VLOOKUP($D849,Setup!$A$76:$C$87,3,FALSE)="",Setup!$B$14,VLOOKUP($D849,Setup!$A$76:$C$87,3,FALSE)),Setup!$B$14),2))</f>
        <v/>
      </c>
      <c r="O849" s="89">
        <f>IF(OR($M849="",$E849=""),"",ROUND($M849*IFERROR(IF(VLOOKUP($E849,Setup!$A$76:$C$87,3,FALSE)="",Setup!$B$15,VLOOKUP($E849,Setup!$A$76:$C$87,3,FALSE)),Setup!$B$15),2))</f>
        <v/>
      </c>
      <c r="P849" s="91" t="n"/>
      <c r="Q849" s="91" t="n"/>
      <c r="R849" s="91" t="n"/>
      <c r="S849" s="91" t="n"/>
      <c r="T849" s="91" t="n"/>
      <c r="U849" s="89">
        <f>IF($K849="","",SUM($R849:$T849))</f>
        <v/>
      </c>
      <c r="V849" s="89">
        <f>IF($K849="","",$M849-(N($N849)+N($O849)+IF($P849="",Setup!$B$17,$P849)+N($Q849))-N($U849))</f>
        <v/>
      </c>
      <c r="W849" s="86" t="n"/>
      <c r="X849" s="87" t="n"/>
      <c r="Z849" s="92">
        <f>IF($A849="","",DATE(YEAR($A849),MONTH($A849),1))</f>
        <v/>
      </c>
    </row>
    <row r="850">
      <c r="A850" s="93" t="n"/>
      <c r="B850" s="94" t="n"/>
      <c r="C850" s="94" t="n"/>
      <c r="D850" s="95" t="n"/>
      <c r="E850" s="95" t="n"/>
      <c r="F850" s="95" t="n"/>
      <c r="G850" s="95" t="n"/>
      <c r="H850" s="96" t="n"/>
      <c r="I850" s="89">
        <f>IF($G850="","",IF($F850="",IFERROR(INDEX(Setup!$C$21:$C$60,MATCH("|"&amp;UPPER(TRIM($G850)),Setup!$Q$21:$Q$60,0)),"NO RATE"),IFERROR(INDEX(Setup!$C$21:$C$60,MATCH(UPPER(TRIM($F850))&amp;"|"&amp;UPPER(TRIM($G850)),Setup!$P$21:$P$60,0)),IFERROR(INDEX(Setup!$C$21:$C$60,MATCH(UPPER(TRIM($G850))&amp;"|"&amp;UPPER(TRIM($F850)),Setup!$P$21:$P$60,0)),"NO RATE"))))</f>
        <v/>
      </c>
      <c r="J850" s="97" t="n"/>
      <c r="K850" s="89">
        <f>IF(OR($G850="",$H850="",NOT(ISNUMBER($I850))),"",ROUND($H850*$I850*(1+IF($J850="",Setup!$B$16,$J850)),2))</f>
        <v/>
      </c>
      <c r="L850" s="89">
        <f>IF($K850="","",ROUND($K850*Setup!$B$13,2))</f>
        <v/>
      </c>
      <c r="M850" s="89">
        <f>IF($K850="","",$K850-$L850)</f>
        <v/>
      </c>
      <c r="N850" s="89">
        <f>IF(OR($M850="",$D850=""),"",ROUND($M850*IFERROR(IF(VLOOKUP($D850,Setup!$A$76:$C$87,3,FALSE)="",Setup!$B$14,VLOOKUP($D850,Setup!$A$76:$C$87,3,FALSE)),Setup!$B$14),2))</f>
        <v/>
      </c>
      <c r="O850" s="89">
        <f>IF(OR($M850="",$E850=""),"",ROUND($M850*IFERROR(IF(VLOOKUP($E850,Setup!$A$76:$C$87,3,FALSE)="",Setup!$B$15,VLOOKUP($E850,Setup!$A$76:$C$87,3,FALSE)),Setup!$B$15),2))</f>
        <v/>
      </c>
      <c r="P850" s="98" t="n"/>
      <c r="Q850" s="98" t="n"/>
      <c r="R850" s="98" t="n"/>
      <c r="S850" s="98" t="n"/>
      <c r="T850" s="98" t="n"/>
      <c r="U850" s="89">
        <f>IF($K850="","",SUM($R850:$T850))</f>
        <v/>
      </c>
      <c r="V850" s="89">
        <f>IF($K850="","",$M850-(N($N850)+N($O850)+IF($P850="",Setup!$B$17,$P850)+N($Q850))-N($U850))</f>
        <v/>
      </c>
      <c r="W850" s="94" t="n"/>
      <c r="X850" s="95" t="n"/>
      <c r="Z850" s="92">
        <f>IF($A850="","",DATE(YEAR($A850),MONTH($A850),1))</f>
        <v/>
      </c>
    </row>
    <row r="851">
      <c r="A851" s="85" t="n"/>
      <c r="B851" s="86" t="n"/>
      <c r="C851" s="86" t="n"/>
      <c r="D851" s="87" t="n"/>
      <c r="E851" s="87" t="n"/>
      <c r="F851" s="87" t="n"/>
      <c r="G851" s="87" t="n"/>
      <c r="H851" s="88" t="n"/>
      <c r="I851" s="89">
        <f>IF($G851="","",IF($F851="",IFERROR(INDEX(Setup!$C$21:$C$60,MATCH("|"&amp;UPPER(TRIM($G851)),Setup!$Q$21:$Q$60,0)),"NO RATE"),IFERROR(INDEX(Setup!$C$21:$C$60,MATCH(UPPER(TRIM($F851))&amp;"|"&amp;UPPER(TRIM($G851)),Setup!$P$21:$P$60,0)),IFERROR(INDEX(Setup!$C$21:$C$60,MATCH(UPPER(TRIM($G851))&amp;"|"&amp;UPPER(TRIM($F851)),Setup!$P$21:$P$60,0)),"NO RATE"))))</f>
        <v/>
      </c>
      <c r="J851" s="90" t="n"/>
      <c r="K851" s="89">
        <f>IF(OR($G851="",$H851="",NOT(ISNUMBER($I851))),"",ROUND($H851*$I851*(1+IF($J851="",Setup!$B$16,$J851)),2))</f>
        <v/>
      </c>
      <c r="L851" s="89">
        <f>IF($K851="","",ROUND($K851*Setup!$B$13,2))</f>
        <v/>
      </c>
      <c r="M851" s="89">
        <f>IF($K851="","",$K851-$L851)</f>
        <v/>
      </c>
      <c r="N851" s="89">
        <f>IF(OR($M851="",$D851=""),"",ROUND($M851*IFERROR(IF(VLOOKUP($D851,Setup!$A$76:$C$87,3,FALSE)="",Setup!$B$14,VLOOKUP($D851,Setup!$A$76:$C$87,3,FALSE)),Setup!$B$14),2))</f>
        <v/>
      </c>
      <c r="O851" s="89">
        <f>IF(OR($M851="",$E851=""),"",ROUND($M851*IFERROR(IF(VLOOKUP($E851,Setup!$A$76:$C$87,3,FALSE)="",Setup!$B$15,VLOOKUP($E851,Setup!$A$76:$C$87,3,FALSE)),Setup!$B$15),2))</f>
        <v/>
      </c>
      <c r="P851" s="91" t="n"/>
      <c r="Q851" s="91" t="n"/>
      <c r="R851" s="91" t="n"/>
      <c r="S851" s="91" t="n"/>
      <c r="T851" s="91" t="n"/>
      <c r="U851" s="89">
        <f>IF($K851="","",SUM($R851:$T851))</f>
        <v/>
      </c>
      <c r="V851" s="89">
        <f>IF($K851="","",$M851-(N($N851)+N($O851)+IF($P851="",Setup!$B$17,$P851)+N($Q851))-N($U851))</f>
        <v/>
      </c>
      <c r="W851" s="86" t="n"/>
      <c r="X851" s="87" t="n"/>
      <c r="Z851" s="92">
        <f>IF($A851="","",DATE(YEAR($A851),MONTH($A851),1))</f>
        <v/>
      </c>
    </row>
    <row r="852">
      <c r="A852" s="93" t="n"/>
      <c r="B852" s="94" t="n"/>
      <c r="C852" s="94" t="n"/>
      <c r="D852" s="95" t="n"/>
      <c r="E852" s="95" t="n"/>
      <c r="F852" s="95" t="n"/>
      <c r="G852" s="95" t="n"/>
      <c r="H852" s="96" t="n"/>
      <c r="I852" s="89">
        <f>IF($G852="","",IF($F852="",IFERROR(INDEX(Setup!$C$21:$C$60,MATCH("|"&amp;UPPER(TRIM($G852)),Setup!$Q$21:$Q$60,0)),"NO RATE"),IFERROR(INDEX(Setup!$C$21:$C$60,MATCH(UPPER(TRIM($F852))&amp;"|"&amp;UPPER(TRIM($G852)),Setup!$P$21:$P$60,0)),IFERROR(INDEX(Setup!$C$21:$C$60,MATCH(UPPER(TRIM($G852))&amp;"|"&amp;UPPER(TRIM($F852)),Setup!$P$21:$P$60,0)),"NO RATE"))))</f>
        <v/>
      </c>
      <c r="J852" s="97" t="n"/>
      <c r="K852" s="89">
        <f>IF(OR($G852="",$H852="",NOT(ISNUMBER($I852))),"",ROUND($H852*$I852*(1+IF($J852="",Setup!$B$16,$J852)),2))</f>
        <v/>
      </c>
      <c r="L852" s="89">
        <f>IF($K852="","",ROUND($K852*Setup!$B$13,2))</f>
        <v/>
      </c>
      <c r="M852" s="89">
        <f>IF($K852="","",$K852-$L852)</f>
        <v/>
      </c>
      <c r="N852" s="89">
        <f>IF(OR($M852="",$D852=""),"",ROUND($M852*IFERROR(IF(VLOOKUP($D852,Setup!$A$76:$C$87,3,FALSE)="",Setup!$B$14,VLOOKUP($D852,Setup!$A$76:$C$87,3,FALSE)),Setup!$B$14),2))</f>
        <v/>
      </c>
      <c r="O852" s="89">
        <f>IF(OR($M852="",$E852=""),"",ROUND($M852*IFERROR(IF(VLOOKUP($E852,Setup!$A$76:$C$87,3,FALSE)="",Setup!$B$15,VLOOKUP($E852,Setup!$A$76:$C$87,3,FALSE)),Setup!$B$15),2))</f>
        <v/>
      </c>
      <c r="P852" s="98" t="n"/>
      <c r="Q852" s="98" t="n"/>
      <c r="R852" s="98" t="n"/>
      <c r="S852" s="98" t="n"/>
      <c r="T852" s="98" t="n"/>
      <c r="U852" s="89">
        <f>IF($K852="","",SUM($R852:$T852))</f>
        <v/>
      </c>
      <c r="V852" s="89">
        <f>IF($K852="","",$M852-(N($N852)+N($O852)+IF($P852="",Setup!$B$17,$P852)+N($Q852))-N($U852))</f>
        <v/>
      </c>
      <c r="W852" s="94" t="n"/>
      <c r="X852" s="95" t="n"/>
      <c r="Z852" s="92">
        <f>IF($A852="","",DATE(YEAR($A852),MONTH($A852),1))</f>
        <v/>
      </c>
    </row>
    <row r="853">
      <c r="A853" s="85" t="n"/>
      <c r="B853" s="86" t="n"/>
      <c r="C853" s="86" t="n"/>
      <c r="D853" s="87" t="n"/>
      <c r="E853" s="87" t="n"/>
      <c r="F853" s="87" t="n"/>
      <c r="G853" s="87" t="n"/>
      <c r="H853" s="88" t="n"/>
      <c r="I853" s="89">
        <f>IF($G853="","",IF($F853="",IFERROR(INDEX(Setup!$C$21:$C$60,MATCH("|"&amp;UPPER(TRIM($G853)),Setup!$Q$21:$Q$60,0)),"NO RATE"),IFERROR(INDEX(Setup!$C$21:$C$60,MATCH(UPPER(TRIM($F853))&amp;"|"&amp;UPPER(TRIM($G853)),Setup!$P$21:$P$60,0)),IFERROR(INDEX(Setup!$C$21:$C$60,MATCH(UPPER(TRIM($G853))&amp;"|"&amp;UPPER(TRIM($F853)),Setup!$P$21:$P$60,0)),"NO RATE"))))</f>
        <v/>
      </c>
      <c r="J853" s="90" t="n"/>
      <c r="K853" s="89">
        <f>IF(OR($G853="",$H853="",NOT(ISNUMBER($I853))),"",ROUND($H853*$I853*(1+IF($J853="",Setup!$B$16,$J853)),2))</f>
        <v/>
      </c>
      <c r="L853" s="89">
        <f>IF($K853="","",ROUND($K853*Setup!$B$13,2))</f>
        <v/>
      </c>
      <c r="M853" s="89">
        <f>IF($K853="","",$K853-$L853)</f>
        <v/>
      </c>
      <c r="N853" s="89">
        <f>IF(OR($M853="",$D853=""),"",ROUND($M853*IFERROR(IF(VLOOKUP($D853,Setup!$A$76:$C$87,3,FALSE)="",Setup!$B$14,VLOOKUP($D853,Setup!$A$76:$C$87,3,FALSE)),Setup!$B$14),2))</f>
        <v/>
      </c>
      <c r="O853" s="89">
        <f>IF(OR($M853="",$E853=""),"",ROUND($M853*IFERROR(IF(VLOOKUP($E853,Setup!$A$76:$C$87,3,FALSE)="",Setup!$B$15,VLOOKUP($E853,Setup!$A$76:$C$87,3,FALSE)),Setup!$B$15),2))</f>
        <v/>
      </c>
      <c r="P853" s="91" t="n"/>
      <c r="Q853" s="91" t="n"/>
      <c r="R853" s="91" t="n"/>
      <c r="S853" s="91" t="n"/>
      <c r="T853" s="91" t="n"/>
      <c r="U853" s="89">
        <f>IF($K853="","",SUM($R853:$T853))</f>
        <v/>
      </c>
      <c r="V853" s="89">
        <f>IF($K853="","",$M853-(N($N853)+N($O853)+IF($P853="",Setup!$B$17,$P853)+N($Q853))-N($U853))</f>
        <v/>
      </c>
      <c r="W853" s="86" t="n"/>
      <c r="X853" s="87" t="n"/>
      <c r="Z853" s="92">
        <f>IF($A853="","",DATE(YEAR($A853),MONTH($A853),1))</f>
        <v/>
      </c>
    </row>
    <row r="854">
      <c r="A854" s="93" t="n"/>
      <c r="B854" s="94" t="n"/>
      <c r="C854" s="94" t="n"/>
      <c r="D854" s="95" t="n"/>
      <c r="E854" s="95" t="n"/>
      <c r="F854" s="95" t="n"/>
      <c r="G854" s="95" t="n"/>
      <c r="H854" s="96" t="n"/>
      <c r="I854" s="89">
        <f>IF($G854="","",IF($F854="",IFERROR(INDEX(Setup!$C$21:$C$60,MATCH("|"&amp;UPPER(TRIM($G854)),Setup!$Q$21:$Q$60,0)),"NO RATE"),IFERROR(INDEX(Setup!$C$21:$C$60,MATCH(UPPER(TRIM($F854))&amp;"|"&amp;UPPER(TRIM($G854)),Setup!$P$21:$P$60,0)),IFERROR(INDEX(Setup!$C$21:$C$60,MATCH(UPPER(TRIM($G854))&amp;"|"&amp;UPPER(TRIM($F854)),Setup!$P$21:$P$60,0)),"NO RATE"))))</f>
        <v/>
      </c>
      <c r="J854" s="97" t="n"/>
      <c r="K854" s="89">
        <f>IF(OR($G854="",$H854="",NOT(ISNUMBER($I854))),"",ROUND($H854*$I854*(1+IF($J854="",Setup!$B$16,$J854)),2))</f>
        <v/>
      </c>
      <c r="L854" s="89">
        <f>IF($K854="","",ROUND($K854*Setup!$B$13,2))</f>
        <v/>
      </c>
      <c r="M854" s="89">
        <f>IF($K854="","",$K854-$L854)</f>
        <v/>
      </c>
      <c r="N854" s="89">
        <f>IF(OR($M854="",$D854=""),"",ROUND($M854*IFERROR(IF(VLOOKUP($D854,Setup!$A$76:$C$87,3,FALSE)="",Setup!$B$14,VLOOKUP($D854,Setup!$A$76:$C$87,3,FALSE)),Setup!$B$14),2))</f>
        <v/>
      </c>
      <c r="O854" s="89">
        <f>IF(OR($M854="",$E854=""),"",ROUND($M854*IFERROR(IF(VLOOKUP($E854,Setup!$A$76:$C$87,3,FALSE)="",Setup!$B$15,VLOOKUP($E854,Setup!$A$76:$C$87,3,FALSE)),Setup!$B$15),2))</f>
        <v/>
      </c>
      <c r="P854" s="98" t="n"/>
      <c r="Q854" s="98" t="n"/>
      <c r="R854" s="98" t="n"/>
      <c r="S854" s="98" t="n"/>
      <c r="T854" s="98" t="n"/>
      <c r="U854" s="89">
        <f>IF($K854="","",SUM($R854:$T854))</f>
        <v/>
      </c>
      <c r="V854" s="89">
        <f>IF($K854="","",$M854-(N($N854)+N($O854)+IF($P854="",Setup!$B$17,$P854)+N($Q854))-N($U854))</f>
        <v/>
      </c>
      <c r="W854" s="94" t="n"/>
      <c r="X854" s="95" t="n"/>
      <c r="Z854" s="92">
        <f>IF($A854="","",DATE(YEAR($A854),MONTH($A854),1))</f>
        <v/>
      </c>
    </row>
    <row r="855">
      <c r="A855" s="85" t="n"/>
      <c r="B855" s="86" t="n"/>
      <c r="C855" s="86" t="n"/>
      <c r="D855" s="87" t="n"/>
      <c r="E855" s="87" t="n"/>
      <c r="F855" s="87" t="n"/>
      <c r="G855" s="87" t="n"/>
      <c r="H855" s="88" t="n"/>
      <c r="I855" s="89">
        <f>IF($G855="","",IF($F855="",IFERROR(INDEX(Setup!$C$21:$C$60,MATCH("|"&amp;UPPER(TRIM($G855)),Setup!$Q$21:$Q$60,0)),"NO RATE"),IFERROR(INDEX(Setup!$C$21:$C$60,MATCH(UPPER(TRIM($F855))&amp;"|"&amp;UPPER(TRIM($G855)),Setup!$P$21:$P$60,0)),IFERROR(INDEX(Setup!$C$21:$C$60,MATCH(UPPER(TRIM($G855))&amp;"|"&amp;UPPER(TRIM($F855)),Setup!$P$21:$P$60,0)),"NO RATE"))))</f>
        <v/>
      </c>
      <c r="J855" s="90" t="n"/>
      <c r="K855" s="89">
        <f>IF(OR($G855="",$H855="",NOT(ISNUMBER($I855))),"",ROUND($H855*$I855*(1+IF($J855="",Setup!$B$16,$J855)),2))</f>
        <v/>
      </c>
      <c r="L855" s="89">
        <f>IF($K855="","",ROUND($K855*Setup!$B$13,2))</f>
        <v/>
      </c>
      <c r="M855" s="89">
        <f>IF($K855="","",$K855-$L855)</f>
        <v/>
      </c>
      <c r="N855" s="89">
        <f>IF(OR($M855="",$D855=""),"",ROUND($M855*IFERROR(IF(VLOOKUP($D855,Setup!$A$76:$C$87,3,FALSE)="",Setup!$B$14,VLOOKUP($D855,Setup!$A$76:$C$87,3,FALSE)),Setup!$B$14),2))</f>
        <v/>
      </c>
      <c r="O855" s="89">
        <f>IF(OR($M855="",$E855=""),"",ROUND($M855*IFERROR(IF(VLOOKUP($E855,Setup!$A$76:$C$87,3,FALSE)="",Setup!$B$15,VLOOKUP($E855,Setup!$A$76:$C$87,3,FALSE)),Setup!$B$15),2))</f>
        <v/>
      </c>
      <c r="P855" s="91" t="n"/>
      <c r="Q855" s="91" t="n"/>
      <c r="R855" s="91" t="n"/>
      <c r="S855" s="91" t="n"/>
      <c r="T855" s="91" t="n"/>
      <c r="U855" s="89">
        <f>IF($K855="","",SUM($R855:$T855))</f>
        <v/>
      </c>
      <c r="V855" s="89">
        <f>IF($K855="","",$M855-(N($N855)+N($O855)+IF($P855="",Setup!$B$17,$P855)+N($Q855))-N($U855))</f>
        <v/>
      </c>
      <c r="W855" s="86" t="n"/>
      <c r="X855" s="87" t="n"/>
      <c r="Z855" s="92">
        <f>IF($A855="","",DATE(YEAR($A855),MONTH($A855),1))</f>
        <v/>
      </c>
    </row>
    <row r="856">
      <c r="A856" s="93" t="n"/>
      <c r="B856" s="94" t="n"/>
      <c r="C856" s="94" t="n"/>
      <c r="D856" s="95" t="n"/>
      <c r="E856" s="95" t="n"/>
      <c r="F856" s="95" t="n"/>
      <c r="G856" s="95" t="n"/>
      <c r="H856" s="96" t="n"/>
      <c r="I856" s="89">
        <f>IF($G856="","",IF($F856="",IFERROR(INDEX(Setup!$C$21:$C$60,MATCH("|"&amp;UPPER(TRIM($G856)),Setup!$Q$21:$Q$60,0)),"NO RATE"),IFERROR(INDEX(Setup!$C$21:$C$60,MATCH(UPPER(TRIM($F856))&amp;"|"&amp;UPPER(TRIM($G856)),Setup!$P$21:$P$60,0)),IFERROR(INDEX(Setup!$C$21:$C$60,MATCH(UPPER(TRIM($G856))&amp;"|"&amp;UPPER(TRIM($F856)),Setup!$P$21:$P$60,0)),"NO RATE"))))</f>
        <v/>
      </c>
      <c r="J856" s="97" t="n"/>
      <c r="K856" s="89">
        <f>IF(OR($G856="",$H856="",NOT(ISNUMBER($I856))),"",ROUND($H856*$I856*(1+IF($J856="",Setup!$B$16,$J856)),2))</f>
        <v/>
      </c>
      <c r="L856" s="89">
        <f>IF($K856="","",ROUND($K856*Setup!$B$13,2))</f>
        <v/>
      </c>
      <c r="M856" s="89">
        <f>IF($K856="","",$K856-$L856)</f>
        <v/>
      </c>
      <c r="N856" s="89">
        <f>IF(OR($M856="",$D856=""),"",ROUND($M856*IFERROR(IF(VLOOKUP($D856,Setup!$A$76:$C$87,3,FALSE)="",Setup!$B$14,VLOOKUP($D856,Setup!$A$76:$C$87,3,FALSE)),Setup!$B$14),2))</f>
        <v/>
      </c>
      <c r="O856" s="89">
        <f>IF(OR($M856="",$E856=""),"",ROUND($M856*IFERROR(IF(VLOOKUP($E856,Setup!$A$76:$C$87,3,FALSE)="",Setup!$B$15,VLOOKUP($E856,Setup!$A$76:$C$87,3,FALSE)),Setup!$B$15),2))</f>
        <v/>
      </c>
      <c r="P856" s="98" t="n"/>
      <c r="Q856" s="98" t="n"/>
      <c r="R856" s="98" t="n"/>
      <c r="S856" s="98" t="n"/>
      <c r="T856" s="98" t="n"/>
      <c r="U856" s="89">
        <f>IF($K856="","",SUM($R856:$T856))</f>
        <v/>
      </c>
      <c r="V856" s="89">
        <f>IF($K856="","",$M856-(N($N856)+N($O856)+IF($P856="",Setup!$B$17,$P856)+N($Q856))-N($U856))</f>
        <v/>
      </c>
      <c r="W856" s="94" t="n"/>
      <c r="X856" s="95" t="n"/>
      <c r="Z856" s="92">
        <f>IF($A856="","",DATE(YEAR($A856),MONTH($A856),1))</f>
        <v/>
      </c>
    </row>
    <row r="857">
      <c r="A857" s="85" t="n"/>
      <c r="B857" s="86" t="n"/>
      <c r="C857" s="86" t="n"/>
      <c r="D857" s="87" t="n"/>
      <c r="E857" s="87" t="n"/>
      <c r="F857" s="87" t="n"/>
      <c r="G857" s="87" t="n"/>
      <c r="H857" s="88" t="n"/>
      <c r="I857" s="89">
        <f>IF($G857="","",IF($F857="",IFERROR(INDEX(Setup!$C$21:$C$60,MATCH("|"&amp;UPPER(TRIM($G857)),Setup!$Q$21:$Q$60,0)),"NO RATE"),IFERROR(INDEX(Setup!$C$21:$C$60,MATCH(UPPER(TRIM($F857))&amp;"|"&amp;UPPER(TRIM($G857)),Setup!$P$21:$P$60,0)),IFERROR(INDEX(Setup!$C$21:$C$60,MATCH(UPPER(TRIM($G857))&amp;"|"&amp;UPPER(TRIM($F857)),Setup!$P$21:$P$60,0)),"NO RATE"))))</f>
        <v/>
      </c>
      <c r="J857" s="90" t="n"/>
      <c r="K857" s="89">
        <f>IF(OR($G857="",$H857="",NOT(ISNUMBER($I857))),"",ROUND($H857*$I857*(1+IF($J857="",Setup!$B$16,$J857)),2))</f>
        <v/>
      </c>
      <c r="L857" s="89">
        <f>IF($K857="","",ROUND($K857*Setup!$B$13,2))</f>
        <v/>
      </c>
      <c r="M857" s="89">
        <f>IF($K857="","",$K857-$L857)</f>
        <v/>
      </c>
      <c r="N857" s="89">
        <f>IF(OR($M857="",$D857=""),"",ROUND($M857*IFERROR(IF(VLOOKUP($D857,Setup!$A$76:$C$87,3,FALSE)="",Setup!$B$14,VLOOKUP($D857,Setup!$A$76:$C$87,3,FALSE)),Setup!$B$14),2))</f>
        <v/>
      </c>
      <c r="O857" s="89">
        <f>IF(OR($M857="",$E857=""),"",ROUND($M857*IFERROR(IF(VLOOKUP($E857,Setup!$A$76:$C$87,3,FALSE)="",Setup!$B$15,VLOOKUP($E857,Setup!$A$76:$C$87,3,FALSE)),Setup!$B$15),2))</f>
        <v/>
      </c>
      <c r="P857" s="91" t="n"/>
      <c r="Q857" s="91" t="n"/>
      <c r="R857" s="91" t="n"/>
      <c r="S857" s="91" t="n"/>
      <c r="T857" s="91" t="n"/>
      <c r="U857" s="89">
        <f>IF($K857="","",SUM($R857:$T857))</f>
        <v/>
      </c>
      <c r="V857" s="89">
        <f>IF($K857="","",$M857-(N($N857)+N($O857)+IF($P857="",Setup!$B$17,$P857)+N($Q857))-N($U857))</f>
        <v/>
      </c>
      <c r="W857" s="86" t="n"/>
      <c r="X857" s="87" t="n"/>
      <c r="Z857" s="92">
        <f>IF($A857="","",DATE(YEAR($A857),MONTH($A857),1))</f>
        <v/>
      </c>
    </row>
    <row r="858">
      <c r="A858" s="93" t="n"/>
      <c r="B858" s="94" t="n"/>
      <c r="C858" s="94" t="n"/>
      <c r="D858" s="95" t="n"/>
      <c r="E858" s="95" t="n"/>
      <c r="F858" s="95" t="n"/>
      <c r="G858" s="95" t="n"/>
      <c r="H858" s="96" t="n"/>
      <c r="I858" s="89">
        <f>IF($G858="","",IF($F858="",IFERROR(INDEX(Setup!$C$21:$C$60,MATCH("|"&amp;UPPER(TRIM($G858)),Setup!$Q$21:$Q$60,0)),"NO RATE"),IFERROR(INDEX(Setup!$C$21:$C$60,MATCH(UPPER(TRIM($F858))&amp;"|"&amp;UPPER(TRIM($G858)),Setup!$P$21:$P$60,0)),IFERROR(INDEX(Setup!$C$21:$C$60,MATCH(UPPER(TRIM($G858))&amp;"|"&amp;UPPER(TRIM($F858)),Setup!$P$21:$P$60,0)),"NO RATE"))))</f>
        <v/>
      </c>
      <c r="J858" s="97" t="n"/>
      <c r="K858" s="89">
        <f>IF(OR($G858="",$H858="",NOT(ISNUMBER($I858))),"",ROUND($H858*$I858*(1+IF($J858="",Setup!$B$16,$J858)),2))</f>
        <v/>
      </c>
      <c r="L858" s="89">
        <f>IF($K858="","",ROUND($K858*Setup!$B$13,2))</f>
        <v/>
      </c>
      <c r="M858" s="89">
        <f>IF($K858="","",$K858-$L858)</f>
        <v/>
      </c>
      <c r="N858" s="89">
        <f>IF(OR($M858="",$D858=""),"",ROUND($M858*IFERROR(IF(VLOOKUP($D858,Setup!$A$76:$C$87,3,FALSE)="",Setup!$B$14,VLOOKUP($D858,Setup!$A$76:$C$87,3,FALSE)),Setup!$B$14),2))</f>
        <v/>
      </c>
      <c r="O858" s="89">
        <f>IF(OR($M858="",$E858=""),"",ROUND($M858*IFERROR(IF(VLOOKUP($E858,Setup!$A$76:$C$87,3,FALSE)="",Setup!$B$15,VLOOKUP($E858,Setup!$A$76:$C$87,3,FALSE)),Setup!$B$15),2))</f>
        <v/>
      </c>
      <c r="P858" s="98" t="n"/>
      <c r="Q858" s="98" t="n"/>
      <c r="R858" s="98" t="n"/>
      <c r="S858" s="98" t="n"/>
      <c r="T858" s="98" t="n"/>
      <c r="U858" s="89">
        <f>IF($K858="","",SUM($R858:$T858))</f>
        <v/>
      </c>
      <c r="V858" s="89">
        <f>IF($K858="","",$M858-(N($N858)+N($O858)+IF($P858="",Setup!$B$17,$P858)+N($Q858))-N($U858))</f>
        <v/>
      </c>
      <c r="W858" s="94" t="n"/>
      <c r="X858" s="95" t="n"/>
      <c r="Z858" s="92">
        <f>IF($A858="","",DATE(YEAR($A858),MONTH($A858),1))</f>
        <v/>
      </c>
    </row>
    <row r="859">
      <c r="A859" s="85" t="n"/>
      <c r="B859" s="86" t="n"/>
      <c r="C859" s="86" t="n"/>
      <c r="D859" s="87" t="n"/>
      <c r="E859" s="87" t="n"/>
      <c r="F859" s="87" t="n"/>
      <c r="G859" s="87" t="n"/>
      <c r="H859" s="88" t="n"/>
      <c r="I859" s="89">
        <f>IF($G859="","",IF($F859="",IFERROR(INDEX(Setup!$C$21:$C$60,MATCH("|"&amp;UPPER(TRIM($G859)),Setup!$Q$21:$Q$60,0)),"NO RATE"),IFERROR(INDEX(Setup!$C$21:$C$60,MATCH(UPPER(TRIM($F859))&amp;"|"&amp;UPPER(TRIM($G859)),Setup!$P$21:$P$60,0)),IFERROR(INDEX(Setup!$C$21:$C$60,MATCH(UPPER(TRIM($G859))&amp;"|"&amp;UPPER(TRIM($F859)),Setup!$P$21:$P$60,0)),"NO RATE"))))</f>
        <v/>
      </c>
      <c r="J859" s="90" t="n"/>
      <c r="K859" s="89">
        <f>IF(OR($G859="",$H859="",NOT(ISNUMBER($I859))),"",ROUND($H859*$I859*(1+IF($J859="",Setup!$B$16,$J859)),2))</f>
        <v/>
      </c>
      <c r="L859" s="89">
        <f>IF($K859="","",ROUND($K859*Setup!$B$13,2))</f>
        <v/>
      </c>
      <c r="M859" s="89">
        <f>IF($K859="","",$K859-$L859)</f>
        <v/>
      </c>
      <c r="N859" s="89">
        <f>IF(OR($M859="",$D859=""),"",ROUND($M859*IFERROR(IF(VLOOKUP($D859,Setup!$A$76:$C$87,3,FALSE)="",Setup!$B$14,VLOOKUP($D859,Setup!$A$76:$C$87,3,FALSE)),Setup!$B$14),2))</f>
        <v/>
      </c>
      <c r="O859" s="89">
        <f>IF(OR($M859="",$E859=""),"",ROUND($M859*IFERROR(IF(VLOOKUP($E859,Setup!$A$76:$C$87,3,FALSE)="",Setup!$B$15,VLOOKUP($E859,Setup!$A$76:$C$87,3,FALSE)),Setup!$B$15),2))</f>
        <v/>
      </c>
      <c r="P859" s="91" t="n"/>
      <c r="Q859" s="91" t="n"/>
      <c r="R859" s="91" t="n"/>
      <c r="S859" s="91" t="n"/>
      <c r="T859" s="91" t="n"/>
      <c r="U859" s="89">
        <f>IF($K859="","",SUM($R859:$T859))</f>
        <v/>
      </c>
      <c r="V859" s="89">
        <f>IF($K859="","",$M859-(N($N859)+N($O859)+IF($P859="",Setup!$B$17,$P859)+N($Q859))-N($U859))</f>
        <v/>
      </c>
      <c r="W859" s="86" t="n"/>
      <c r="X859" s="87" t="n"/>
      <c r="Z859" s="92">
        <f>IF($A859="","",DATE(YEAR($A859),MONTH($A859),1))</f>
        <v/>
      </c>
    </row>
    <row r="860">
      <c r="A860" s="93" t="n"/>
      <c r="B860" s="94" t="n"/>
      <c r="C860" s="94" t="n"/>
      <c r="D860" s="95" t="n"/>
      <c r="E860" s="95" t="n"/>
      <c r="F860" s="95" t="n"/>
      <c r="G860" s="95" t="n"/>
      <c r="H860" s="96" t="n"/>
      <c r="I860" s="89">
        <f>IF($G860="","",IF($F860="",IFERROR(INDEX(Setup!$C$21:$C$60,MATCH("|"&amp;UPPER(TRIM($G860)),Setup!$Q$21:$Q$60,0)),"NO RATE"),IFERROR(INDEX(Setup!$C$21:$C$60,MATCH(UPPER(TRIM($F860))&amp;"|"&amp;UPPER(TRIM($G860)),Setup!$P$21:$P$60,0)),IFERROR(INDEX(Setup!$C$21:$C$60,MATCH(UPPER(TRIM($G860))&amp;"|"&amp;UPPER(TRIM($F860)),Setup!$P$21:$P$60,0)),"NO RATE"))))</f>
        <v/>
      </c>
      <c r="J860" s="97" t="n"/>
      <c r="K860" s="89">
        <f>IF(OR($G860="",$H860="",NOT(ISNUMBER($I860))),"",ROUND($H860*$I860*(1+IF($J860="",Setup!$B$16,$J860)),2))</f>
        <v/>
      </c>
      <c r="L860" s="89">
        <f>IF($K860="","",ROUND($K860*Setup!$B$13,2))</f>
        <v/>
      </c>
      <c r="M860" s="89">
        <f>IF($K860="","",$K860-$L860)</f>
        <v/>
      </c>
      <c r="N860" s="89">
        <f>IF(OR($M860="",$D860=""),"",ROUND($M860*IFERROR(IF(VLOOKUP($D860,Setup!$A$76:$C$87,3,FALSE)="",Setup!$B$14,VLOOKUP($D860,Setup!$A$76:$C$87,3,FALSE)),Setup!$B$14),2))</f>
        <v/>
      </c>
      <c r="O860" s="89">
        <f>IF(OR($M860="",$E860=""),"",ROUND($M860*IFERROR(IF(VLOOKUP($E860,Setup!$A$76:$C$87,3,FALSE)="",Setup!$B$15,VLOOKUP($E860,Setup!$A$76:$C$87,3,FALSE)),Setup!$B$15),2))</f>
        <v/>
      </c>
      <c r="P860" s="98" t="n"/>
      <c r="Q860" s="98" t="n"/>
      <c r="R860" s="98" t="n"/>
      <c r="S860" s="98" t="n"/>
      <c r="T860" s="98" t="n"/>
      <c r="U860" s="89">
        <f>IF($K860="","",SUM($R860:$T860))</f>
        <v/>
      </c>
      <c r="V860" s="89">
        <f>IF($K860="","",$M860-(N($N860)+N($O860)+IF($P860="",Setup!$B$17,$P860)+N($Q860))-N($U860))</f>
        <v/>
      </c>
      <c r="W860" s="94" t="n"/>
      <c r="X860" s="95" t="n"/>
      <c r="Z860" s="92">
        <f>IF($A860="","",DATE(YEAR($A860),MONTH($A860),1))</f>
        <v/>
      </c>
    </row>
    <row r="861">
      <c r="A861" s="85" t="n"/>
      <c r="B861" s="86" t="n"/>
      <c r="C861" s="86" t="n"/>
      <c r="D861" s="87" t="n"/>
      <c r="E861" s="87" t="n"/>
      <c r="F861" s="87" t="n"/>
      <c r="G861" s="87" t="n"/>
      <c r="H861" s="88" t="n"/>
      <c r="I861" s="89">
        <f>IF($G861="","",IF($F861="",IFERROR(INDEX(Setup!$C$21:$C$60,MATCH("|"&amp;UPPER(TRIM($G861)),Setup!$Q$21:$Q$60,0)),"NO RATE"),IFERROR(INDEX(Setup!$C$21:$C$60,MATCH(UPPER(TRIM($F861))&amp;"|"&amp;UPPER(TRIM($G861)),Setup!$P$21:$P$60,0)),IFERROR(INDEX(Setup!$C$21:$C$60,MATCH(UPPER(TRIM($G861))&amp;"|"&amp;UPPER(TRIM($F861)),Setup!$P$21:$P$60,0)),"NO RATE"))))</f>
        <v/>
      </c>
      <c r="J861" s="90" t="n"/>
      <c r="K861" s="89">
        <f>IF(OR($G861="",$H861="",NOT(ISNUMBER($I861))),"",ROUND($H861*$I861*(1+IF($J861="",Setup!$B$16,$J861)),2))</f>
        <v/>
      </c>
      <c r="L861" s="89">
        <f>IF($K861="","",ROUND($K861*Setup!$B$13,2))</f>
        <v/>
      </c>
      <c r="M861" s="89">
        <f>IF($K861="","",$K861-$L861)</f>
        <v/>
      </c>
      <c r="N861" s="89">
        <f>IF(OR($M861="",$D861=""),"",ROUND($M861*IFERROR(IF(VLOOKUP($D861,Setup!$A$76:$C$87,3,FALSE)="",Setup!$B$14,VLOOKUP($D861,Setup!$A$76:$C$87,3,FALSE)),Setup!$B$14),2))</f>
        <v/>
      </c>
      <c r="O861" s="89">
        <f>IF(OR($M861="",$E861=""),"",ROUND($M861*IFERROR(IF(VLOOKUP($E861,Setup!$A$76:$C$87,3,FALSE)="",Setup!$B$15,VLOOKUP($E861,Setup!$A$76:$C$87,3,FALSE)),Setup!$B$15),2))</f>
        <v/>
      </c>
      <c r="P861" s="91" t="n"/>
      <c r="Q861" s="91" t="n"/>
      <c r="R861" s="91" t="n"/>
      <c r="S861" s="91" t="n"/>
      <c r="T861" s="91" t="n"/>
      <c r="U861" s="89">
        <f>IF($K861="","",SUM($R861:$T861))</f>
        <v/>
      </c>
      <c r="V861" s="89">
        <f>IF($K861="","",$M861-(N($N861)+N($O861)+IF($P861="",Setup!$B$17,$P861)+N($Q861))-N($U861))</f>
        <v/>
      </c>
      <c r="W861" s="86" t="n"/>
      <c r="X861" s="87" t="n"/>
      <c r="Z861" s="92">
        <f>IF($A861="","",DATE(YEAR($A861),MONTH($A861),1))</f>
        <v/>
      </c>
    </row>
    <row r="862">
      <c r="A862" s="93" t="n"/>
      <c r="B862" s="94" t="n"/>
      <c r="C862" s="94" t="n"/>
      <c r="D862" s="95" t="n"/>
      <c r="E862" s="95" t="n"/>
      <c r="F862" s="95" t="n"/>
      <c r="G862" s="95" t="n"/>
      <c r="H862" s="96" t="n"/>
      <c r="I862" s="89">
        <f>IF($G862="","",IF($F862="",IFERROR(INDEX(Setup!$C$21:$C$60,MATCH("|"&amp;UPPER(TRIM($G862)),Setup!$Q$21:$Q$60,0)),"NO RATE"),IFERROR(INDEX(Setup!$C$21:$C$60,MATCH(UPPER(TRIM($F862))&amp;"|"&amp;UPPER(TRIM($G862)),Setup!$P$21:$P$60,0)),IFERROR(INDEX(Setup!$C$21:$C$60,MATCH(UPPER(TRIM($G862))&amp;"|"&amp;UPPER(TRIM($F862)),Setup!$P$21:$P$60,0)),"NO RATE"))))</f>
        <v/>
      </c>
      <c r="J862" s="97" t="n"/>
      <c r="K862" s="89">
        <f>IF(OR($G862="",$H862="",NOT(ISNUMBER($I862))),"",ROUND($H862*$I862*(1+IF($J862="",Setup!$B$16,$J862)),2))</f>
        <v/>
      </c>
      <c r="L862" s="89">
        <f>IF($K862="","",ROUND($K862*Setup!$B$13,2))</f>
        <v/>
      </c>
      <c r="M862" s="89">
        <f>IF($K862="","",$K862-$L862)</f>
        <v/>
      </c>
      <c r="N862" s="89">
        <f>IF(OR($M862="",$D862=""),"",ROUND($M862*IFERROR(IF(VLOOKUP($D862,Setup!$A$76:$C$87,3,FALSE)="",Setup!$B$14,VLOOKUP($D862,Setup!$A$76:$C$87,3,FALSE)),Setup!$B$14),2))</f>
        <v/>
      </c>
      <c r="O862" s="89">
        <f>IF(OR($M862="",$E862=""),"",ROUND($M862*IFERROR(IF(VLOOKUP($E862,Setup!$A$76:$C$87,3,FALSE)="",Setup!$B$15,VLOOKUP($E862,Setup!$A$76:$C$87,3,FALSE)),Setup!$B$15),2))</f>
        <v/>
      </c>
      <c r="P862" s="98" t="n"/>
      <c r="Q862" s="98" t="n"/>
      <c r="R862" s="98" t="n"/>
      <c r="S862" s="98" t="n"/>
      <c r="T862" s="98" t="n"/>
      <c r="U862" s="89">
        <f>IF($K862="","",SUM($R862:$T862))</f>
        <v/>
      </c>
      <c r="V862" s="89">
        <f>IF($K862="","",$M862-(N($N862)+N($O862)+IF($P862="",Setup!$B$17,$P862)+N($Q862))-N($U862))</f>
        <v/>
      </c>
      <c r="W862" s="94" t="n"/>
      <c r="X862" s="95" t="n"/>
      <c r="Z862" s="92">
        <f>IF($A862="","",DATE(YEAR($A862),MONTH($A862),1))</f>
        <v/>
      </c>
    </row>
    <row r="863">
      <c r="A863" s="85" t="n"/>
      <c r="B863" s="86" t="n"/>
      <c r="C863" s="86" t="n"/>
      <c r="D863" s="87" t="n"/>
      <c r="E863" s="87" t="n"/>
      <c r="F863" s="87" t="n"/>
      <c r="G863" s="87" t="n"/>
      <c r="H863" s="88" t="n"/>
      <c r="I863" s="89">
        <f>IF($G863="","",IF($F863="",IFERROR(INDEX(Setup!$C$21:$C$60,MATCH("|"&amp;UPPER(TRIM($G863)),Setup!$Q$21:$Q$60,0)),"NO RATE"),IFERROR(INDEX(Setup!$C$21:$C$60,MATCH(UPPER(TRIM($F863))&amp;"|"&amp;UPPER(TRIM($G863)),Setup!$P$21:$P$60,0)),IFERROR(INDEX(Setup!$C$21:$C$60,MATCH(UPPER(TRIM($G863))&amp;"|"&amp;UPPER(TRIM($F863)),Setup!$P$21:$P$60,0)),"NO RATE"))))</f>
        <v/>
      </c>
      <c r="J863" s="90" t="n"/>
      <c r="K863" s="89">
        <f>IF(OR($G863="",$H863="",NOT(ISNUMBER($I863))),"",ROUND($H863*$I863*(1+IF($J863="",Setup!$B$16,$J863)),2))</f>
        <v/>
      </c>
      <c r="L863" s="89">
        <f>IF($K863="","",ROUND($K863*Setup!$B$13,2))</f>
        <v/>
      </c>
      <c r="M863" s="89">
        <f>IF($K863="","",$K863-$L863)</f>
        <v/>
      </c>
      <c r="N863" s="89">
        <f>IF(OR($M863="",$D863=""),"",ROUND($M863*IFERROR(IF(VLOOKUP($D863,Setup!$A$76:$C$87,3,FALSE)="",Setup!$B$14,VLOOKUP($D863,Setup!$A$76:$C$87,3,FALSE)),Setup!$B$14),2))</f>
        <v/>
      </c>
      <c r="O863" s="89">
        <f>IF(OR($M863="",$E863=""),"",ROUND($M863*IFERROR(IF(VLOOKUP($E863,Setup!$A$76:$C$87,3,FALSE)="",Setup!$B$15,VLOOKUP($E863,Setup!$A$76:$C$87,3,FALSE)),Setup!$B$15),2))</f>
        <v/>
      </c>
      <c r="P863" s="91" t="n"/>
      <c r="Q863" s="91" t="n"/>
      <c r="R863" s="91" t="n"/>
      <c r="S863" s="91" t="n"/>
      <c r="T863" s="91" t="n"/>
      <c r="U863" s="89">
        <f>IF($K863="","",SUM($R863:$T863))</f>
        <v/>
      </c>
      <c r="V863" s="89">
        <f>IF($K863="","",$M863-(N($N863)+N($O863)+IF($P863="",Setup!$B$17,$P863)+N($Q863))-N($U863))</f>
        <v/>
      </c>
      <c r="W863" s="86" t="n"/>
      <c r="X863" s="87" t="n"/>
      <c r="Z863" s="92">
        <f>IF($A863="","",DATE(YEAR($A863),MONTH($A863),1))</f>
        <v/>
      </c>
    </row>
    <row r="864">
      <c r="A864" s="93" t="n"/>
      <c r="B864" s="94" t="n"/>
      <c r="C864" s="94" t="n"/>
      <c r="D864" s="95" t="n"/>
      <c r="E864" s="95" t="n"/>
      <c r="F864" s="95" t="n"/>
      <c r="G864" s="95" t="n"/>
      <c r="H864" s="96" t="n"/>
      <c r="I864" s="89">
        <f>IF($G864="","",IF($F864="",IFERROR(INDEX(Setup!$C$21:$C$60,MATCH("|"&amp;UPPER(TRIM($G864)),Setup!$Q$21:$Q$60,0)),"NO RATE"),IFERROR(INDEX(Setup!$C$21:$C$60,MATCH(UPPER(TRIM($F864))&amp;"|"&amp;UPPER(TRIM($G864)),Setup!$P$21:$P$60,0)),IFERROR(INDEX(Setup!$C$21:$C$60,MATCH(UPPER(TRIM($G864))&amp;"|"&amp;UPPER(TRIM($F864)),Setup!$P$21:$P$60,0)),"NO RATE"))))</f>
        <v/>
      </c>
      <c r="J864" s="97" t="n"/>
      <c r="K864" s="89">
        <f>IF(OR($G864="",$H864="",NOT(ISNUMBER($I864))),"",ROUND($H864*$I864*(1+IF($J864="",Setup!$B$16,$J864)),2))</f>
        <v/>
      </c>
      <c r="L864" s="89">
        <f>IF($K864="","",ROUND($K864*Setup!$B$13,2))</f>
        <v/>
      </c>
      <c r="M864" s="89">
        <f>IF($K864="","",$K864-$L864)</f>
        <v/>
      </c>
      <c r="N864" s="89">
        <f>IF(OR($M864="",$D864=""),"",ROUND($M864*IFERROR(IF(VLOOKUP($D864,Setup!$A$76:$C$87,3,FALSE)="",Setup!$B$14,VLOOKUP($D864,Setup!$A$76:$C$87,3,FALSE)),Setup!$B$14),2))</f>
        <v/>
      </c>
      <c r="O864" s="89">
        <f>IF(OR($M864="",$E864=""),"",ROUND($M864*IFERROR(IF(VLOOKUP($E864,Setup!$A$76:$C$87,3,FALSE)="",Setup!$B$15,VLOOKUP($E864,Setup!$A$76:$C$87,3,FALSE)),Setup!$B$15),2))</f>
        <v/>
      </c>
      <c r="P864" s="98" t="n"/>
      <c r="Q864" s="98" t="n"/>
      <c r="R864" s="98" t="n"/>
      <c r="S864" s="98" t="n"/>
      <c r="T864" s="98" t="n"/>
      <c r="U864" s="89">
        <f>IF($K864="","",SUM($R864:$T864))</f>
        <v/>
      </c>
      <c r="V864" s="89">
        <f>IF($K864="","",$M864-(N($N864)+N($O864)+IF($P864="",Setup!$B$17,$P864)+N($Q864))-N($U864))</f>
        <v/>
      </c>
      <c r="W864" s="94" t="n"/>
      <c r="X864" s="95" t="n"/>
      <c r="Z864" s="92">
        <f>IF($A864="","",DATE(YEAR($A864),MONTH($A864),1))</f>
        <v/>
      </c>
    </row>
    <row r="865">
      <c r="A865" s="85" t="n"/>
      <c r="B865" s="86" t="n"/>
      <c r="C865" s="86" t="n"/>
      <c r="D865" s="87" t="n"/>
      <c r="E865" s="87" t="n"/>
      <c r="F865" s="87" t="n"/>
      <c r="G865" s="87" t="n"/>
      <c r="H865" s="88" t="n"/>
      <c r="I865" s="89">
        <f>IF($G865="","",IF($F865="",IFERROR(INDEX(Setup!$C$21:$C$60,MATCH("|"&amp;UPPER(TRIM($G865)),Setup!$Q$21:$Q$60,0)),"NO RATE"),IFERROR(INDEX(Setup!$C$21:$C$60,MATCH(UPPER(TRIM($F865))&amp;"|"&amp;UPPER(TRIM($G865)),Setup!$P$21:$P$60,0)),IFERROR(INDEX(Setup!$C$21:$C$60,MATCH(UPPER(TRIM($G865))&amp;"|"&amp;UPPER(TRIM($F865)),Setup!$P$21:$P$60,0)),"NO RATE"))))</f>
        <v/>
      </c>
      <c r="J865" s="90" t="n"/>
      <c r="K865" s="89">
        <f>IF(OR($G865="",$H865="",NOT(ISNUMBER($I865))),"",ROUND($H865*$I865*(1+IF($J865="",Setup!$B$16,$J865)),2))</f>
        <v/>
      </c>
      <c r="L865" s="89">
        <f>IF($K865="","",ROUND($K865*Setup!$B$13,2))</f>
        <v/>
      </c>
      <c r="M865" s="89">
        <f>IF($K865="","",$K865-$L865)</f>
        <v/>
      </c>
      <c r="N865" s="89">
        <f>IF(OR($M865="",$D865=""),"",ROUND($M865*IFERROR(IF(VLOOKUP($D865,Setup!$A$76:$C$87,3,FALSE)="",Setup!$B$14,VLOOKUP($D865,Setup!$A$76:$C$87,3,FALSE)),Setup!$B$14),2))</f>
        <v/>
      </c>
      <c r="O865" s="89">
        <f>IF(OR($M865="",$E865=""),"",ROUND($M865*IFERROR(IF(VLOOKUP($E865,Setup!$A$76:$C$87,3,FALSE)="",Setup!$B$15,VLOOKUP($E865,Setup!$A$76:$C$87,3,FALSE)),Setup!$B$15),2))</f>
        <v/>
      </c>
      <c r="P865" s="91" t="n"/>
      <c r="Q865" s="91" t="n"/>
      <c r="R865" s="91" t="n"/>
      <c r="S865" s="91" t="n"/>
      <c r="T865" s="91" t="n"/>
      <c r="U865" s="89">
        <f>IF($K865="","",SUM($R865:$T865))</f>
        <v/>
      </c>
      <c r="V865" s="89">
        <f>IF($K865="","",$M865-(N($N865)+N($O865)+IF($P865="",Setup!$B$17,$P865)+N($Q865))-N($U865))</f>
        <v/>
      </c>
      <c r="W865" s="86" t="n"/>
      <c r="X865" s="87" t="n"/>
      <c r="Z865" s="92">
        <f>IF($A865="","",DATE(YEAR($A865),MONTH($A865),1))</f>
        <v/>
      </c>
    </row>
    <row r="866">
      <c r="A866" s="93" t="n"/>
      <c r="B866" s="94" t="n"/>
      <c r="C866" s="94" t="n"/>
      <c r="D866" s="95" t="n"/>
      <c r="E866" s="95" t="n"/>
      <c r="F866" s="95" t="n"/>
      <c r="G866" s="95" t="n"/>
      <c r="H866" s="96" t="n"/>
      <c r="I866" s="89">
        <f>IF($G866="","",IF($F866="",IFERROR(INDEX(Setup!$C$21:$C$60,MATCH("|"&amp;UPPER(TRIM($G866)),Setup!$Q$21:$Q$60,0)),"NO RATE"),IFERROR(INDEX(Setup!$C$21:$C$60,MATCH(UPPER(TRIM($F866))&amp;"|"&amp;UPPER(TRIM($G866)),Setup!$P$21:$P$60,0)),IFERROR(INDEX(Setup!$C$21:$C$60,MATCH(UPPER(TRIM($G866))&amp;"|"&amp;UPPER(TRIM($F866)),Setup!$P$21:$P$60,0)),"NO RATE"))))</f>
        <v/>
      </c>
      <c r="J866" s="97" t="n"/>
      <c r="K866" s="89">
        <f>IF(OR($G866="",$H866="",NOT(ISNUMBER($I866))),"",ROUND($H866*$I866*(1+IF($J866="",Setup!$B$16,$J866)),2))</f>
        <v/>
      </c>
      <c r="L866" s="89">
        <f>IF($K866="","",ROUND($K866*Setup!$B$13,2))</f>
        <v/>
      </c>
      <c r="M866" s="89">
        <f>IF($K866="","",$K866-$L866)</f>
        <v/>
      </c>
      <c r="N866" s="89">
        <f>IF(OR($M866="",$D866=""),"",ROUND($M866*IFERROR(IF(VLOOKUP($D866,Setup!$A$76:$C$87,3,FALSE)="",Setup!$B$14,VLOOKUP($D866,Setup!$A$76:$C$87,3,FALSE)),Setup!$B$14),2))</f>
        <v/>
      </c>
      <c r="O866" s="89">
        <f>IF(OR($M866="",$E866=""),"",ROUND($M866*IFERROR(IF(VLOOKUP($E866,Setup!$A$76:$C$87,3,FALSE)="",Setup!$B$15,VLOOKUP($E866,Setup!$A$76:$C$87,3,FALSE)),Setup!$B$15),2))</f>
        <v/>
      </c>
      <c r="P866" s="98" t="n"/>
      <c r="Q866" s="98" t="n"/>
      <c r="R866" s="98" t="n"/>
      <c r="S866" s="98" t="n"/>
      <c r="T866" s="98" t="n"/>
      <c r="U866" s="89">
        <f>IF($K866="","",SUM($R866:$T866))</f>
        <v/>
      </c>
      <c r="V866" s="89">
        <f>IF($K866="","",$M866-(N($N866)+N($O866)+IF($P866="",Setup!$B$17,$P866)+N($Q866))-N($U866))</f>
        <v/>
      </c>
      <c r="W866" s="94" t="n"/>
      <c r="X866" s="95" t="n"/>
      <c r="Z866" s="92">
        <f>IF($A866="","",DATE(YEAR($A866),MONTH($A866),1))</f>
        <v/>
      </c>
    </row>
    <row r="867">
      <c r="A867" s="85" t="n"/>
      <c r="B867" s="86" t="n"/>
      <c r="C867" s="86" t="n"/>
      <c r="D867" s="87" t="n"/>
      <c r="E867" s="87" t="n"/>
      <c r="F867" s="87" t="n"/>
      <c r="G867" s="87" t="n"/>
      <c r="H867" s="88" t="n"/>
      <c r="I867" s="89">
        <f>IF($G867="","",IF($F867="",IFERROR(INDEX(Setup!$C$21:$C$60,MATCH("|"&amp;UPPER(TRIM($G867)),Setup!$Q$21:$Q$60,0)),"NO RATE"),IFERROR(INDEX(Setup!$C$21:$C$60,MATCH(UPPER(TRIM($F867))&amp;"|"&amp;UPPER(TRIM($G867)),Setup!$P$21:$P$60,0)),IFERROR(INDEX(Setup!$C$21:$C$60,MATCH(UPPER(TRIM($G867))&amp;"|"&amp;UPPER(TRIM($F867)),Setup!$P$21:$P$60,0)),"NO RATE"))))</f>
        <v/>
      </c>
      <c r="J867" s="90" t="n"/>
      <c r="K867" s="89">
        <f>IF(OR($G867="",$H867="",NOT(ISNUMBER($I867))),"",ROUND($H867*$I867*(1+IF($J867="",Setup!$B$16,$J867)),2))</f>
        <v/>
      </c>
      <c r="L867" s="89">
        <f>IF($K867="","",ROUND($K867*Setup!$B$13,2))</f>
        <v/>
      </c>
      <c r="M867" s="89">
        <f>IF($K867="","",$K867-$L867)</f>
        <v/>
      </c>
      <c r="N867" s="89">
        <f>IF(OR($M867="",$D867=""),"",ROUND($M867*IFERROR(IF(VLOOKUP($D867,Setup!$A$76:$C$87,3,FALSE)="",Setup!$B$14,VLOOKUP($D867,Setup!$A$76:$C$87,3,FALSE)),Setup!$B$14),2))</f>
        <v/>
      </c>
      <c r="O867" s="89">
        <f>IF(OR($M867="",$E867=""),"",ROUND($M867*IFERROR(IF(VLOOKUP($E867,Setup!$A$76:$C$87,3,FALSE)="",Setup!$B$15,VLOOKUP($E867,Setup!$A$76:$C$87,3,FALSE)),Setup!$B$15),2))</f>
        <v/>
      </c>
      <c r="P867" s="91" t="n"/>
      <c r="Q867" s="91" t="n"/>
      <c r="R867" s="91" t="n"/>
      <c r="S867" s="91" t="n"/>
      <c r="T867" s="91" t="n"/>
      <c r="U867" s="89">
        <f>IF($K867="","",SUM($R867:$T867))</f>
        <v/>
      </c>
      <c r="V867" s="89">
        <f>IF($K867="","",$M867-(N($N867)+N($O867)+IF($P867="",Setup!$B$17,$P867)+N($Q867))-N($U867))</f>
        <v/>
      </c>
      <c r="W867" s="86" t="n"/>
      <c r="X867" s="87" t="n"/>
      <c r="Z867" s="92">
        <f>IF($A867="","",DATE(YEAR($A867),MONTH($A867),1))</f>
        <v/>
      </c>
    </row>
    <row r="868">
      <c r="A868" s="93" t="n"/>
      <c r="B868" s="94" t="n"/>
      <c r="C868" s="94" t="n"/>
      <c r="D868" s="95" t="n"/>
      <c r="E868" s="95" t="n"/>
      <c r="F868" s="95" t="n"/>
      <c r="G868" s="95" t="n"/>
      <c r="H868" s="96" t="n"/>
      <c r="I868" s="89">
        <f>IF($G868="","",IF($F868="",IFERROR(INDEX(Setup!$C$21:$C$60,MATCH("|"&amp;UPPER(TRIM($G868)),Setup!$Q$21:$Q$60,0)),"NO RATE"),IFERROR(INDEX(Setup!$C$21:$C$60,MATCH(UPPER(TRIM($F868))&amp;"|"&amp;UPPER(TRIM($G868)),Setup!$P$21:$P$60,0)),IFERROR(INDEX(Setup!$C$21:$C$60,MATCH(UPPER(TRIM($G868))&amp;"|"&amp;UPPER(TRIM($F868)),Setup!$P$21:$P$60,0)),"NO RATE"))))</f>
        <v/>
      </c>
      <c r="J868" s="97" t="n"/>
      <c r="K868" s="89">
        <f>IF(OR($G868="",$H868="",NOT(ISNUMBER($I868))),"",ROUND($H868*$I868*(1+IF($J868="",Setup!$B$16,$J868)),2))</f>
        <v/>
      </c>
      <c r="L868" s="89">
        <f>IF($K868="","",ROUND($K868*Setup!$B$13,2))</f>
        <v/>
      </c>
      <c r="M868" s="89">
        <f>IF($K868="","",$K868-$L868)</f>
        <v/>
      </c>
      <c r="N868" s="89">
        <f>IF(OR($M868="",$D868=""),"",ROUND($M868*IFERROR(IF(VLOOKUP($D868,Setup!$A$76:$C$87,3,FALSE)="",Setup!$B$14,VLOOKUP($D868,Setup!$A$76:$C$87,3,FALSE)),Setup!$B$14),2))</f>
        <v/>
      </c>
      <c r="O868" s="89">
        <f>IF(OR($M868="",$E868=""),"",ROUND($M868*IFERROR(IF(VLOOKUP($E868,Setup!$A$76:$C$87,3,FALSE)="",Setup!$B$15,VLOOKUP($E868,Setup!$A$76:$C$87,3,FALSE)),Setup!$B$15),2))</f>
        <v/>
      </c>
      <c r="P868" s="98" t="n"/>
      <c r="Q868" s="98" t="n"/>
      <c r="R868" s="98" t="n"/>
      <c r="S868" s="98" t="n"/>
      <c r="T868" s="98" t="n"/>
      <c r="U868" s="89">
        <f>IF($K868="","",SUM($R868:$T868))</f>
        <v/>
      </c>
      <c r="V868" s="89">
        <f>IF($K868="","",$M868-(N($N868)+N($O868)+IF($P868="",Setup!$B$17,$P868)+N($Q868))-N($U868))</f>
        <v/>
      </c>
      <c r="W868" s="94" t="n"/>
      <c r="X868" s="95" t="n"/>
      <c r="Z868" s="92">
        <f>IF($A868="","",DATE(YEAR($A868),MONTH($A868),1))</f>
        <v/>
      </c>
    </row>
    <row r="869">
      <c r="A869" s="85" t="n"/>
      <c r="B869" s="86" t="n"/>
      <c r="C869" s="86" t="n"/>
      <c r="D869" s="87" t="n"/>
      <c r="E869" s="87" t="n"/>
      <c r="F869" s="87" t="n"/>
      <c r="G869" s="87" t="n"/>
      <c r="H869" s="88" t="n"/>
      <c r="I869" s="89">
        <f>IF($G869="","",IF($F869="",IFERROR(INDEX(Setup!$C$21:$C$60,MATCH("|"&amp;UPPER(TRIM($G869)),Setup!$Q$21:$Q$60,0)),"NO RATE"),IFERROR(INDEX(Setup!$C$21:$C$60,MATCH(UPPER(TRIM($F869))&amp;"|"&amp;UPPER(TRIM($G869)),Setup!$P$21:$P$60,0)),IFERROR(INDEX(Setup!$C$21:$C$60,MATCH(UPPER(TRIM($G869))&amp;"|"&amp;UPPER(TRIM($F869)),Setup!$P$21:$P$60,0)),"NO RATE"))))</f>
        <v/>
      </c>
      <c r="J869" s="90" t="n"/>
      <c r="K869" s="89">
        <f>IF(OR($G869="",$H869="",NOT(ISNUMBER($I869))),"",ROUND($H869*$I869*(1+IF($J869="",Setup!$B$16,$J869)),2))</f>
        <v/>
      </c>
      <c r="L869" s="89">
        <f>IF($K869="","",ROUND($K869*Setup!$B$13,2))</f>
        <v/>
      </c>
      <c r="M869" s="89">
        <f>IF($K869="","",$K869-$L869)</f>
        <v/>
      </c>
      <c r="N869" s="89">
        <f>IF(OR($M869="",$D869=""),"",ROUND($M869*IFERROR(IF(VLOOKUP($D869,Setup!$A$76:$C$87,3,FALSE)="",Setup!$B$14,VLOOKUP($D869,Setup!$A$76:$C$87,3,FALSE)),Setup!$B$14),2))</f>
        <v/>
      </c>
      <c r="O869" s="89">
        <f>IF(OR($M869="",$E869=""),"",ROUND($M869*IFERROR(IF(VLOOKUP($E869,Setup!$A$76:$C$87,3,FALSE)="",Setup!$B$15,VLOOKUP($E869,Setup!$A$76:$C$87,3,FALSE)),Setup!$B$15),2))</f>
        <v/>
      </c>
      <c r="P869" s="91" t="n"/>
      <c r="Q869" s="91" t="n"/>
      <c r="R869" s="91" t="n"/>
      <c r="S869" s="91" t="n"/>
      <c r="T869" s="91" t="n"/>
      <c r="U869" s="89">
        <f>IF($K869="","",SUM($R869:$T869))</f>
        <v/>
      </c>
      <c r="V869" s="89">
        <f>IF($K869="","",$M869-(N($N869)+N($O869)+IF($P869="",Setup!$B$17,$P869)+N($Q869))-N($U869))</f>
        <v/>
      </c>
      <c r="W869" s="86" t="n"/>
      <c r="X869" s="87" t="n"/>
      <c r="Z869" s="92">
        <f>IF($A869="","",DATE(YEAR($A869),MONTH($A869),1))</f>
        <v/>
      </c>
    </row>
    <row r="870">
      <c r="A870" s="93" t="n"/>
      <c r="B870" s="94" t="n"/>
      <c r="C870" s="94" t="n"/>
      <c r="D870" s="95" t="n"/>
      <c r="E870" s="95" t="n"/>
      <c r="F870" s="95" t="n"/>
      <c r="G870" s="95" t="n"/>
      <c r="H870" s="96" t="n"/>
      <c r="I870" s="89">
        <f>IF($G870="","",IF($F870="",IFERROR(INDEX(Setup!$C$21:$C$60,MATCH("|"&amp;UPPER(TRIM($G870)),Setup!$Q$21:$Q$60,0)),"NO RATE"),IFERROR(INDEX(Setup!$C$21:$C$60,MATCH(UPPER(TRIM($F870))&amp;"|"&amp;UPPER(TRIM($G870)),Setup!$P$21:$P$60,0)),IFERROR(INDEX(Setup!$C$21:$C$60,MATCH(UPPER(TRIM($G870))&amp;"|"&amp;UPPER(TRIM($F870)),Setup!$P$21:$P$60,0)),"NO RATE"))))</f>
        <v/>
      </c>
      <c r="J870" s="97" t="n"/>
      <c r="K870" s="89">
        <f>IF(OR($G870="",$H870="",NOT(ISNUMBER($I870))),"",ROUND($H870*$I870*(1+IF($J870="",Setup!$B$16,$J870)),2))</f>
        <v/>
      </c>
      <c r="L870" s="89">
        <f>IF($K870="","",ROUND($K870*Setup!$B$13,2))</f>
        <v/>
      </c>
      <c r="M870" s="89">
        <f>IF($K870="","",$K870-$L870)</f>
        <v/>
      </c>
      <c r="N870" s="89">
        <f>IF(OR($M870="",$D870=""),"",ROUND($M870*IFERROR(IF(VLOOKUP($D870,Setup!$A$76:$C$87,3,FALSE)="",Setup!$B$14,VLOOKUP($D870,Setup!$A$76:$C$87,3,FALSE)),Setup!$B$14),2))</f>
        <v/>
      </c>
      <c r="O870" s="89">
        <f>IF(OR($M870="",$E870=""),"",ROUND($M870*IFERROR(IF(VLOOKUP($E870,Setup!$A$76:$C$87,3,FALSE)="",Setup!$B$15,VLOOKUP($E870,Setup!$A$76:$C$87,3,FALSE)),Setup!$B$15),2))</f>
        <v/>
      </c>
      <c r="P870" s="98" t="n"/>
      <c r="Q870" s="98" t="n"/>
      <c r="R870" s="98" t="n"/>
      <c r="S870" s="98" t="n"/>
      <c r="T870" s="98" t="n"/>
      <c r="U870" s="89">
        <f>IF($K870="","",SUM($R870:$T870))</f>
        <v/>
      </c>
      <c r="V870" s="89">
        <f>IF($K870="","",$M870-(N($N870)+N($O870)+IF($P870="",Setup!$B$17,$P870)+N($Q870))-N($U870))</f>
        <v/>
      </c>
      <c r="W870" s="94" t="n"/>
      <c r="X870" s="95" t="n"/>
      <c r="Z870" s="92">
        <f>IF($A870="","",DATE(YEAR($A870),MONTH($A870),1))</f>
        <v/>
      </c>
    </row>
    <row r="871">
      <c r="A871" s="85" t="n"/>
      <c r="B871" s="86" t="n"/>
      <c r="C871" s="86" t="n"/>
      <c r="D871" s="87" t="n"/>
      <c r="E871" s="87" t="n"/>
      <c r="F871" s="87" t="n"/>
      <c r="G871" s="87" t="n"/>
      <c r="H871" s="88" t="n"/>
      <c r="I871" s="89">
        <f>IF($G871="","",IF($F871="",IFERROR(INDEX(Setup!$C$21:$C$60,MATCH("|"&amp;UPPER(TRIM($G871)),Setup!$Q$21:$Q$60,0)),"NO RATE"),IFERROR(INDEX(Setup!$C$21:$C$60,MATCH(UPPER(TRIM($F871))&amp;"|"&amp;UPPER(TRIM($G871)),Setup!$P$21:$P$60,0)),IFERROR(INDEX(Setup!$C$21:$C$60,MATCH(UPPER(TRIM($G871))&amp;"|"&amp;UPPER(TRIM($F871)),Setup!$P$21:$P$60,0)),"NO RATE"))))</f>
        <v/>
      </c>
      <c r="J871" s="90" t="n"/>
      <c r="K871" s="89">
        <f>IF(OR($G871="",$H871="",NOT(ISNUMBER($I871))),"",ROUND($H871*$I871*(1+IF($J871="",Setup!$B$16,$J871)),2))</f>
        <v/>
      </c>
      <c r="L871" s="89">
        <f>IF($K871="","",ROUND($K871*Setup!$B$13,2))</f>
        <v/>
      </c>
      <c r="M871" s="89">
        <f>IF($K871="","",$K871-$L871)</f>
        <v/>
      </c>
      <c r="N871" s="89">
        <f>IF(OR($M871="",$D871=""),"",ROUND($M871*IFERROR(IF(VLOOKUP($D871,Setup!$A$76:$C$87,3,FALSE)="",Setup!$B$14,VLOOKUP($D871,Setup!$A$76:$C$87,3,FALSE)),Setup!$B$14),2))</f>
        <v/>
      </c>
      <c r="O871" s="89">
        <f>IF(OR($M871="",$E871=""),"",ROUND($M871*IFERROR(IF(VLOOKUP($E871,Setup!$A$76:$C$87,3,FALSE)="",Setup!$B$15,VLOOKUP($E871,Setup!$A$76:$C$87,3,FALSE)),Setup!$B$15),2))</f>
        <v/>
      </c>
      <c r="P871" s="91" t="n"/>
      <c r="Q871" s="91" t="n"/>
      <c r="R871" s="91" t="n"/>
      <c r="S871" s="91" t="n"/>
      <c r="T871" s="91" t="n"/>
      <c r="U871" s="89">
        <f>IF($K871="","",SUM($R871:$T871))</f>
        <v/>
      </c>
      <c r="V871" s="89">
        <f>IF($K871="","",$M871-(N($N871)+N($O871)+IF($P871="",Setup!$B$17,$P871)+N($Q871))-N($U871))</f>
        <v/>
      </c>
      <c r="W871" s="86" t="n"/>
      <c r="X871" s="87" t="n"/>
      <c r="Z871" s="92">
        <f>IF($A871="","",DATE(YEAR($A871),MONTH($A871),1))</f>
        <v/>
      </c>
    </row>
    <row r="872">
      <c r="A872" s="93" t="n"/>
      <c r="B872" s="94" t="n"/>
      <c r="C872" s="94" t="n"/>
      <c r="D872" s="95" t="n"/>
      <c r="E872" s="95" t="n"/>
      <c r="F872" s="95" t="n"/>
      <c r="G872" s="95" t="n"/>
      <c r="H872" s="96" t="n"/>
      <c r="I872" s="89">
        <f>IF($G872="","",IF($F872="",IFERROR(INDEX(Setup!$C$21:$C$60,MATCH("|"&amp;UPPER(TRIM($G872)),Setup!$Q$21:$Q$60,0)),"NO RATE"),IFERROR(INDEX(Setup!$C$21:$C$60,MATCH(UPPER(TRIM($F872))&amp;"|"&amp;UPPER(TRIM($G872)),Setup!$P$21:$P$60,0)),IFERROR(INDEX(Setup!$C$21:$C$60,MATCH(UPPER(TRIM($G872))&amp;"|"&amp;UPPER(TRIM($F872)),Setup!$P$21:$P$60,0)),"NO RATE"))))</f>
        <v/>
      </c>
      <c r="J872" s="97" t="n"/>
      <c r="K872" s="89">
        <f>IF(OR($G872="",$H872="",NOT(ISNUMBER($I872))),"",ROUND($H872*$I872*(1+IF($J872="",Setup!$B$16,$J872)),2))</f>
        <v/>
      </c>
      <c r="L872" s="89">
        <f>IF($K872="","",ROUND($K872*Setup!$B$13,2))</f>
        <v/>
      </c>
      <c r="M872" s="89">
        <f>IF($K872="","",$K872-$L872)</f>
        <v/>
      </c>
      <c r="N872" s="89">
        <f>IF(OR($M872="",$D872=""),"",ROUND($M872*IFERROR(IF(VLOOKUP($D872,Setup!$A$76:$C$87,3,FALSE)="",Setup!$B$14,VLOOKUP($D872,Setup!$A$76:$C$87,3,FALSE)),Setup!$B$14),2))</f>
        <v/>
      </c>
      <c r="O872" s="89">
        <f>IF(OR($M872="",$E872=""),"",ROUND($M872*IFERROR(IF(VLOOKUP($E872,Setup!$A$76:$C$87,3,FALSE)="",Setup!$B$15,VLOOKUP($E872,Setup!$A$76:$C$87,3,FALSE)),Setup!$B$15),2))</f>
        <v/>
      </c>
      <c r="P872" s="98" t="n"/>
      <c r="Q872" s="98" t="n"/>
      <c r="R872" s="98" t="n"/>
      <c r="S872" s="98" t="n"/>
      <c r="T872" s="98" t="n"/>
      <c r="U872" s="89">
        <f>IF($K872="","",SUM($R872:$T872))</f>
        <v/>
      </c>
      <c r="V872" s="89">
        <f>IF($K872="","",$M872-(N($N872)+N($O872)+IF($P872="",Setup!$B$17,$P872)+N($Q872))-N($U872))</f>
        <v/>
      </c>
      <c r="W872" s="94" t="n"/>
      <c r="X872" s="95" t="n"/>
      <c r="Z872" s="92">
        <f>IF($A872="","",DATE(YEAR($A872),MONTH($A872),1))</f>
        <v/>
      </c>
    </row>
    <row r="873">
      <c r="A873" s="85" t="n"/>
      <c r="B873" s="86" t="n"/>
      <c r="C873" s="86" t="n"/>
      <c r="D873" s="87" t="n"/>
      <c r="E873" s="87" t="n"/>
      <c r="F873" s="87" t="n"/>
      <c r="G873" s="87" t="n"/>
      <c r="H873" s="88" t="n"/>
      <c r="I873" s="89">
        <f>IF($G873="","",IF($F873="",IFERROR(INDEX(Setup!$C$21:$C$60,MATCH("|"&amp;UPPER(TRIM($G873)),Setup!$Q$21:$Q$60,0)),"NO RATE"),IFERROR(INDEX(Setup!$C$21:$C$60,MATCH(UPPER(TRIM($F873))&amp;"|"&amp;UPPER(TRIM($G873)),Setup!$P$21:$P$60,0)),IFERROR(INDEX(Setup!$C$21:$C$60,MATCH(UPPER(TRIM($G873))&amp;"|"&amp;UPPER(TRIM($F873)),Setup!$P$21:$P$60,0)),"NO RATE"))))</f>
        <v/>
      </c>
      <c r="J873" s="90" t="n"/>
      <c r="K873" s="89">
        <f>IF(OR($G873="",$H873="",NOT(ISNUMBER($I873))),"",ROUND($H873*$I873*(1+IF($J873="",Setup!$B$16,$J873)),2))</f>
        <v/>
      </c>
      <c r="L873" s="89">
        <f>IF($K873="","",ROUND($K873*Setup!$B$13,2))</f>
        <v/>
      </c>
      <c r="M873" s="89">
        <f>IF($K873="","",$K873-$L873)</f>
        <v/>
      </c>
      <c r="N873" s="89">
        <f>IF(OR($M873="",$D873=""),"",ROUND($M873*IFERROR(IF(VLOOKUP($D873,Setup!$A$76:$C$87,3,FALSE)="",Setup!$B$14,VLOOKUP($D873,Setup!$A$76:$C$87,3,FALSE)),Setup!$B$14),2))</f>
        <v/>
      </c>
      <c r="O873" s="89">
        <f>IF(OR($M873="",$E873=""),"",ROUND($M873*IFERROR(IF(VLOOKUP($E873,Setup!$A$76:$C$87,3,FALSE)="",Setup!$B$15,VLOOKUP($E873,Setup!$A$76:$C$87,3,FALSE)),Setup!$B$15),2))</f>
        <v/>
      </c>
      <c r="P873" s="91" t="n"/>
      <c r="Q873" s="91" t="n"/>
      <c r="R873" s="91" t="n"/>
      <c r="S873" s="91" t="n"/>
      <c r="T873" s="91" t="n"/>
      <c r="U873" s="89">
        <f>IF($K873="","",SUM($R873:$T873))</f>
        <v/>
      </c>
      <c r="V873" s="89">
        <f>IF($K873="","",$M873-(N($N873)+N($O873)+IF($P873="",Setup!$B$17,$P873)+N($Q873))-N($U873))</f>
        <v/>
      </c>
      <c r="W873" s="86" t="n"/>
      <c r="X873" s="87" t="n"/>
      <c r="Z873" s="92">
        <f>IF($A873="","",DATE(YEAR($A873),MONTH($A873),1))</f>
        <v/>
      </c>
    </row>
    <row r="874">
      <c r="A874" s="93" t="n"/>
      <c r="B874" s="94" t="n"/>
      <c r="C874" s="94" t="n"/>
      <c r="D874" s="95" t="n"/>
      <c r="E874" s="95" t="n"/>
      <c r="F874" s="95" t="n"/>
      <c r="G874" s="95" t="n"/>
      <c r="H874" s="96" t="n"/>
      <c r="I874" s="89">
        <f>IF($G874="","",IF($F874="",IFERROR(INDEX(Setup!$C$21:$C$60,MATCH("|"&amp;UPPER(TRIM($G874)),Setup!$Q$21:$Q$60,0)),"NO RATE"),IFERROR(INDEX(Setup!$C$21:$C$60,MATCH(UPPER(TRIM($F874))&amp;"|"&amp;UPPER(TRIM($G874)),Setup!$P$21:$P$60,0)),IFERROR(INDEX(Setup!$C$21:$C$60,MATCH(UPPER(TRIM($G874))&amp;"|"&amp;UPPER(TRIM($F874)),Setup!$P$21:$P$60,0)),"NO RATE"))))</f>
        <v/>
      </c>
      <c r="J874" s="97" t="n"/>
      <c r="K874" s="89">
        <f>IF(OR($G874="",$H874="",NOT(ISNUMBER($I874))),"",ROUND($H874*$I874*(1+IF($J874="",Setup!$B$16,$J874)),2))</f>
        <v/>
      </c>
      <c r="L874" s="89">
        <f>IF($K874="","",ROUND($K874*Setup!$B$13,2))</f>
        <v/>
      </c>
      <c r="M874" s="89">
        <f>IF($K874="","",$K874-$L874)</f>
        <v/>
      </c>
      <c r="N874" s="89">
        <f>IF(OR($M874="",$D874=""),"",ROUND($M874*IFERROR(IF(VLOOKUP($D874,Setup!$A$76:$C$87,3,FALSE)="",Setup!$B$14,VLOOKUP($D874,Setup!$A$76:$C$87,3,FALSE)),Setup!$B$14),2))</f>
        <v/>
      </c>
      <c r="O874" s="89">
        <f>IF(OR($M874="",$E874=""),"",ROUND($M874*IFERROR(IF(VLOOKUP($E874,Setup!$A$76:$C$87,3,FALSE)="",Setup!$B$15,VLOOKUP($E874,Setup!$A$76:$C$87,3,FALSE)),Setup!$B$15),2))</f>
        <v/>
      </c>
      <c r="P874" s="98" t="n"/>
      <c r="Q874" s="98" t="n"/>
      <c r="R874" s="98" t="n"/>
      <c r="S874" s="98" t="n"/>
      <c r="T874" s="98" t="n"/>
      <c r="U874" s="89">
        <f>IF($K874="","",SUM($R874:$T874))</f>
        <v/>
      </c>
      <c r="V874" s="89">
        <f>IF($K874="","",$M874-(N($N874)+N($O874)+IF($P874="",Setup!$B$17,$P874)+N($Q874))-N($U874))</f>
        <v/>
      </c>
      <c r="W874" s="94" t="n"/>
      <c r="X874" s="95" t="n"/>
      <c r="Z874" s="92">
        <f>IF($A874="","",DATE(YEAR($A874),MONTH($A874),1))</f>
        <v/>
      </c>
    </row>
    <row r="875">
      <c r="A875" s="85" t="n"/>
      <c r="B875" s="86" t="n"/>
      <c r="C875" s="86" t="n"/>
      <c r="D875" s="87" t="n"/>
      <c r="E875" s="87" t="n"/>
      <c r="F875" s="87" t="n"/>
      <c r="G875" s="87" t="n"/>
      <c r="H875" s="88" t="n"/>
      <c r="I875" s="89">
        <f>IF($G875="","",IF($F875="",IFERROR(INDEX(Setup!$C$21:$C$60,MATCH("|"&amp;UPPER(TRIM($G875)),Setup!$Q$21:$Q$60,0)),"NO RATE"),IFERROR(INDEX(Setup!$C$21:$C$60,MATCH(UPPER(TRIM($F875))&amp;"|"&amp;UPPER(TRIM($G875)),Setup!$P$21:$P$60,0)),IFERROR(INDEX(Setup!$C$21:$C$60,MATCH(UPPER(TRIM($G875))&amp;"|"&amp;UPPER(TRIM($F875)),Setup!$P$21:$P$60,0)),"NO RATE"))))</f>
        <v/>
      </c>
      <c r="J875" s="90" t="n"/>
      <c r="K875" s="89">
        <f>IF(OR($G875="",$H875="",NOT(ISNUMBER($I875))),"",ROUND($H875*$I875*(1+IF($J875="",Setup!$B$16,$J875)),2))</f>
        <v/>
      </c>
      <c r="L875" s="89">
        <f>IF($K875="","",ROUND($K875*Setup!$B$13,2))</f>
        <v/>
      </c>
      <c r="M875" s="89">
        <f>IF($K875="","",$K875-$L875)</f>
        <v/>
      </c>
      <c r="N875" s="89">
        <f>IF(OR($M875="",$D875=""),"",ROUND($M875*IFERROR(IF(VLOOKUP($D875,Setup!$A$76:$C$87,3,FALSE)="",Setup!$B$14,VLOOKUP($D875,Setup!$A$76:$C$87,3,FALSE)),Setup!$B$14),2))</f>
        <v/>
      </c>
      <c r="O875" s="89">
        <f>IF(OR($M875="",$E875=""),"",ROUND($M875*IFERROR(IF(VLOOKUP($E875,Setup!$A$76:$C$87,3,FALSE)="",Setup!$B$15,VLOOKUP($E875,Setup!$A$76:$C$87,3,FALSE)),Setup!$B$15),2))</f>
        <v/>
      </c>
      <c r="P875" s="91" t="n"/>
      <c r="Q875" s="91" t="n"/>
      <c r="R875" s="91" t="n"/>
      <c r="S875" s="91" t="n"/>
      <c r="T875" s="91" t="n"/>
      <c r="U875" s="89">
        <f>IF($K875="","",SUM($R875:$T875))</f>
        <v/>
      </c>
      <c r="V875" s="89">
        <f>IF($K875="","",$M875-(N($N875)+N($O875)+IF($P875="",Setup!$B$17,$P875)+N($Q875))-N($U875))</f>
        <v/>
      </c>
      <c r="W875" s="86" t="n"/>
      <c r="X875" s="87" t="n"/>
      <c r="Z875" s="92">
        <f>IF($A875="","",DATE(YEAR($A875),MONTH($A875),1))</f>
        <v/>
      </c>
    </row>
    <row r="876">
      <c r="A876" s="93" t="n"/>
      <c r="B876" s="94" t="n"/>
      <c r="C876" s="94" t="n"/>
      <c r="D876" s="95" t="n"/>
      <c r="E876" s="95" t="n"/>
      <c r="F876" s="95" t="n"/>
      <c r="G876" s="95" t="n"/>
      <c r="H876" s="96" t="n"/>
      <c r="I876" s="89">
        <f>IF($G876="","",IF($F876="",IFERROR(INDEX(Setup!$C$21:$C$60,MATCH("|"&amp;UPPER(TRIM($G876)),Setup!$Q$21:$Q$60,0)),"NO RATE"),IFERROR(INDEX(Setup!$C$21:$C$60,MATCH(UPPER(TRIM($F876))&amp;"|"&amp;UPPER(TRIM($G876)),Setup!$P$21:$P$60,0)),IFERROR(INDEX(Setup!$C$21:$C$60,MATCH(UPPER(TRIM($G876))&amp;"|"&amp;UPPER(TRIM($F876)),Setup!$P$21:$P$60,0)),"NO RATE"))))</f>
        <v/>
      </c>
      <c r="J876" s="97" t="n"/>
      <c r="K876" s="89">
        <f>IF(OR($G876="",$H876="",NOT(ISNUMBER($I876))),"",ROUND($H876*$I876*(1+IF($J876="",Setup!$B$16,$J876)),2))</f>
        <v/>
      </c>
      <c r="L876" s="89">
        <f>IF($K876="","",ROUND($K876*Setup!$B$13,2))</f>
        <v/>
      </c>
      <c r="M876" s="89">
        <f>IF($K876="","",$K876-$L876)</f>
        <v/>
      </c>
      <c r="N876" s="89">
        <f>IF(OR($M876="",$D876=""),"",ROUND($M876*IFERROR(IF(VLOOKUP($D876,Setup!$A$76:$C$87,3,FALSE)="",Setup!$B$14,VLOOKUP($D876,Setup!$A$76:$C$87,3,FALSE)),Setup!$B$14),2))</f>
        <v/>
      </c>
      <c r="O876" s="89">
        <f>IF(OR($M876="",$E876=""),"",ROUND($M876*IFERROR(IF(VLOOKUP($E876,Setup!$A$76:$C$87,3,FALSE)="",Setup!$B$15,VLOOKUP($E876,Setup!$A$76:$C$87,3,FALSE)),Setup!$B$15),2))</f>
        <v/>
      </c>
      <c r="P876" s="98" t="n"/>
      <c r="Q876" s="98" t="n"/>
      <c r="R876" s="98" t="n"/>
      <c r="S876" s="98" t="n"/>
      <c r="T876" s="98" t="n"/>
      <c r="U876" s="89">
        <f>IF($K876="","",SUM($R876:$T876))</f>
        <v/>
      </c>
      <c r="V876" s="89">
        <f>IF($K876="","",$M876-(N($N876)+N($O876)+IF($P876="",Setup!$B$17,$P876)+N($Q876))-N($U876))</f>
        <v/>
      </c>
      <c r="W876" s="94" t="n"/>
      <c r="X876" s="95" t="n"/>
      <c r="Z876" s="92">
        <f>IF($A876="","",DATE(YEAR($A876),MONTH($A876),1))</f>
        <v/>
      </c>
    </row>
    <row r="877">
      <c r="A877" s="85" t="n"/>
      <c r="B877" s="86" t="n"/>
      <c r="C877" s="86" t="n"/>
      <c r="D877" s="87" t="n"/>
      <c r="E877" s="87" t="n"/>
      <c r="F877" s="87" t="n"/>
      <c r="G877" s="87" t="n"/>
      <c r="H877" s="88" t="n"/>
      <c r="I877" s="89">
        <f>IF($G877="","",IF($F877="",IFERROR(INDEX(Setup!$C$21:$C$60,MATCH("|"&amp;UPPER(TRIM($G877)),Setup!$Q$21:$Q$60,0)),"NO RATE"),IFERROR(INDEX(Setup!$C$21:$C$60,MATCH(UPPER(TRIM($F877))&amp;"|"&amp;UPPER(TRIM($G877)),Setup!$P$21:$P$60,0)),IFERROR(INDEX(Setup!$C$21:$C$60,MATCH(UPPER(TRIM($G877))&amp;"|"&amp;UPPER(TRIM($F877)),Setup!$P$21:$P$60,0)),"NO RATE"))))</f>
        <v/>
      </c>
      <c r="J877" s="90" t="n"/>
      <c r="K877" s="89">
        <f>IF(OR($G877="",$H877="",NOT(ISNUMBER($I877))),"",ROUND($H877*$I877*(1+IF($J877="",Setup!$B$16,$J877)),2))</f>
        <v/>
      </c>
      <c r="L877" s="89">
        <f>IF($K877="","",ROUND($K877*Setup!$B$13,2))</f>
        <v/>
      </c>
      <c r="M877" s="89">
        <f>IF($K877="","",$K877-$L877)</f>
        <v/>
      </c>
      <c r="N877" s="89">
        <f>IF(OR($M877="",$D877=""),"",ROUND($M877*IFERROR(IF(VLOOKUP($D877,Setup!$A$76:$C$87,3,FALSE)="",Setup!$B$14,VLOOKUP($D877,Setup!$A$76:$C$87,3,FALSE)),Setup!$B$14),2))</f>
        <v/>
      </c>
      <c r="O877" s="89">
        <f>IF(OR($M877="",$E877=""),"",ROUND($M877*IFERROR(IF(VLOOKUP($E877,Setup!$A$76:$C$87,3,FALSE)="",Setup!$B$15,VLOOKUP($E877,Setup!$A$76:$C$87,3,FALSE)),Setup!$B$15),2))</f>
        <v/>
      </c>
      <c r="P877" s="91" t="n"/>
      <c r="Q877" s="91" t="n"/>
      <c r="R877" s="91" t="n"/>
      <c r="S877" s="91" t="n"/>
      <c r="T877" s="91" t="n"/>
      <c r="U877" s="89">
        <f>IF($K877="","",SUM($R877:$T877))</f>
        <v/>
      </c>
      <c r="V877" s="89">
        <f>IF($K877="","",$M877-(N($N877)+N($O877)+IF($P877="",Setup!$B$17,$P877)+N($Q877))-N($U877))</f>
        <v/>
      </c>
      <c r="W877" s="86" t="n"/>
      <c r="X877" s="87" t="n"/>
      <c r="Z877" s="92">
        <f>IF($A877="","",DATE(YEAR($A877),MONTH($A877),1))</f>
        <v/>
      </c>
    </row>
    <row r="878">
      <c r="A878" s="93" t="n"/>
      <c r="B878" s="94" t="n"/>
      <c r="C878" s="94" t="n"/>
      <c r="D878" s="95" t="n"/>
      <c r="E878" s="95" t="n"/>
      <c r="F878" s="95" t="n"/>
      <c r="G878" s="95" t="n"/>
      <c r="H878" s="96" t="n"/>
      <c r="I878" s="89">
        <f>IF($G878="","",IF($F878="",IFERROR(INDEX(Setup!$C$21:$C$60,MATCH("|"&amp;UPPER(TRIM($G878)),Setup!$Q$21:$Q$60,0)),"NO RATE"),IFERROR(INDEX(Setup!$C$21:$C$60,MATCH(UPPER(TRIM($F878))&amp;"|"&amp;UPPER(TRIM($G878)),Setup!$P$21:$P$60,0)),IFERROR(INDEX(Setup!$C$21:$C$60,MATCH(UPPER(TRIM($G878))&amp;"|"&amp;UPPER(TRIM($F878)),Setup!$P$21:$P$60,0)),"NO RATE"))))</f>
        <v/>
      </c>
      <c r="J878" s="97" t="n"/>
      <c r="K878" s="89">
        <f>IF(OR($G878="",$H878="",NOT(ISNUMBER($I878))),"",ROUND($H878*$I878*(1+IF($J878="",Setup!$B$16,$J878)),2))</f>
        <v/>
      </c>
      <c r="L878" s="89">
        <f>IF($K878="","",ROUND($K878*Setup!$B$13,2))</f>
        <v/>
      </c>
      <c r="M878" s="89">
        <f>IF($K878="","",$K878-$L878)</f>
        <v/>
      </c>
      <c r="N878" s="89">
        <f>IF(OR($M878="",$D878=""),"",ROUND($M878*IFERROR(IF(VLOOKUP($D878,Setup!$A$76:$C$87,3,FALSE)="",Setup!$B$14,VLOOKUP($D878,Setup!$A$76:$C$87,3,FALSE)),Setup!$B$14),2))</f>
        <v/>
      </c>
      <c r="O878" s="89">
        <f>IF(OR($M878="",$E878=""),"",ROUND($M878*IFERROR(IF(VLOOKUP($E878,Setup!$A$76:$C$87,3,FALSE)="",Setup!$B$15,VLOOKUP($E878,Setup!$A$76:$C$87,3,FALSE)),Setup!$B$15),2))</f>
        <v/>
      </c>
      <c r="P878" s="98" t="n"/>
      <c r="Q878" s="98" t="n"/>
      <c r="R878" s="98" t="n"/>
      <c r="S878" s="98" t="n"/>
      <c r="T878" s="98" t="n"/>
      <c r="U878" s="89">
        <f>IF($K878="","",SUM($R878:$T878))</f>
        <v/>
      </c>
      <c r="V878" s="89">
        <f>IF($K878="","",$M878-(N($N878)+N($O878)+IF($P878="",Setup!$B$17,$P878)+N($Q878))-N($U878))</f>
        <v/>
      </c>
      <c r="W878" s="94" t="n"/>
      <c r="X878" s="95" t="n"/>
      <c r="Z878" s="92">
        <f>IF($A878="","",DATE(YEAR($A878),MONTH($A878),1))</f>
        <v/>
      </c>
    </row>
    <row r="879">
      <c r="A879" s="85" t="n"/>
      <c r="B879" s="86" t="n"/>
      <c r="C879" s="86" t="n"/>
      <c r="D879" s="87" t="n"/>
      <c r="E879" s="87" t="n"/>
      <c r="F879" s="87" t="n"/>
      <c r="G879" s="87" t="n"/>
      <c r="H879" s="88" t="n"/>
      <c r="I879" s="89">
        <f>IF($G879="","",IF($F879="",IFERROR(INDEX(Setup!$C$21:$C$60,MATCH("|"&amp;UPPER(TRIM($G879)),Setup!$Q$21:$Q$60,0)),"NO RATE"),IFERROR(INDEX(Setup!$C$21:$C$60,MATCH(UPPER(TRIM($F879))&amp;"|"&amp;UPPER(TRIM($G879)),Setup!$P$21:$P$60,0)),IFERROR(INDEX(Setup!$C$21:$C$60,MATCH(UPPER(TRIM($G879))&amp;"|"&amp;UPPER(TRIM($F879)),Setup!$P$21:$P$60,0)),"NO RATE"))))</f>
        <v/>
      </c>
      <c r="J879" s="90" t="n"/>
      <c r="K879" s="89">
        <f>IF(OR($G879="",$H879="",NOT(ISNUMBER($I879))),"",ROUND($H879*$I879*(1+IF($J879="",Setup!$B$16,$J879)),2))</f>
        <v/>
      </c>
      <c r="L879" s="89">
        <f>IF($K879="","",ROUND($K879*Setup!$B$13,2))</f>
        <v/>
      </c>
      <c r="M879" s="89">
        <f>IF($K879="","",$K879-$L879)</f>
        <v/>
      </c>
      <c r="N879" s="89">
        <f>IF(OR($M879="",$D879=""),"",ROUND($M879*IFERROR(IF(VLOOKUP($D879,Setup!$A$76:$C$87,3,FALSE)="",Setup!$B$14,VLOOKUP($D879,Setup!$A$76:$C$87,3,FALSE)),Setup!$B$14),2))</f>
        <v/>
      </c>
      <c r="O879" s="89">
        <f>IF(OR($M879="",$E879=""),"",ROUND($M879*IFERROR(IF(VLOOKUP($E879,Setup!$A$76:$C$87,3,FALSE)="",Setup!$B$15,VLOOKUP($E879,Setup!$A$76:$C$87,3,FALSE)),Setup!$B$15),2))</f>
        <v/>
      </c>
      <c r="P879" s="91" t="n"/>
      <c r="Q879" s="91" t="n"/>
      <c r="R879" s="91" t="n"/>
      <c r="S879" s="91" t="n"/>
      <c r="T879" s="91" t="n"/>
      <c r="U879" s="89">
        <f>IF($K879="","",SUM($R879:$T879))</f>
        <v/>
      </c>
      <c r="V879" s="89">
        <f>IF($K879="","",$M879-(N($N879)+N($O879)+IF($P879="",Setup!$B$17,$P879)+N($Q879))-N($U879))</f>
        <v/>
      </c>
      <c r="W879" s="86" t="n"/>
      <c r="X879" s="87" t="n"/>
      <c r="Z879" s="92">
        <f>IF($A879="","",DATE(YEAR($A879),MONTH($A879),1))</f>
        <v/>
      </c>
    </row>
    <row r="880">
      <c r="A880" s="93" t="n"/>
      <c r="B880" s="94" t="n"/>
      <c r="C880" s="94" t="n"/>
      <c r="D880" s="95" t="n"/>
      <c r="E880" s="95" t="n"/>
      <c r="F880" s="95" t="n"/>
      <c r="G880" s="95" t="n"/>
      <c r="H880" s="96" t="n"/>
      <c r="I880" s="89">
        <f>IF($G880="","",IF($F880="",IFERROR(INDEX(Setup!$C$21:$C$60,MATCH("|"&amp;UPPER(TRIM($G880)),Setup!$Q$21:$Q$60,0)),"NO RATE"),IFERROR(INDEX(Setup!$C$21:$C$60,MATCH(UPPER(TRIM($F880))&amp;"|"&amp;UPPER(TRIM($G880)),Setup!$P$21:$P$60,0)),IFERROR(INDEX(Setup!$C$21:$C$60,MATCH(UPPER(TRIM($G880))&amp;"|"&amp;UPPER(TRIM($F880)),Setup!$P$21:$P$60,0)),"NO RATE"))))</f>
        <v/>
      </c>
      <c r="J880" s="97" t="n"/>
      <c r="K880" s="89">
        <f>IF(OR($G880="",$H880="",NOT(ISNUMBER($I880))),"",ROUND($H880*$I880*(1+IF($J880="",Setup!$B$16,$J880)),2))</f>
        <v/>
      </c>
      <c r="L880" s="89">
        <f>IF($K880="","",ROUND($K880*Setup!$B$13,2))</f>
        <v/>
      </c>
      <c r="M880" s="89">
        <f>IF($K880="","",$K880-$L880)</f>
        <v/>
      </c>
      <c r="N880" s="89">
        <f>IF(OR($M880="",$D880=""),"",ROUND($M880*IFERROR(IF(VLOOKUP($D880,Setup!$A$76:$C$87,3,FALSE)="",Setup!$B$14,VLOOKUP($D880,Setup!$A$76:$C$87,3,FALSE)),Setup!$B$14),2))</f>
        <v/>
      </c>
      <c r="O880" s="89">
        <f>IF(OR($M880="",$E880=""),"",ROUND($M880*IFERROR(IF(VLOOKUP($E880,Setup!$A$76:$C$87,3,FALSE)="",Setup!$B$15,VLOOKUP($E880,Setup!$A$76:$C$87,3,FALSE)),Setup!$B$15),2))</f>
        <v/>
      </c>
      <c r="P880" s="98" t="n"/>
      <c r="Q880" s="98" t="n"/>
      <c r="R880" s="98" t="n"/>
      <c r="S880" s="98" t="n"/>
      <c r="T880" s="98" t="n"/>
      <c r="U880" s="89">
        <f>IF($K880="","",SUM($R880:$T880))</f>
        <v/>
      </c>
      <c r="V880" s="89">
        <f>IF($K880="","",$M880-(N($N880)+N($O880)+IF($P880="",Setup!$B$17,$P880)+N($Q880))-N($U880))</f>
        <v/>
      </c>
      <c r="W880" s="94" t="n"/>
      <c r="X880" s="95" t="n"/>
      <c r="Z880" s="92">
        <f>IF($A880="","",DATE(YEAR($A880),MONTH($A880),1))</f>
        <v/>
      </c>
    </row>
    <row r="881">
      <c r="A881" s="85" t="n"/>
      <c r="B881" s="86" t="n"/>
      <c r="C881" s="86" t="n"/>
      <c r="D881" s="87" t="n"/>
      <c r="E881" s="87" t="n"/>
      <c r="F881" s="87" t="n"/>
      <c r="G881" s="87" t="n"/>
      <c r="H881" s="88" t="n"/>
      <c r="I881" s="89">
        <f>IF($G881="","",IF($F881="",IFERROR(INDEX(Setup!$C$21:$C$60,MATCH("|"&amp;UPPER(TRIM($G881)),Setup!$Q$21:$Q$60,0)),"NO RATE"),IFERROR(INDEX(Setup!$C$21:$C$60,MATCH(UPPER(TRIM($F881))&amp;"|"&amp;UPPER(TRIM($G881)),Setup!$P$21:$P$60,0)),IFERROR(INDEX(Setup!$C$21:$C$60,MATCH(UPPER(TRIM($G881))&amp;"|"&amp;UPPER(TRIM($F881)),Setup!$P$21:$P$60,0)),"NO RATE"))))</f>
        <v/>
      </c>
      <c r="J881" s="90" t="n"/>
      <c r="K881" s="89">
        <f>IF(OR($G881="",$H881="",NOT(ISNUMBER($I881))),"",ROUND($H881*$I881*(1+IF($J881="",Setup!$B$16,$J881)),2))</f>
        <v/>
      </c>
      <c r="L881" s="89">
        <f>IF($K881="","",ROUND($K881*Setup!$B$13,2))</f>
        <v/>
      </c>
      <c r="M881" s="89">
        <f>IF($K881="","",$K881-$L881)</f>
        <v/>
      </c>
      <c r="N881" s="89">
        <f>IF(OR($M881="",$D881=""),"",ROUND($M881*IFERROR(IF(VLOOKUP($D881,Setup!$A$76:$C$87,3,FALSE)="",Setup!$B$14,VLOOKUP($D881,Setup!$A$76:$C$87,3,FALSE)),Setup!$B$14),2))</f>
        <v/>
      </c>
      <c r="O881" s="89">
        <f>IF(OR($M881="",$E881=""),"",ROUND($M881*IFERROR(IF(VLOOKUP($E881,Setup!$A$76:$C$87,3,FALSE)="",Setup!$B$15,VLOOKUP($E881,Setup!$A$76:$C$87,3,FALSE)),Setup!$B$15),2))</f>
        <v/>
      </c>
      <c r="P881" s="91" t="n"/>
      <c r="Q881" s="91" t="n"/>
      <c r="R881" s="91" t="n"/>
      <c r="S881" s="91" t="n"/>
      <c r="T881" s="91" t="n"/>
      <c r="U881" s="89">
        <f>IF($K881="","",SUM($R881:$T881))</f>
        <v/>
      </c>
      <c r="V881" s="89">
        <f>IF($K881="","",$M881-(N($N881)+N($O881)+IF($P881="",Setup!$B$17,$P881)+N($Q881))-N($U881))</f>
        <v/>
      </c>
      <c r="W881" s="86" t="n"/>
      <c r="X881" s="87" t="n"/>
      <c r="Z881" s="92">
        <f>IF($A881="","",DATE(YEAR($A881),MONTH($A881),1))</f>
        <v/>
      </c>
    </row>
    <row r="882">
      <c r="A882" s="93" t="n"/>
      <c r="B882" s="94" t="n"/>
      <c r="C882" s="94" t="n"/>
      <c r="D882" s="95" t="n"/>
      <c r="E882" s="95" t="n"/>
      <c r="F882" s="95" t="n"/>
      <c r="G882" s="95" t="n"/>
      <c r="H882" s="96" t="n"/>
      <c r="I882" s="89">
        <f>IF($G882="","",IF($F882="",IFERROR(INDEX(Setup!$C$21:$C$60,MATCH("|"&amp;UPPER(TRIM($G882)),Setup!$Q$21:$Q$60,0)),"NO RATE"),IFERROR(INDEX(Setup!$C$21:$C$60,MATCH(UPPER(TRIM($F882))&amp;"|"&amp;UPPER(TRIM($G882)),Setup!$P$21:$P$60,0)),IFERROR(INDEX(Setup!$C$21:$C$60,MATCH(UPPER(TRIM($G882))&amp;"|"&amp;UPPER(TRIM($F882)),Setup!$P$21:$P$60,0)),"NO RATE"))))</f>
        <v/>
      </c>
      <c r="J882" s="97" t="n"/>
      <c r="K882" s="89">
        <f>IF(OR($G882="",$H882="",NOT(ISNUMBER($I882))),"",ROUND($H882*$I882*(1+IF($J882="",Setup!$B$16,$J882)),2))</f>
        <v/>
      </c>
      <c r="L882" s="89">
        <f>IF($K882="","",ROUND($K882*Setup!$B$13,2))</f>
        <v/>
      </c>
      <c r="M882" s="89">
        <f>IF($K882="","",$K882-$L882)</f>
        <v/>
      </c>
      <c r="N882" s="89">
        <f>IF(OR($M882="",$D882=""),"",ROUND($M882*IFERROR(IF(VLOOKUP($D882,Setup!$A$76:$C$87,3,FALSE)="",Setup!$B$14,VLOOKUP($D882,Setup!$A$76:$C$87,3,FALSE)),Setup!$B$14),2))</f>
        <v/>
      </c>
      <c r="O882" s="89">
        <f>IF(OR($M882="",$E882=""),"",ROUND($M882*IFERROR(IF(VLOOKUP($E882,Setup!$A$76:$C$87,3,FALSE)="",Setup!$B$15,VLOOKUP($E882,Setup!$A$76:$C$87,3,FALSE)),Setup!$B$15),2))</f>
        <v/>
      </c>
      <c r="P882" s="98" t="n"/>
      <c r="Q882" s="98" t="n"/>
      <c r="R882" s="98" t="n"/>
      <c r="S882" s="98" t="n"/>
      <c r="T882" s="98" t="n"/>
      <c r="U882" s="89">
        <f>IF($K882="","",SUM($R882:$T882))</f>
        <v/>
      </c>
      <c r="V882" s="89">
        <f>IF($K882="","",$M882-(N($N882)+N($O882)+IF($P882="",Setup!$B$17,$P882)+N($Q882))-N($U882))</f>
        <v/>
      </c>
      <c r="W882" s="94" t="n"/>
      <c r="X882" s="95" t="n"/>
      <c r="Z882" s="92">
        <f>IF($A882="","",DATE(YEAR($A882),MONTH($A882),1))</f>
        <v/>
      </c>
    </row>
    <row r="883">
      <c r="A883" s="85" t="n"/>
      <c r="B883" s="86" t="n"/>
      <c r="C883" s="86" t="n"/>
      <c r="D883" s="87" t="n"/>
      <c r="E883" s="87" t="n"/>
      <c r="F883" s="87" t="n"/>
      <c r="G883" s="87" t="n"/>
      <c r="H883" s="88" t="n"/>
      <c r="I883" s="89">
        <f>IF($G883="","",IF($F883="",IFERROR(INDEX(Setup!$C$21:$C$60,MATCH("|"&amp;UPPER(TRIM($G883)),Setup!$Q$21:$Q$60,0)),"NO RATE"),IFERROR(INDEX(Setup!$C$21:$C$60,MATCH(UPPER(TRIM($F883))&amp;"|"&amp;UPPER(TRIM($G883)),Setup!$P$21:$P$60,0)),IFERROR(INDEX(Setup!$C$21:$C$60,MATCH(UPPER(TRIM($G883))&amp;"|"&amp;UPPER(TRIM($F883)),Setup!$P$21:$P$60,0)),"NO RATE"))))</f>
        <v/>
      </c>
      <c r="J883" s="90" t="n"/>
      <c r="K883" s="89">
        <f>IF(OR($G883="",$H883="",NOT(ISNUMBER($I883))),"",ROUND($H883*$I883*(1+IF($J883="",Setup!$B$16,$J883)),2))</f>
        <v/>
      </c>
      <c r="L883" s="89">
        <f>IF($K883="","",ROUND($K883*Setup!$B$13,2))</f>
        <v/>
      </c>
      <c r="M883" s="89">
        <f>IF($K883="","",$K883-$L883)</f>
        <v/>
      </c>
      <c r="N883" s="89">
        <f>IF(OR($M883="",$D883=""),"",ROUND($M883*IFERROR(IF(VLOOKUP($D883,Setup!$A$76:$C$87,3,FALSE)="",Setup!$B$14,VLOOKUP($D883,Setup!$A$76:$C$87,3,FALSE)),Setup!$B$14),2))</f>
        <v/>
      </c>
      <c r="O883" s="89">
        <f>IF(OR($M883="",$E883=""),"",ROUND($M883*IFERROR(IF(VLOOKUP($E883,Setup!$A$76:$C$87,3,FALSE)="",Setup!$B$15,VLOOKUP($E883,Setup!$A$76:$C$87,3,FALSE)),Setup!$B$15),2))</f>
        <v/>
      </c>
      <c r="P883" s="91" t="n"/>
      <c r="Q883" s="91" t="n"/>
      <c r="R883" s="91" t="n"/>
      <c r="S883" s="91" t="n"/>
      <c r="T883" s="91" t="n"/>
      <c r="U883" s="89">
        <f>IF($K883="","",SUM($R883:$T883))</f>
        <v/>
      </c>
      <c r="V883" s="89">
        <f>IF($K883="","",$M883-(N($N883)+N($O883)+IF($P883="",Setup!$B$17,$P883)+N($Q883))-N($U883))</f>
        <v/>
      </c>
      <c r="W883" s="86" t="n"/>
      <c r="X883" s="87" t="n"/>
      <c r="Z883" s="92">
        <f>IF($A883="","",DATE(YEAR($A883),MONTH($A883),1))</f>
        <v/>
      </c>
    </row>
    <row r="884">
      <c r="A884" s="93" t="n"/>
      <c r="B884" s="94" t="n"/>
      <c r="C884" s="94" t="n"/>
      <c r="D884" s="95" t="n"/>
      <c r="E884" s="95" t="n"/>
      <c r="F884" s="95" t="n"/>
      <c r="G884" s="95" t="n"/>
      <c r="H884" s="96" t="n"/>
      <c r="I884" s="89">
        <f>IF($G884="","",IF($F884="",IFERROR(INDEX(Setup!$C$21:$C$60,MATCH("|"&amp;UPPER(TRIM($G884)),Setup!$Q$21:$Q$60,0)),"NO RATE"),IFERROR(INDEX(Setup!$C$21:$C$60,MATCH(UPPER(TRIM($F884))&amp;"|"&amp;UPPER(TRIM($G884)),Setup!$P$21:$P$60,0)),IFERROR(INDEX(Setup!$C$21:$C$60,MATCH(UPPER(TRIM($G884))&amp;"|"&amp;UPPER(TRIM($F884)),Setup!$P$21:$P$60,0)),"NO RATE"))))</f>
        <v/>
      </c>
      <c r="J884" s="97" t="n"/>
      <c r="K884" s="89">
        <f>IF(OR($G884="",$H884="",NOT(ISNUMBER($I884))),"",ROUND($H884*$I884*(1+IF($J884="",Setup!$B$16,$J884)),2))</f>
        <v/>
      </c>
      <c r="L884" s="89">
        <f>IF($K884="","",ROUND($K884*Setup!$B$13,2))</f>
        <v/>
      </c>
      <c r="M884" s="89">
        <f>IF($K884="","",$K884-$L884)</f>
        <v/>
      </c>
      <c r="N884" s="89">
        <f>IF(OR($M884="",$D884=""),"",ROUND($M884*IFERROR(IF(VLOOKUP($D884,Setup!$A$76:$C$87,3,FALSE)="",Setup!$B$14,VLOOKUP($D884,Setup!$A$76:$C$87,3,FALSE)),Setup!$B$14),2))</f>
        <v/>
      </c>
      <c r="O884" s="89">
        <f>IF(OR($M884="",$E884=""),"",ROUND($M884*IFERROR(IF(VLOOKUP($E884,Setup!$A$76:$C$87,3,FALSE)="",Setup!$B$15,VLOOKUP($E884,Setup!$A$76:$C$87,3,FALSE)),Setup!$B$15),2))</f>
        <v/>
      </c>
      <c r="P884" s="98" t="n"/>
      <c r="Q884" s="98" t="n"/>
      <c r="R884" s="98" t="n"/>
      <c r="S884" s="98" t="n"/>
      <c r="T884" s="98" t="n"/>
      <c r="U884" s="89">
        <f>IF($K884="","",SUM($R884:$T884))</f>
        <v/>
      </c>
      <c r="V884" s="89">
        <f>IF($K884="","",$M884-(N($N884)+N($O884)+IF($P884="",Setup!$B$17,$P884)+N($Q884))-N($U884))</f>
        <v/>
      </c>
      <c r="W884" s="94" t="n"/>
      <c r="X884" s="95" t="n"/>
      <c r="Z884" s="92">
        <f>IF($A884="","",DATE(YEAR($A884),MONTH($A884),1))</f>
        <v/>
      </c>
    </row>
    <row r="885">
      <c r="A885" s="85" t="n"/>
      <c r="B885" s="86" t="n"/>
      <c r="C885" s="86" t="n"/>
      <c r="D885" s="87" t="n"/>
      <c r="E885" s="87" t="n"/>
      <c r="F885" s="87" t="n"/>
      <c r="G885" s="87" t="n"/>
      <c r="H885" s="88" t="n"/>
      <c r="I885" s="89">
        <f>IF($G885="","",IF($F885="",IFERROR(INDEX(Setup!$C$21:$C$60,MATCH("|"&amp;UPPER(TRIM($G885)),Setup!$Q$21:$Q$60,0)),"NO RATE"),IFERROR(INDEX(Setup!$C$21:$C$60,MATCH(UPPER(TRIM($F885))&amp;"|"&amp;UPPER(TRIM($G885)),Setup!$P$21:$P$60,0)),IFERROR(INDEX(Setup!$C$21:$C$60,MATCH(UPPER(TRIM($G885))&amp;"|"&amp;UPPER(TRIM($F885)),Setup!$P$21:$P$60,0)),"NO RATE"))))</f>
        <v/>
      </c>
      <c r="J885" s="90" t="n"/>
      <c r="K885" s="89">
        <f>IF(OR($G885="",$H885="",NOT(ISNUMBER($I885))),"",ROUND($H885*$I885*(1+IF($J885="",Setup!$B$16,$J885)),2))</f>
        <v/>
      </c>
      <c r="L885" s="89">
        <f>IF($K885="","",ROUND($K885*Setup!$B$13,2))</f>
        <v/>
      </c>
      <c r="M885" s="89">
        <f>IF($K885="","",$K885-$L885)</f>
        <v/>
      </c>
      <c r="N885" s="89">
        <f>IF(OR($M885="",$D885=""),"",ROUND($M885*IFERROR(IF(VLOOKUP($D885,Setup!$A$76:$C$87,3,FALSE)="",Setup!$B$14,VLOOKUP($D885,Setup!$A$76:$C$87,3,FALSE)),Setup!$B$14),2))</f>
        <v/>
      </c>
      <c r="O885" s="89">
        <f>IF(OR($M885="",$E885=""),"",ROUND($M885*IFERROR(IF(VLOOKUP($E885,Setup!$A$76:$C$87,3,FALSE)="",Setup!$B$15,VLOOKUP($E885,Setup!$A$76:$C$87,3,FALSE)),Setup!$B$15),2))</f>
        <v/>
      </c>
      <c r="P885" s="91" t="n"/>
      <c r="Q885" s="91" t="n"/>
      <c r="R885" s="91" t="n"/>
      <c r="S885" s="91" t="n"/>
      <c r="T885" s="91" t="n"/>
      <c r="U885" s="89">
        <f>IF($K885="","",SUM($R885:$T885))</f>
        <v/>
      </c>
      <c r="V885" s="89">
        <f>IF($K885="","",$M885-(N($N885)+N($O885)+IF($P885="",Setup!$B$17,$P885)+N($Q885))-N($U885))</f>
        <v/>
      </c>
      <c r="W885" s="86" t="n"/>
      <c r="X885" s="87" t="n"/>
      <c r="Z885" s="92">
        <f>IF($A885="","",DATE(YEAR($A885),MONTH($A885),1))</f>
        <v/>
      </c>
    </row>
    <row r="886">
      <c r="A886" s="93" t="n"/>
      <c r="B886" s="94" t="n"/>
      <c r="C886" s="94" t="n"/>
      <c r="D886" s="95" t="n"/>
      <c r="E886" s="95" t="n"/>
      <c r="F886" s="95" t="n"/>
      <c r="G886" s="95" t="n"/>
      <c r="H886" s="96" t="n"/>
      <c r="I886" s="89">
        <f>IF($G886="","",IF($F886="",IFERROR(INDEX(Setup!$C$21:$C$60,MATCH("|"&amp;UPPER(TRIM($G886)),Setup!$Q$21:$Q$60,0)),"NO RATE"),IFERROR(INDEX(Setup!$C$21:$C$60,MATCH(UPPER(TRIM($F886))&amp;"|"&amp;UPPER(TRIM($G886)),Setup!$P$21:$P$60,0)),IFERROR(INDEX(Setup!$C$21:$C$60,MATCH(UPPER(TRIM($G886))&amp;"|"&amp;UPPER(TRIM($F886)),Setup!$P$21:$P$60,0)),"NO RATE"))))</f>
        <v/>
      </c>
      <c r="J886" s="97" t="n"/>
      <c r="K886" s="89">
        <f>IF(OR($G886="",$H886="",NOT(ISNUMBER($I886))),"",ROUND($H886*$I886*(1+IF($J886="",Setup!$B$16,$J886)),2))</f>
        <v/>
      </c>
      <c r="L886" s="89">
        <f>IF($K886="","",ROUND($K886*Setup!$B$13,2))</f>
        <v/>
      </c>
      <c r="M886" s="89">
        <f>IF($K886="","",$K886-$L886)</f>
        <v/>
      </c>
      <c r="N886" s="89">
        <f>IF(OR($M886="",$D886=""),"",ROUND($M886*IFERROR(IF(VLOOKUP($D886,Setup!$A$76:$C$87,3,FALSE)="",Setup!$B$14,VLOOKUP($D886,Setup!$A$76:$C$87,3,FALSE)),Setup!$B$14),2))</f>
        <v/>
      </c>
      <c r="O886" s="89">
        <f>IF(OR($M886="",$E886=""),"",ROUND($M886*IFERROR(IF(VLOOKUP($E886,Setup!$A$76:$C$87,3,FALSE)="",Setup!$B$15,VLOOKUP($E886,Setup!$A$76:$C$87,3,FALSE)),Setup!$B$15),2))</f>
        <v/>
      </c>
      <c r="P886" s="98" t="n"/>
      <c r="Q886" s="98" t="n"/>
      <c r="R886" s="98" t="n"/>
      <c r="S886" s="98" t="n"/>
      <c r="T886" s="98" t="n"/>
      <c r="U886" s="89">
        <f>IF($K886="","",SUM($R886:$T886))</f>
        <v/>
      </c>
      <c r="V886" s="89">
        <f>IF($K886="","",$M886-(N($N886)+N($O886)+IF($P886="",Setup!$B$17,$P886)+N($Q886))-N($U886))</f>
        <v/>
      </c>
      <c r="W886" s="94" t="n"/>
      <c r="X886" s="95" t="n"/>
      <c r="Z886" s="92">
        <f>IF($A886="","",DATE(YEAR($A886),MONTH($A886),1))</f>
        <v/>
      </c>
    </row>
    <row r="887">
      <c r="A887" s="85" t="n"/>
      <c r="B887" s="86" t="n"/>
      <c r="C887" s="86" t="n"/>
      <c r="D887" s="87" t="n"/>
      <c r="E887" s="87" t="n"/>
      <c r="F887" s="87" t="n"/>
      <c r="G887" s="87" t="n"/>
      <c r="H887" s="88" t="n"/>
      <c r="I887" s="89">
        <f>IF($G887="","",IF($F887="",IFERROR(INDEX(Setup!$C$21:$C$60,MATCH("|"&amp;UPPER(TRIM($G887)),Setup!$Q$21:$Q$60,0)),"NO RATE"),IFERROR(INDEX(Setup!$C$21:$C$60,MATCH(UPPER(TRIM($F887))&amp;"|"&amp;UPPER(TRIM($G887)),Setup!$P$21:$P$60,0)),IFERROR(INDEX(Setup!$C$21:$C$60,MATCH(UPPER(TRIM($G887))&amp;"|"&amp;UPPER(TRIM($F887)),Setup!$P$21:$P$60,0)),"NO RATE"))))</f>
        <v/>
      </c>
      <c r="J887" s="90" t="n"/>
      <c r="K887" s="89">
        <f>IF(OR($G887="",$H887="",NOT(ISNUMBER($I887))),"",ROUND($H887*$I887*(1+IF($J887="",Setup!$B$16,$J887)),2))</f>
        <v/>
      </c>
      <c r="L887" s="89">
        <f>IF($K887="","",ROUND($K887*Setup!$B$13,2))</f>
        <v/>
      </c>
      <c r="M887" s="89">
        <f>IF($K887="","",$K887-$L887)</f>
        <v/>
      </c>
      <c r="N887" s="89">
        <f>IF(OR($M887="",$D887=""),"",ROUND($M887*IFERROR(IF(VLOOKUP($D887,Setup!$A$76:$C$87,3,FALSE)="",Setup!$B$14,VLOOKUP($D887,Setup!$A$76:$C$87,3,FALSE)),Setup!$B$14),2))</f>
        <v/>
      </c>
      <c r="O887" s="89">
        <f>IF(OR($M887="",$E887=""),"",ROUND($M887*IFERROR(IF(VLOOKUP($E887,Setup!$A$76:$C$87,3,FALSE)="",Setup!$B$15,VLOOKUP($E887,Setup!$A$76:$C$87,3,FALSE)),Setup!$B$15),2))</f>
        <v/>
      </c>
      <c r="P887" s="91" t="n"/>
      <c r="Q887" s="91" t="n"/>
      <c r="R887" s="91" t="n"/>
      <c r="S887" s="91" t="n"/>
      <c r="T887" s="91" t="n"/>
      <c r="U887" s="89">
        <f>IF($K887="","",SUM($R887:$T887))</f>
        <v/>
      </c>
      <c r="V887" s="89">
        <f>IF($K887="","",$M887-(N($N887)+N($O887)+IF($P887="",Setup!$B$17,$P887)+N($Q887))-N($U887))</f>
        <v/>
      </c>
      <c r="W887" s="86" t="n"/>
      <c r="X887" s="87" t="n"/>
      <c r="Z887" s="92">
        <f>IF($A887="","",DATE(YEAR($A887),MONTH($A887),1))</f>
        <v/>
      </c>
    </row>
    <row r="888">
      <c r="A888" s="93" t="n"/>
      <c r="B888" s="94" t="n"/>
      <c r="C888" s="94" t="n"/>
      <c r="D888" s="95" t="n"/>
      <c r="E888" s="95" t="n"/>
      <c r="F888" s="95" t="n"/>
      <c r="G888" s="95" t="n"/>
      <c r="H888" s="96" t="n"/>
      <c r="I888" s="89">
        <f>IF($G888="","",IF($F888="",IFERROR(INDEX(Setup!$C$21:$C$60,MATCH("|"&amp;UPPER(TRIM($G888)),Setup!$Q$21:$Q$60,0)),"NO RATE"),IFERROR(INDEX(Setup!$C$21:$C$60,MATCH(UPPER(TRIM($F888))&amp;"|"&amp;UPPER(TRIM($G888)),Setup!$P$21:$P$60,0)),IFERROR(INDEX(Setup!$C$21:$C$60,MATCH(UPPER(TRIM($G888))&amp;"|"&amp;UPPER(TRIM($F888)),Setup!$P$21:$P$60,0)),"NO RATE"))))</f>
        <v/>
      </c>
      <c r="J888" s="97" t="n"/>
      <c r="K888" s="89">
        <f>IF(OR($G888="",$H888="",NOT(ISNUMBER($I888))),"",ROUND($H888*$I888*(1+IF($J888="",Setup!$B$16,$J888)),2))</f>
        <v/>
      </c>
      <c r="L888" s="89">
        <f>IF($K888="","",ROUND($K888*Setup!$B$13,2))</f>
        <v/>
      </c>
      <c r="M888" s="89">
        <f>IF($K888="","",$K888-$L888)</f>
        <v/>
      </c>
      <c r="N888" s="89">
        <f>IF(OR($M888="",$D888=""),"",ROUND($M888*IFERROR(IF(VLOOKUP($D888,Setup!$A$76:$C$87,3,FALSE)="",Setup!$B$14,VLOOKUP($D888,Setup!$A$76:$C$87,3,FALSE)),Setup!$B$14),2))</f>
        <v/>
      </c>
      <c r="O888" s="89">
        <f>IF(OR($M888="",$E888=""),"",ROUND($M888*IFERROR(IF(VLOOKUP($E888,Setup!$A$76:$C$87,3,FALSE)="",Setup!$B$15,VLOOKUP($E888,Setup!$A$76:$C$87,3,FALSE)),Setup!$B$15),2))</f>
        <v/>
      </c>
      <c r="P888" s="98" t="n"/>
      <c r="Q888" s="98" t="n"/>
      <c r="R888" s="98" t="n"/>
      <c r="S888" s="98" t="n"/>
      <c r="T888" s="98" t="n"/>
      <c r="U888" s="89">
        <f>IF($K888="","",SUM($R888:$T888))</f>
        <v/>
      </c>
      <c r="V888" s="89">
        <f>IF($K888="","",$M888-(N($N888)+N($O888)+IF($P888="",Setup!$B$17,$P888)+N($Q888))-N($U888))</f>
        <v/>
      </c>
      <c r="W888" s="94" t="n"/>
      <c r="X888" s="95" t="n"/>
      <c r="Z888" s="92">
        <f>IF($A888="","",DATE(YEAR($A888),MONTH($A888),1))</f>
        <v/>
      </c>
    </row>
    <row r="889">
      <c r="A889" s="85" t="n"/>
      <c r="B889" s="86" t="n"/>
      <c r="C889" s="86" t="n"/>
      <c r="D889" s="87" t="n"/>
      <c r="E889" s="87" t="n"/>
      <c r="F889" s="87" t="n"/>
      <c r="G889" s="87" t="n"/>
      <c r="H889" s="88" t="n"/>
      <c r="I889" s="89">
        <f>IF($G889="","",IF($F889="",IFERROR(INDEX(Setup!$C$21:$C$60,MATCH("|"&amp;UPPER(TRIM($G889)),Setup!$Q$21:$Q$60,0)),"NO RATE"),IFERROR(INDEX(Setup!$C$21:$C$60,MATCH(UPPER(TRIM($F889))&amp;"|"&amp;UPPER(TRIM($G889)),Setup!$P$21:$P$60,0)),IFERROR(INDEX(Setup!$C$21:$C$60,MATCH(UPPER(TRIM($G889))&amp;"|"&amp;UPPER(TRIM($F889)),Setup!$P$21:$P$60,0)),"NO RATE"))))</f>
        <v/>
      </c>
      <c r="J889" s="90" t="n"/>
      <c r="K889" s="89">
        <f>IF(OR($G889="",$H889="",NOT(ISNUMBER($I889))),"",ROUND($H889*$I889*(1+IF($J889="",Setup!$B$16,$J889)),2))</f>
        <v/>
      </c>
      <c r="L889" s="89">
        <f>IF($K889="","",ROUND($K889*Setup!$B$13,2))</f>
        <v/>
      </c>
      <c r="M889" s="89">
        <f>IF($K889="","",$K889-$L889)</f>
        <v/>
      </c>
      <c r="N889" s="89">
        <f>IF(OR($M889="",$D889=""),"",ROUND($M889*IFERROR(IF(VLOOKUP($D889,Setup!$A$76:$C$87,3,FALSE)="",Setup!$B$14,VLOOKUP($D889,Setup!$A$76:$C$87,3,FALSE)),Setup!$B$14),2))</f>
        <v/>
      </c>
      <c r="O889" s="89">
        <f>IF(OR($M889="",$E889=""),"",ROUND($M889*IFERROR(IF(VLOOKUP($E889,Setup!$A$76:$C$87,3,FALSE)="",Setup!$B$15,VLOOKUP($E889,Setup!$A$76:$C$87,3,FALSE)),Setup!$B$15),2))</f>
        <v/>
      </c>
      <c r="P889" s="91" t="n"/>
      <c r="Q889" s="91" t="n"/>
      <c r="R889" s="91" t="n"/>
      <c r="S889" s="91" t="n"/>
      <c r="T889" s="91" t="n"/>
      <c r="U889" s="89">
        <f>IF($K889="","",SUM($R889:$T889))</f>
        <v/>
      </c>
      <c r="V889" s="89">
        <f>IF($K889="","",$M889-(N($N889)+N($O889)+IF($P889="",Setup!$B$17,$P889)+N($Q889))-N($U889))</f>
        <v/>
      </c>
      <c r="W889" s="86" t="n"/>
      <c r="X889" s="87" t="n"/>
      <c r="Z889" s="92">
        <f>IF($A889="","",DATE(YEAR($A889),MONTH($A889),1))</f>
        <v/>
      </c>
    </row>
    <row r="890">
      <c r="A890" s="93" t="n"/>
      <c r="B890" s="94" t="n"/>
      <c r="C890" s="94" t="n"/>
      <c r="D890" s="95" t="n"/>
      <c r="E890" s="95" t="n"/>
      <c r="F890" s="95" t="n"/>
      <c r="G890" s="95" t="n"/>
      <c r="H890" s="96" t="n"/>
      <c r="I890" s="89">
        <f>IF($G890="","",IF($F890="",IFERROR(INDEX(Setup!$C$21:$C$60,MATCH("|"&amp;UPPER(TRIM($G890)),Setup!$Q$21:$Q$60,0)),"NO RATE"),IFERROR(INDEX(Setup!$C$21:$C$60,MATCH(UPPER(TRIM($F890))&amp;"|"&amp;UPPER(TRIM($G890)),Setup!$P$21:$P$60,0)),IFERROR(INDEX(Setup!$C$21:$C$60,MATCH(UPPER(TRIM($G890))&amp;"|"&amp;UPPER(TRIM($F890)),Setup!$P$21:$P$60,0)),"NO RATE"))))</f>
        <v/>
      </c>
      <c r="J890" s="97" t="n"/>
      <c r="K890" s="89">
        <f>IF(OR($G890="",$H890="",NOT(ISNUMBER($I890))),"",ROUND($H890*$I890*(1+IF($J890="",Setup!$B$16,$J890)),2))</f>
        <v/>
      </c>
      <c r="L890" s="89">
        <f>IF($K890="","",ROUND($K890*Setup!$B$13,2))</f>
        <v/>
      </c>
      <c r="M890" s="89">
        <f>IF($K890="","",$K890-$L890)</f>
        <v/>
      </c>
      <c r="N890" s="89">
        <f>IF(OR($M890="",$D890=""),"",ROUND($M890*IFERROR(IF(VLOOKUP($D890,Setup!$A$76:$C$87,3,FALSE)="",Setup!$B$14,VLOOKUP($D890,Setup!$A$76:$C$87,3,FALSE)),Setup!$B$14),2))</f>
        <v/>
      </c>
      <c r="O890" s="89">
        <f>IF(OR($M890="",$E890=""),"",ROUND($M890*IFERROR(IF(VLOOKUP($E890,Setup!$A$76:$C$87,3,FALSE)="",Setup!$B$15,VLOOKUP($E890,Setup!$A$76:$C$87,3,FALSE)),Setup!$B$15),2))</f>
        <v/>
      </c>
      <c r="P890" s="98" t="n"/>
      <c r="Q890" s="98" t="n"/>
      <c r="R890" s="98" t="n"/>
      <c r="S890" s="98" t="n"/>
      <c r="T890" s="98" t="n"/>
      <c r="U890" s="89">
        <f>IF($K890="","",SUM($R890:$T890))</f>
        <v/>
      </c>
      <c r="V890" s="89">
        <f>IF($K890="","",$M890-(N($N890)+N($O890)+IF($P890="",Setup!$B$17,$P890)+N($Q890))-N($U890))</f>
        <v/>
      </c>
      <c r="W890" s="94" t="n"/>
      <c r="X890" s="95" t="n"/>
      <c r="Z890" s="92">
        <f>IF($A890="","",DATE(YEAR($A890),MONTH($A890),1))</f>
        <v/>
      </c>
    </row>
    <row r="891">
      <c r="A891" s="85" t="n"/>
      <c r="B891" s="86" t="n"/>
      <c r="C891" s="86" t="n"/>
      <c r="D891" s="87" t="n"/>
      <c r="E891" s="87" t="n"/>
      <c r="F891" s="87" t="n"/>
      <c r="G891" s="87" t="n"/>
      <c r="H891" s="88" t="n"/>
      <c r="I891" s="89">
        <f>IF($G891="","",IF($F891="",IFERROR(INDEX(Setup!$C$21:$C$60,MATCH("|"&amp;UPPER(TRIM($G891)),Setup!$Q$21:$Q$60,0)),"NO RATE"),IFERROR(INDEX(Setup!$C$21:$C$60,MATCH(UPPER(TRIM($F891))&amp;"|"&amp;UPPER(TRIM($G891)),Setup!$P$21:$P$60,0)),IFERROR(INDEX(Setup!$C$21:$C$60,MATCH(UPPER(TRIM($G891))&amp;"|"&amp;UPPER(TRIM($F891)),Setup!$P$21:$P$60,0)),"NO RATE"))))</f>
        <v/>
      </c>
      <c r="J891" s="90" t="n"/>
      <c r="K891" s="89">
        <f>IF(OR($G891="",$H891="",NOT(ISNUMBER($I891))),"",ROUND($H891*$I891*(1+IF($J891="",Setup!$B$16,$J891)),2))</f>
        <v/>
      </c>
      <c r="L891" s="89">
        <f>IF($K891="","",ROUND($K891*Setup!$B$13,2))</f>
        <v/>
      </c>
      <c r="M891" s="89">
        <f>IF($K891="","",$K891-$L891)</f>
        <v/>
      </c>
      <c r="N891" s="89">
        <f>IF(OR($M891="",$D891=""),"",ROUND($M891*IFERROR(IF(VLOOKUP($D891,Setup!$A$76:$C$87,3,FALSE)="",Setup!$B$14,VLOOKUP($D891,Setup!$A$76:$C$87,3,FALSE)),Setup!$B$14),2))</f>
        <v/>
      </c>
      <c r="O891" s="89">
        <f>IF(OR($M891="",$E891=""),"",ROUND($M891*IFERROR(IF(VLOOKUP($E891,Setup!$A$76:$C$87,3,FALSE)="",Setup!$B$15,VLOOKUP($E891,Setup!$A$76:$C$87,3,FALSE)),Setup!$B$15),2))</f>
        <v/>
      </c>
      <c r="P891" s="91" t="n"/>
      <c r="Q891" s="91" t="n"/>
      <c r="R891" s="91" t="n"/>
      <c r="S891" s="91" t="n"/>
      <c r="T891" s="91" t="n"/>
      <c r="U891" s="89">
        <f>IF($K891="","",SUM($R891:$T891))</f>
        <v/>
      </c>
      <c r="V891" s="89">
        <f>IF($K891="","",$M891-(N($N891)+N($O891)+IF($P891="",Setup!$B$17,$P891)+N($Q891))-N($U891))</f>
        <v/>
      </c>
      <c r="W891" s="86" t="n"/>
      <c r="X891" s="87" t="n"/>
      <c r="Z891" s="92">
        <f>IF($A891="","",DATE(YEAR($A891),MONTH($A891),1))</f>
        <v/>
      </c>
    </row>
    <row r="892">
      <c r="A892" s="93" t="n"/>
      <c r="B892" s="94" t="n"/>
      <c r="C892" s="94" t="n"/>
      <c r="D892" s="95" t="n"/>
      <c r="E892" s="95" t="n"/>
      <c r="F892" s="95" t="n"/>
      <c r="G892" s="95" t="n"/>
      <c r="H892" s="96" t="n"/>
      <c r="I892" s="89">
        <f>IF($G892="","",IF($F892="",IFERROR(INDEX(Setup!$C$21:$C$60,MATCH("|"&amp;UPPER(TRIM($G892)),Setup!$Q$21:$Q$60,0)),"NO RATE"),IFERROR(INDEX(Setup!$C$21:$C$60,MATCH(UPPER(TRIM($F892))&amp;"|"&amp;UPPER(TRIM($G892)),Setup!$P$21:$P$60,0)),IFERROR(INDEX(Setup!$C$21:$C$60,MATCH(UPPER(TRIM($G892))&amp;"|"&amp;UPPER(TRIM($F892)),Setup!$P$21:$P$60,0)),"NO RATE"))))</f>
        <v/>
      </c>
      <c r="J892" s="97" t="n"/>
      <c r="K892" s="89">
        <f>IF(OR($G892="",$H892="",NOT(ISNUMBER($I892))),"",ROUND($H892*$I892*(1+IF($J892="",Setup!$B$16,$J892)),2))</f>
        <v/>
      </c>
      <c r="L892" s="89">
        <f>IF($K892="","",ROUND($K892*Setup!$B$13,2))</f>
        <v/>
      </c>
      <c r="M892" s="89">
        <f>IF($K892="","",$K892-$L892)</f>
        <v/>
      </c>
      <c r="N892" s="89">
        <f>IF(OR($M892="",$D892=""),"",ROUND($M892*IFERROR(IF(VLOOKUP($D892,Setup!$A$76:$C$87,3,FALSE)="",Setup!$B$14,VLOOKUP($D892,Setup!$A$76:$C$87,3,FALSE)),Setup!$B$14),2))</f>
        <v/>
      </c>
      <c r="O892" s="89">
        <f>IF(OR($M892="",$E892=""),"",ROUND($M892*IFERROR(IF(VLOOKUP($E892,Setup!$A$76:$C$87,3,FALSE)="",Setup!$B$15,VLOOKUP($E892,Setup!$A$76:$C$87,3,FALSE)),Setup!$B$15),2))</f>
        <v/>
      </c>
      <c r="P892" s="98" t="n"/>
      <c r="Q892" s="98" t="n"/>
      <c r="R892" s="98" t="n"/>
      <c r="S892" s="98" t="n"/>
      <c r="T892" s="98" t="n"/>
      <c r="U892" s="89">
        <f>IF($K892="","",SUM($R892:$T892))</f>
        <v/>
      </c>
      <c r="V892" s="89">
        <f>IF($K892="","",$M892-(N($N892)+N($O892)+IF($P892="",Setup!$B$17,$P892)+N($Q892))-N($U892))</f>
        <v/>
      </c>
      <c r="W892" s="94" t="n"/>
      <c r="X892" s="95" t="n"/>
      <c r="Z892" s="92">
        <f>IF($A892="","",DATE(YEAR($A892),MONTH($A892),1))</f>
        <v/>
      </c>
    </row>
    <row r="893">
      <c r="A893" s="85" t="n"/>
      <c r="B893" s="86" t="n"/>
      <c r="C893" s="86" t="n"/>
      <c r="D893" s="87" t="n"/>
      <c r="E893" s="87" t="n"/>
      <c r="F893" s="87" t="n"/>
      <c r="G893" s="87" t="n"/>
      <c r="H893" s="88" t="n"/>
      <c r="I893" s="89">
        <f>IF($G893="","",IF($F893="",IFERROR(INDEX(Setup!$C$21:$C$60,MATCH("|"&amp;UPPER(TRIM($G893)),Setup!$Q$21:$Q$60,0)),"NO RATE"),IFERROR(INDEX(Setup!$C$21:$C$60,MATCH(UPPER(TRIM($F893))&amp;"|"&amp;UPPER(TRIM($G893)),Setup!$P$21:$P$60,0)),IFERROR(INDEX(Setup!$C$21:$C$60,MATCH(UPPER(TRIM($G893))&amp;"|"&amp;UPPER(TRIM($F893)),Setup!$P$21:$P$60,0)),"NO RATE"))))</f>
        <v/>
      </c>
      <c r="J893" s="90" t="n"/>
      <c r="K893" s="89">
        <f>IF(OR($G893="",$H893="",NOT(ISNUMBER($I893))),"",ROUND($H893*$I893*(1+IF($J893="",Setup!$B$16,$J893)),2))</f>
        <v/>
      </c>
      <c r="L893" s="89">
        <f>IF($K893="","",ROUND($K893*Setup!$B$13,2))</f>
        <v/>
      </c>
      <c r="M893" s="89">
        <f>IF($K893="","",$K893-$L893)</f>
        <v/>
      </c>
      <c r="N893" s="89">
        <f>IF(OR($M893="",$D893=""),"",ROUND($M893*IFERROR(IF(VLOOKUP($D893,Setup!$A$76:$C$87,3,FALSE)="",Setup!$B$14,VLOOKUP($D893,Setup!$A$76:$C$87,3,FALSE)),Setup!$B$14),2))</f>
        <v/>
      </c>
      <c r="O893" s="89">
        <f>IF(OR($M893="",$E893=""),"",ROUND($M893*IFERROR(IF(VLOOKUP($E893,Setup!$A$76:$C$87,3,FALSE)="",Setup!$B$15,VLOOKUP($E893,Setup!$A$76:$C$87,3,FALSE)),Setup!$B$15),2))</f>
        <v/>
      </c>
      <c r="P893" s="91" t="n"/>
      <c r="Q893" s="91" t="n"/>
      <c r="R893" s="91" t="n"/>
      <c r="S893" s="91" t="n"/>
      <c r="T893" s="91" t="n"/>
      <c r="U893" s="89">
        <f>IF($K893="","",SUM($R893:$T893))</f>
        <v/>
      </c>
      <c r="V893" s="89">
        <f>IF($K893="","",$M893-(N($N893)+N($O893)+IF($P893="",Setup!$B$17,$P893)+N($Q893))-N($U893))</f>
        <v/>
      </c>
      <c r="W893" s="86" t="n"/>
      <c r="X893" s="87" t="n"/>
      <c r="Z893" s="92">
        <f>IF($A893="","",DATE(YEAR($A893),MONTH($A893),1))</f>
        <v/>
      </c>
    </row>
    <row r="894">
      <c r="A894" s="93" t="n"/>
      <c r="B894" s="94" t="n"/>
      <c r="C894" s="94" t="n"/>
      <c r="D894" s="95" t="n"/>
      <c r="E894" s="95" t="n"/>
      <c r="F894" s="95" t="n"/>
      <c r="G894" s="95" t="n"/>
      <c r="H894" s="96" t="n"/>
      <c r="I894" s="89">
        <f>IF($G894="","",IF($F894="",IFERROR(INDEX(Setup!$C$21:$C$60,MATCH("|"&amp;UPPER(TRIM($G894)),Setup!$Q$21:$Q$60,0)),"NO RATE"),IFERROR(INDEX(Setup!$C$21:$C$60,MATCH(UPPER(TRIM($F894))&amp;"|"&amp;UPPER(TRIM($G894)),Setup!$P$21:$P$60,0)),IFERROR(INDEX(Setup!$C$21:$C$60,MATCH(UPPER(TRIM($G894))&amp;"|"&amp;UPPER(TRIM($F894)),Setup!$P$21:$P$60,0)),"NO RATE"))))</f>
        <v/>
      </c>
      <c r="J894" s="97" t="n"/>
      <c r="K894" s="89">
        <f>IF(OR($G894="",$H894="",NOT(ISNUMBER($I894))),"",ROUND($H894*$I894*(1+IF($J894="",Setup!$B$16,$J894)),2))</f>
        <v/>
      </c>
      <c r="L894" s="89">
        <f>IF($K894="","",ROUND($K894*Setup!$B$13,2))</f>
        <v/>
      </c>
      <c r="M894" s="89">
        <f>IF($K894="","",$K894-$L894)</f>
        <v/>
      </c>
      <c r="N894" s="89">
        <f>IF(OR($M894="",$D894=""),"",ROUND($M894*IFERROR(IF(VLOOKUP($D894,Setup!$A$76:$C$87,3,FALSE)="",Setup!$B$14,VLOOKUP($D894,Setup!$A$76:$C$87,3,FALSE)),Setup!$B$14),2))</f>
        <v/>
      </c>
      <c r="O894" s="89">
        <f>IF(OR($M894="",$E894=""),"",ROUND($M894*IFERROR(IF(VLOOKUP($E894,Setup!$A$76:$C$87,3,FALSE)="",Setup!$B$15,VLOOKUP($E894,Setup!$A$76:$C$87,3,FALSE)),Setup!$B$15),2))</f>
        <v/>
      </c>
      <c r="P894" s="98" t="n"/>
      <c r="Q894" s="98" t="n"/>
      <c r="R894" s="98" t="n"/>
      <c r="S894" s="98" t="n"/>
      <c r="T894" s="98" t="n"/>
      <c r="U894" s="89">
        <f>IF($K894="","",SUM($R894:$T894))</f>
        <v/>
      </c>
      <c r="V894" s="89">
        <f>IF($K894="","",$M894-(N($N894)+N($O894)+IF($P894="",Setup!$B$17,$P894)+N($Q894))-N($U894))</f>
        <v/>
      </c>
      <c r="W894" s="94" t="n"/>
      <c r="X894" s="95" t="n"/>
      <c r="Z894" s="92">
        <f>IF($A894="","",DATE(YEAR($A894),MONTH($A894),1))</f>
        <v/>
      </c>
    </row>
    <row r="895">
      <c r="A895" s="85" t="n"/>
      <c r="B895" s="86" t="n"/>
      <c r="C895" s="86" t="n"/>
      <c r="D895" s="87" t="n"/>
      <c r="E895" s="87" t="n"/>
      <c r="F895" s="87" t="n"/>
      <c r="G895" s="87" t="n"/>
      <c r="H895" s="88" t="n"/>
      <c r="I895" s="89">
        <f>IF($G895="","",IF($F895="",IFERROR(INDEX(Setup!$C$21:$C$60,MATCH("|"&amp;UPPER(TRIM($G895)),Setup!$Q$21:$Q$60,0)),"NO RATE"),IFERROR(INDEX(Setup!$C$21:$C$60,MATCH(UPPER(TRIM($F895))&amp;"|"&amp;UPPER(TRIM($G895)),Setup!$P$21:$P$60,0)),IFERROR(INDEX(Setup!$C$21:$C$60,MATCH(UPPER(TRIM($G895))&amp;"|"&amp;UPPER(TRIM($F895)),Setup!$P$21:$P$60,0)),"NO RATE"))))</f>
        <v/>
      </c>
      <c r="J895" s="90" t="n"/>
      <c r="K895" s="89">
        <f>IF(OR($G895="",$H895="",NOT(ISNUMBER($I895))),"",ROUND($H895*$I895*(1+IF($J895="",Setup!$B$16,$J895)),2))</f>
        <v/>
      </c>
      <c r="L895" s="89">
        <f>IF($K895="","",ROUND($K895*Setup!$B$13,2))</f>
        <v/>
      </c>
      <c r="M895" s="89">
        <f>IF($K895="","",$K895-$L895)</f>
        <v/>
      </c>
      <c r="N895" s="89">
        <f>IF(OR($M895="",$D895=""),"",ROUND($M895*IFERROR(IF(VLOOKUP($D895,Setup!$A$76:$C$87,3,FALSE)="",Setup!$B$14,VLOOKUP($D895,Setup!$A$76:$C$87,3,FALSE)),Setup!$B$14),2))</f>
        <v/>
      </c>
      <c r="O895" s="89">
        <f>IF(OR($M895="",$E895=""),"",ROUND($M895*IFERROR(IF(VLOOKUP($E895,Setup!$A$76:$C$87,3,FALSE)="",Setup!$B$15,VLOOKUP($E895,Setup!$A$76:$C$87,3,FALSE)),Setup!$B$15),2))</f>
        <v/>
      </c>
      <c r="P895" s="91" t="n"/>
      <c r="Q895" s="91" t="n"/>
      <c r="R895" s="91" t="n"/>
      <c r="S895" s="91" t="n"/>
      <c r="T895" s="91" t="n"/>
      <c r="U895" s="89">
        <f>IF($K895="","",SUM($R895:$T895))</f>
        <v/>
      </c>
      <c r="V895" s="89">
        <f>IF($K895="","",$M895-(N($N895)+N($O895)+IF($P895="",Setup!$B$17,$P895)+N($Q895))-N($U895))</f>
        <v/>
      </c>
      <c r="W895" s="86" t="n"/>
      <c r="X895" s="87" t="n"/>
      <c r="Z895" s="92">
        <f>IF($A895="","",DATE(YEAR($A895),MONTH($A895),1))</f>
        <v/>
      </c>
    </row>
    <row r="896">
      <c r="A896" s="93" t="n"/>
      <c r="B896" s="94" t="n"/>
      <c r="C896" s="94" t="n"/>
      <c r="D896" s="95" t="n"/>
      <c r="E896" s="95" t="n"/>
      <c r="F896" s="95" t="n"/>
      <c r="G896" s="95" t="n"/>
      <c r="H896" s="96" t="n"/>
      <c r="I896" s="89">
        <f>IF($G896="","",IF($F896="",IFERROR(INDEX(Setup!$C$21:$C$60,MATCH("|"&amp;UPPER(TRIM($G896)),Setup!$Q$21:$Q$60,0)),"NO RATE"),IFERROR(INDEX(Setup!$C$21:$C$60,MATCH(UPPER(TRIM($F896))&amp;"|"&amp;UPPER(TRIM($G896)),Setup!$P$21:$P$60,0)),IFERROR(INDEX(Setup!$C$21:$C$60,MATCH(UPPER(TRIM($G896))&amp;"|"&amp;UPPER(TRIM($F896)),Setup!$P$21:$P$60,0)),"NO RATE"))))</f>
        <v/>
      </c>
      <c r="J896" s="97" t="n"/>
      <c r="K896" s="89">
        <f>IF(OR($G896="",$H896="",NOT(ISNUMBER($I896))),"",ROUND($H896*$I896*(1+IF($J896="",Setup!$B$16,$J896)),2))</f>
        <v/>
      </c>
      <c r="L896" s="89">
        <f>IF($K896="","",ROUND($K896*Setup!$B$13,2))</f>
        <v/>
      </c>
      <c r="M896" s="89">
        <f>IF($K896="","",$K896-$L896)</f>
        <v/>
      </c>
      <c r="N896" s="89">
        <f>IF(OR($M896="",$D896=""),"",ROUND($M896*IFERROR(IF(VLOOKUP($D896,Setup!$A$76:$C$87,3,FALSE)="",Setup!$B$14,VLOOKUP($D896,Setup!$A$76:$C$87,3,FALSE)),Setup!$B$14),2))</f>
        <v/>
      </c>
      <c r="O896" s="89">
        <f>IF(OR($M896="",$E896=""),"",ROUND($M896*IFERROR(IF(VLOOKUP($E896,Setup!$A$76:$C$87,3,FALSE)="",Setup!$B$15,VLOOKUP($E896,Setup!$A$76:$C$87,3,FALSE)),Setup!$B$15),2))</f>
        <v/>
      </c>
      <c r="P896" s="98" t="n"/>
      <c r="Q896" s="98" t="n"/>
      <c r="R896" s="98" t="n"/>
      <c r="S896" s="98" t="n"/>
      <c r="T896" s="98" t="n"/>
      <c r="U896" s="89">
        <f>IF($K896="","",SUM($R896:$T896))</f>
        <v/>
      </c>
      <c r="V896" s="89">
        <f>IF($K896="","",$M896-(N($N896)+N($O896)+IF($P896="",Setup!$B$17,$P896)+N($Q896))-N($U896))</f>
        <v/>
      </c>
      <c r="W896" s="94" t="n"/>
      <c r="X896" s="95" t="n"/>
      <c r="Z896" s="92">
        <f>IF($A896="","",DATE(YEAR($A896),MONTH($A896),1))</f>
        <v/>
      </c>
    </row>
    <row r="897">
      <c r="A897" s="85" t="n"/>
      <c r="B897" s="86" t="n"/>
      <c r="C897" s="86" t="n"/>
      <c r="D897" s="87" t="n"/>
      <c r="E897" s="87" t="n"/>
      <c r="F897" s="87" t="n"/>
      <c r="G897" s="87" t="n"/>
      <c r="H897" s="88" t="n"/>
      <c r="I897" s="89">
        <f>IF($G897="","",IF($F897="",IFERROR(INDEX(Setup!$C$21:$C$60,MATCH("|"&amp;UPPER(TRIM($G897)),Setup!$Q$21:$Q$60,0)),"NO RATE"),IFERROR(INDEX(Setup!$C$21:$C$60,MATCH(UPPER(TRIM($F897))&amp;"|"&amp;UPPER(TRIM($G897)),Setup!$P$21:$P$60,0)),IFERROR(INDEX(Setup!$C$21:$C$60,MATCH(UPPER(TRIM($G897))&amp;"|"&amp;UPPER(TRIM($F897)),Setup!$P$21:$P$60,0)),"NO RATE"))))</f>
        <v/>
      </c>
      <c r="J897" s="90" t="n"/>
      <c r="K897" s="89">
        <f>IF(OR($G897="",$H897="",NOT(ISNUMBER($I897))),"",ROUND($H897*$I897*(1+IF($J897="",Setup!$B$16,$J897)),2))</f>
        <v/>
      </c>
      <c r="L897" s="89">
        <f>IF($K897="","",ROUND($K897*Setup!$B$13,2))</f>
        <v/>
      </c>
      <c r="M897" s="89">
        <f>IF($K897="","",$K897-$L897)</f>
        <v/>
      </c>
      <c r="N897" s="89">
        <f>IF(OR($M897="",$D897=""),"",ROUND($M897*IFERROR(IF(VLOOKUP($D897,Setup!$A$76:$C$87,3,FALSE)="",Setup!$B$14,VLOOKUP($D897,Setup!$A$76:$C$87,3,FALSE)),Setup!$B$14),2))</f>
        <v/>
      </c>
      <c r="O897" s="89">
        <f>IF(OR($M897="",$E897=""),"",ROUND($M897*IFERROR(IF(VLOOKUP($E897,Setup!$A$76:$C$87,3,FALSE)="",Setup!$B$15,VLOOKUP($E897,Setup!$A$76:$C$87,3,FALSE)),Setup!$B$15),2))</f>
        <v/>
      </c>
      <c r="P897" s="91" t="n"/>
      <c r="Q897" s="91" t="n"/>
      <c r="R897" s="91" t="n"/>
      <c r="S897" s="91" t="n"/>
      <c r="T897" s="91" t="n"/>
      <c r="U897" s="89">
        <f>IF($K897="","",SUM($R897:$T897))</f>
        <v/>
      </c>
      <c r="V897" s="89">
        <f>IF($K897="","",$M897-(N($N897)+N($O897)+IF($P897="",Setup!$B$17,$P897)+N($Q897))-N($U897))</f>
        <v/>
      </c>
      <c r="W897" s="86" t="n"/>
      <c r="X897" s="87" t="n"/>
      <c r="Z897" s="92">
        <f>IF($A897="","",DATE(YEAR($A897),MONTH($A897),1))</f>
        <v/>
      </c>
    </row>
    <row r="898">
      <c r="A898" s="93" t="n"/>
      <c r="B898" s="94" t="n"/>
      <c r="C898" s="94" t="n"/>
      <c r="D898" s="95" t="n"/>
      <c r="E898" s="95" t="n"/>
      <c r="F898" s="95" t="n"/>
      <c r="G898" s="95" t="n"/>
      <c r="H898" s="96" t="n"/>
      <c r="I898" s="89">
        <f>IF($G898="","",IF($F898="",IFERROR(INDEX(Setup!$C$21:$C$60,MATCH("|"&amp;UPPER(TRIM($G898)),Setup!$Q$21:$Q$60,0)),"NO RATE"),IFERROR(INDEX(Setup!$C$21:$C$60,MATCH(UPPER(TRIM($F898))&amp;"|"&amp;UPPER(TRIM($G898)),Setup!$P$21:$P$60,0)),IFERROR(INDEX(Setup!$C$21:$C$60,MATCH(UPPER(TRIM($G898))&amp;"|"&amp;UPPER(TRIM($F898)),Setup!$P$21:$P$60,0)),"NO RATE"))))</f>
        <v/>
      </c>
      <c r="J898" s="97" t="n"/>
      <c r="K898" s="89">
        <f>IF(OR($G898="",$H898="",NOT(ISNUMBER($I898))),"",ROUND($H898*$I898*(1+IF($J898="",Setup!$B$16,$J898)),2))</f>
        <v/>
      </c>
      <c r="L898" s="89">
        <f>IF($K898="","",ROUND($K898*Setup!$B$13,2))</f>
        <v/>
      </c>
      <c r="M898" s="89">
        <f>IF($K898="","",$K898-$L898)</f>
        <v/>
      </c>
      <c r="N898" s="89">
        <f>IF(OR($M898="",$D898=""),"",ROUND($M898*IFERROR(IF(VLOOKUP($D898,Setup!$A$76:$C$87,3,FALSE)="",Setup!$B$14,VLOOKUP($D898,Setup!$A$76:$C$87,3,FALSE)),Setup!$B$14),2))</f>
        <v/>
      </c>
      <c r="O898" s="89">
        <f>IF(OR($M898="",$E898=""),"",ROUND($M898*IFERROR(IF(VLOOKUP($E898,Setup!$A$76:$C$87,3,FALSE)="",Setup!$B$15,VLOOKUP($E898,Setup!$A$76:$C$87,3,FALSE)),Setup!$B$15),2))</f>
        <v/>
      </c>
      <c r="P898" s="98" t="n"/>
      <c r="Q898" s="98" t="n"/>
      <c r="R898" s="98" t="n"/>
      <c r="S898" s="98" t="n"/>
      <c r="T898" s="98" t="n"/>
      <c r="U898" s="89">
        <f>IF($K898="","",SUM($R898:$T898))</f>
        <v/>
      </c>
      <c r="V898" s="89">
        <f>IF($K898="","",$M898-(N($N898)+N($O898)+IF($P898="",Setup!$B$17,$P898)+N($Q898))-N($U898))</f>
        <v/>
      </c>
      <c r="W898" s="94" t="n"/>
      <c r="X898" s="95" t="n"/>
      <c r="Z898" s="92">
        <f>IF($A898="","",DATE(YEAR($A898),MONTH($A898),1))</f>
        <v/>
      </c>
    </row>
    <row r="899">
      <c r="A899" s="85" t="n"/>
      <c r="B899" s="86" t="n"/>
      <c r="C899" s="86" t="n"/>
      <c r="D899" s="87" t="n"/>
      <c r="E899" s="87" t="n"/>
      <c r="F899" s="87" t="n"/>
      <c r="G899" s="87" t="n"/>
      <c r="H899" s="88" t="n"/>
      <c r="I899" s="89">
        <f>IF($G899="","",IF($F899="",IFERROR(INDEX(Setup!$C$21:$C$60,MATCH("|"&amp;UPPER(TRIM($G899)),Setup!$Q$21:$Q$60,0)),"NO RATE"),IFERROR(INDEX(Setup!$C$21:$C$60,MATCH(UPPER(TRIM($F899))&amp;"|"&amp;UPPER(TRIM($G899)),Setup!$P$21:$P$60,0)),IFERROR(INDEX(Setup!$C$21:$C$60,MATCH(UPPER(TRIM($G899))&amp;"|"&amp;UPPER(TRIM($F899)),Setup!$P$21:$P$60,0)),"NO RATE"))))</f>
        <v/>
      </c>
      <c r="J899" s="90" t="n"/>
      <c r="K899" s="89">
        <f>IF(OR($G899="",$H899="",NOT(ISNUMBER($I899))),"",ROUND($H899*$I899*(1+IF($J899="",Setup!$B$16,$J899)),2))</f>
        <v/>
      </c>
      <c r="L899" s="89">
        <f>IF($K899="","",ROUND($K899*Setup!$B$13,2))</f>
        <v/>
      </c>
      <c r="M899" s="89">
        <f>IF($K899="","",$K899-$L899)</f>
        <v/>
      </c>
      <c r="N899" s="89">
        <f>IF(OR($M899="",$D899=""),"",ROUND($M899*IFERROR(IF(VLOOKUP($D899,Setup!$A$76:$C$87,3,FALSE)="",Setup!$B$14,VLOOKUP($D899,Setup!$A$76:$C$87,3,FALSE)),Setup!$B$14),2))</f>
        <v/>
      </c>
      <c r="O899" s="89">
        <f>IF(OR($M899="",$E899=""),"",ROUND($M899*IFERROR(IF(VLOOKUP($E899,Setup!$A$76:$C$87,3,FALSE)="",Setup!$B$15,VLOOKUP($E899,Setup!$A$76:$C$87,3,FALSE)),Setup!$B$15),2))</f>
        <v/>
      </c>
      <c r="P899" s="91" t="n"/>
      <c r="Q899" s="91" t="n"/>
      <c r="R899" s="91" t="n"/>
      <c r="S899" s="91" t="n"/>
      <c r="T899" s="91" t="n"/>
      <c r="U899" s="89">
        <f>IF($K899="","",SUM($R899:$T899))</f>
        <v/>
      </c>
      <c r="V899" s="89">
        <f>IF($K899="","",$M899-(N($N899)+N($O899)+IF($P899="",Setup!$B$17,$P899)+N($Q899))-N($U899))</f>
        <v/>
      </c>
      <c r="W899" s="86" t="n"/>
      <c r="X899" s="87" t="n"/>
      <c r="Z899" s="92">
        <f>IF($A899="","",DATE(YEAR($A899),MONTH($A899),1))</f>
        <v/>
      </c>
    </row>
    <row r="900">
      <c r="A900" s="93" t="n"/>
      <c r="B900" s="94" t="n"/>
      <c r="C900" s="94" t="n"/>
      <c r="D900" s="95" t="n"/>
      <c r="E900" s="95" t="n"/>
      <c r="F900" s="95" t="n"/>
      <c r="G900" s="95" t="n"/>
      <c r="H900" s="96" t="n"/>
      <c r="I900" s="89">
        <f>IF($G900="","",IF($F900="",IFERROR(INDEX(Setup!$C$21:$C$60,MATCH("|"&amp;UPPER(TRIM($G900)),Setup!$Q$21:$Q$60,0)),"NO RATE"),IFERROR(INDEX(Setup!$C$21:$C$60,MATCH(UPPER(TRIM($F900))&amp;"|"&amp;UPPER(TRIM($G900)),Setup!$P$21:$P$60,0)),IFERROR(INDEX(Setup!$C$21:$C$60,MATCH(UPPER(TRIM($G900))&amp;"|"&amp;UPPER(TRIM($F900)),Setup!$P$21:$P$60,0)),"NO RATE"))))</f>
        <v/>
      </c>
      <c r="J900" s="97" t="n"/>
      <c r="K900" s="89">
        <f>IF(OR($G900="",$H900="",NOT(ISNUMBER($I900))),"",ROUND($H900*$I900*(1+IF($J900="",Setup!$B$16,$J900)),2))</f>
        <v/>
      </c>
      <c r="L900" s="89">
        <f>IF($K900="","",ROUND($K900*Setup!$B$13,2))</f>
        <v/>
      </c>
      <c r="M900" s="89">
        <f>IF($K900="","",$K900-$L900)</f>
        <v/>
      </c>
      <c r="N900" s="89">
        <f>IF(OR($M900="",$D900=""),"",ROUND($M900*IFERROR(IF(VLOOKUP($D900,Setup!$A$76:$C$87,3,FALSE)="",Setup!$B$14,VLOOKUP($D900,Setup!$A$76:$C$87,3,FALSE)),Setup!$B$14),2))</f>
        <v/>
      </c>
      <c r="O900" s="89">
        <f>IF(OR($M900="",$E900=""),"",ROUND($M900*IFERROR(IF(VLOOKUP($E900,Setup!$A$76:$C$87,3,FALSE)="",Setup!$B$15,VLOOKUP($E900,Setup!$A$76:$C$87,3,FALSE)),Setup!$B$15),2))</f>
        <v/>
      </c>
      <c r="P900" s="98" t="n"/>
      <c r="Q900" s="98" t="n"/>
      <c r="R900" s="98" t="n"/>
      <c r="S900" s="98" t="n"/>
      <c r="T900" s="98" t="n"/>
      <c r="U900" s="89">
        <f>IF($K900="","",SUM($R900:$T900))</f>
        <v/>
      </c>
      <c r="V900" s="89">
        <f>IF($K900="","",$M900-(N($N900)+N($O900)+IF($P900="",Setup!$B$17,$P900)+N($Q900))-N($U900))</f>
        <v/>
      </c>
      <c r="W900" s="94" t="n"/>
      <c r="X900" s="95" t="n"/>
      <c r="Z900" s="92">
        <f>IF($A900="","",DATE(YEAR($A900),MONTH($A900),1))</f>
        <v/>
      </c>
    </row>
    <row r="901">
      <c r="A901" s="85" t="n"/>
      <c r="B901" s="86" t="n"/>
      <c r="C901" s="86" t="n"/>
      <c r="D901" s="87" t="n"/>
      <c r="E901" s="87" t="n"/>
      <c r="F901" s="87" t="n"/>
      <c r="G901" s="87" t="n"/>
      <c r="H901" s="88" t="n"/>
      <c r="I901" s="89">
        <f>IF($G901="","",IF($F901="",IFERROR(INDEX(Setup!$C$21:$C$60,MATCH("|"&amp;UPPER(TRIM($G901)),Setup!$Q$21:$Q$60,0)),"NO RATE"),IFERROR(INDEX(Setup!$C$21:$C$60,MATCH(UPPER(TRIM($F901))&amp;"|"&amp;UPPER(TRIM($G901)),Setup!$P$21:$P$60,0)),IFERROR(INDEX(Setup!$C$21:$C$60,MATCH(UPPER(TRIM($G901))&amp;"|"&amp;UPPER(TRIM($F901)),Setup!$P$21:$P$60,0)),"NO RATE"))))</f>
        <v/>
      </c>
      <c r="J901" s="90" t="n"/>
      <c r="K901" s="89">
        <f>IF(OR($G901="",$H901="",NOT(ISNUMBER($I901))),"",ROUND($H901*$I901*(1+IF($J901="",Setup!$B$16,$J901)),2))</f>
        <v/>
      </c>
      <c r="L901" s="89">
        <f>IF($K901="","",ROUND($K901*Setup!$B$13,2))</f>
        <v/>
      </c>
      <c r="M901" s="89">
        <f>IF($K901="","",$K901-$L901)</f>
        <v/>
      </c>
      <c r="N901" s="89">
        <f>IF(OR($M901="",$D901=""),"",ROUND($M901*IFERROR(IF(VLOOKUP($D901,Setup!$A$76:$C$87,3,FALSE)="",Setup!$B$14,VLOOKUP($D901,Setup!$A$76:$C$87,3,FALSE)),Setup!$B$14),2))</f>
        <v/>
      </c>
      <c r="O901" s="89">
        <f>IF(OR($M901="",$E901=""),"",ROUND($M901*IFERROR(IF(VLOOKUP($E901,Setup!$A$76:$C$87,3,FALSE)="",Setup!$B$15,VLOOKUP($E901,Setup!$A$76:$C$87,3,FALSE)),Setup!$B$15),2))</f>
        <v/>
      </c>
      <c r="P901" s="91" t="n"/>
      <c r="Q901" s="91" t="n"/>
      <c r="R901" s="91" t="n"/>
      <c r="S901" s="91" t="n"/>
      <c r="T901" s="91" t="n"/>
      <c r="U901" s="89">
        <f>IF($K901="","",SUM($R901:$T901))</f>
        <v/>
      </c>
      <c r="V901" s="89">
        <f>IF($K901="","",$M901-(N($N901)+N($O901)+IF($P901="",Setup!$B$17,$P901)+N($Q901))-N($U901))</f>
        <v/>
      </c>
      <c r="W901" s="86" t="n"/>
      <c r="X901" s="87" t="n"/>
      <c r="Z901" s="92">
        <f>IF($A901="","",DATE(YEAR($A901),MONTH($A901),1))</f>
        <v/>
      </c>
    </row>
    <row r="902">
      <c r="A902" s="93" t="n"/>
      <c r="B902" s="94" t="n"/>
      <c r="C902" s="94" t="n"/>
      <c r="D902" s="95" t="n"/>
      <c r="E902" s="95" t="n"/>
      <c r="F902" s="95" t="n"/>
      <c r="G902" s="95" t="n"/>
      <c r="H902" s="96" t="n"/>
      <c r="I902" s="89">
        <f>IF($G902="","",IF($F902="",IFERROR(INDEX(Setup!$C$21:$C$60,MATCH("|"&amp;UPPER(TRIM($G902)),Setup!$Q$21:$Q$60,0)),"NO RATE"),IFERROR(INDEX(Setup!$C$21:$C$60,MATCH(UPPER(TRIM($F902))&amp;"|"&amp;UPPER(TRIM($G902)),Setup!$P$21:$P$60,0)),IFERROR(INDEX(Setup!$C$21:$C$60,MATCH(UPPER(TRIM($G902))&amp;"|"&amp;UPPER(TRIM($F902)),Setup!$P$21:$P$60,0)),"NO RATE"))))</f>
        <v/>
      </c>
      <c r="J902" s="97" t="n"/>
      <c r="K902" s="89">
        <f>IF(OR($G902="",$H902="",NOT(ISNUMBER($I902))),"",ROUND($H902*$I902*(1+IF($J902="",Setup!$B$16,$J902)),2))</f>
        <v/>
      </c>
      <c r="L902" s="89">
        <f>IF($K902="","",ROUND($K902*Setup!$B$13,2))</f>
        <v/>
      </c>
      <c r="M902" s="89">
        <f>IF($K902="","",$K902-$L902)</f>
        <v/>
      </c>
      <c r="N902" s="89">
        <f>IF(OR($M902="",$D902=""),"",ROUND($M902*IFERROR(IF(VLOOKUP($D902,Setup!$A$76:$C$87,3,FALSE)="",Setup!$B$14,VLOOKUP($D902,Setup!$A$76:$C$87,3,FALSE)),Setup!$B$14),2))</f>
        <v/>
      </c>
      <c r="O902" s="89">
        <f>IF(OR($M902="",$E902=""),"",ROUND($M902*IFERROR(IF(VLOOKUP($E902,Setup!$A$76:$C$87,3,FALSE)="",Setup!$B$15,VLOOKUP($E902,Setup!$A$76:$C$87,3,FALSE)),Setup!$B$15),2))</f>
        <v/>
      </c>
      <c r="P902" s="98" t="n"/>
      <c r="Q902" s="98" t="n"/>
      <c r="R902" s="98" t="n"/>
      <c r="S902" s="98" t="n"/>
      <c r="T902" s="98" t="n"/>
      <c r="U902" s="89">
        <f>IF($K902="","",SUM($R902:$T902))</f>
        <v/>
      </c>
      <c r="V902" s="89">
        <f>IF($K902="","",$M902-(N($N902)+N($O902)+IF($P902="",Setup!$B$17,$P902)+N($Q902))-N($U902))</f>
        <v/>
      </c>
      <c r="W902" s="94" t="n"/>
      <c r="X902" s="95" t="n"/>
      <c r="Z902" s="92">
        <f>IF($A902="","",DATE(YEAR($A902),MONTH($A902),1))</f>
        <v/>
      </c>
    </row>
    <row r="903">
      <c r="A903" s="85" t="n"/>
      <c r="B903" s="86" t="n"/>
      <c r="C903" s="86" t="n"/>
      <c r="D903" s="87" t="n"/>
      <c r="E903" s="87" t="n"/>
      <c r="F903" s="87" t="n"/>
      <c r="G903" s="87" t="n"/>
      <c r="H903" s="88" t="n"/>
      <c r="I903" s="89">
        <f>IF($G903="","",IF($F903="",IFERROR(INDEX(Setup!$C$21:$C$60,MATCH("|"&amp;UPPER(TRIM($G903)),Setup!$Q$21:$Q$60,0)),"NO RATE"),IFERROR(INDEX(Setup!$C$21:$C$60,MATCH(UPPER(TRIM($F903))&amp;"|"&amp;UPPER(TRIM($G903)),Setup!$P$21:$P$60,0)),IFERROR(INDEX(Setup!$C$21:$C$60,MATCH(UPPER(TRIM($G903))&amp;"|"&amp;UPPER(TRIM($F903)),Setup!$P$21:$P$60,0)),"NO RATE"))))</f>
        <v/>
      </c>
      <c r="J903" s="90" t="n"/>
      <c r="K903" s="89">
        <f>IF(OR($G903="",$H903="",NOT(ISNUMBER($I903))),"",ROUND($H903*$I903*(1+IF($J903="",Setup!$B$16,$J903)),2))</f>
        <v/>
      </c>
      <c r="L903" s="89">
        <f>IF($K903="","",ROUND($K903*Setup!$B$13,2))</f>
        <v/>
      </c>
      <c r="M903" s="89">
        <f>IF($K903="","",$K903-$L903)</f>
        <v/>
      </c>
      <c r="N903" s="89">
        <f>IF(OR($M903="",$D903=""),"",ROUND($M903*IFERROR(IF(VLOOKUP($D903,Setup!$A$76:$C$87,3,FALSE)="",Setup!$B$14,VLOOKUP($D903,Setup!$A$76:$C$87,3,FALSE)),Setup!$B$14),2))</f>
        <v/>
      </c>
      <c r="O903" s="89">
        <f>IF(OR($M903="",$E903=""),"",ROUND($M903*IFERROR(IF(VLOOKUP($E903,Setup!$A$76:$C$87,3,FALSE)="",Setup!$B$15,VLOOKUP($E903,Setup!$A$76:$C$87,3,FALSE)),Setup!$B$15),2))</f>
        <v/>
      </c>
      <c r="P903" s="91" t="n"/>
      <c r="Q903" s="91" t="n"/>
      <c r="R903" s="91" t="n"/>
      <c r="S903" s="91" t="n"/>
      <c r="T903" s="91" t="n"/>
      <c r="U903" s="89">
        <f>IF($K903="","",SUM($R903:$T903))</f>
        <v/>
      </c>
      <c r="V903" s="89">
        <f>IF($K903="","",$M903-(N($N903)+N($O903)+IF($P903="",Setup!$B$17,$P903)+N($Q903))-N($U903))</f>
        <v/>
      </c>
      <c r="W903" s="86" t="n"/>
      <c r="X903" s="87" t="n"/>
      <c r="Z903" s="92">
        <f>IF($A903="","",DATE(YEAR($A903),MONTH($A903),1))</f>
        <v/>
      </c>
    </row>
    <row r="904">
      <c r="A904" s="93" t="n"/>
      <c r="B904" s="94" t="n"/>
      <c r="C904" s="94" t="n"/>
      <c r="D904" s="95" t="n"/>
      <c r="E904" s="95" t="n"/>
      <c r="F904" s="95" t="n"/>
      <c r="G904" s="95" t="n"/>
      <c r="H904" s="96" t="n"/>
      <c r="I904" s="89">
        <f>IF($G904="","",IF($F904="",IFERROR(INDEX(Setup!$C$21:$C$60,MATCH("|"&amp;UPPER(TRIM($G904)),Setup!$Q$21:$Q$60,0)),"NO RATE"),IFERROR(INDEX(Setup!$C$21:$C$60,MATCH(UPPER(TRIM($F904))&amp;"|"&amp;UPPER(TRIM($G904)),Setup!$P$21:$P$60,0)),IFERROR(INDEX(Setup!$C$21:$C$60,MATCH(UPPER(TRIM($G904))&amp;"|"&amp;UPPER(TRIM($F904)),Setup!$P$21:$P$60,0)),"NO RATE"))))</f>
        <v/>
      </c>
      <c r="J904" s="97" t="n"/>
      <c r="K904" s="89">
        <f>IF(OR($G904="",$H904="",NOT(ISNUMBER($I904))),"",ROUND($H904*$I904*(1+IF($J904="",Setup!$B$16,$J904)),2))</f>
        <v/>
      </c>
      <c r="L904" s="89">
        <f>IF($K904="","",ROUND($K904*Setup!$B$13,2))</f>
        <v/>
      </c>
      <c r="M904" s="89">
        <f>IF($K904="","",$K904-$L904)</f>
        <v/>
      </c>
      <c r="N904" s="89">
        <f>IF(OR($M904="",$D904=""),"",ROUND($M904*IFERROR(IF(VLOOKUP($D904,Setup!$A$76:$C$87,3,FALSE)="",Setup!$B$14,VLOOKUP($D904,Setup!$A$76:$C$87,3,FALSE)),Setup!$B$14),2))</f>
        <v/>
      </c>
      <c r="O904" s="89">
        <f>IF(OR($M904="",$E904=""),"",ROUND($M904*IFERROR(IF(VLOOKUP($E904,Setup!$A$76:$C$87,3,FALSE)="",Setup!$B$15,VLOOKUP($E904,Setup!$A$76:$C$87,3,FALSE)),Setup!$B$15),2))</f>
        <v/>
      </c>
      <c r="P904" s="98" t="n"/>
      <c r="Q904" s="98" t="n"/>
      <c r="R904" s="98" t="n"/>
      <c r="S904" s="98" t="n"/>
      <c r="T904" s="98" t="n"/>
      <c r="U904" s="89">
        <f>IF($K904="","",SUM($R904:$T904))</f>
        <v/>
      </c>
      <c r="V904" s="89">
        <f>IF($K904="","",$M904-(N($N904)+N($O904)+IF($P904="",Setup!$B$17,$P904)+N($Q904))-N($U904))</f>
        <v/>
      </c>
      <c r="W904" s="94" t="n"/>
      <c r="X904" s="95" t="n"/>
      <c r="Z904" s="92">
        <f>IF($A904="","",DATE(YEAR($A904),MONTH($A904),1))</f>
        <v/>
      </c>
    </row>
    <row r="905">
      <c r="A905" s="85" t="n"/>
      <c r="B905" s="86" t="n"/>
      <c r="C905" s="86" t="n"/>
      <c r="D905" s="87" t="n"/>
      <c r="E905" s="87" t="n"/>
      <c r="F905" s="87" t="n"/>
      <c r="G905" s="87" t="n"/>
      <c r="H905" s="88" t="n"/>
      <c r="I905" s="89">
        <f>IF($G905="","",IF($F905="",IFERROR(INDEX(Setup!$C$21:$C$60,MATCH("|"&amp;UPPER(TRIM($G905)),Setup!$Q$21:$Q$60,0)),"NO RATE"),IFERROR(INDEX(Setup!$C$21:$C$60,MATCH(UPPER(TRIM($F905))&amp;"|"&amp;UPPER(TRIM($G905)),Setup!$P$21:$P$60,0)),IFERROR(INDEX(Setup!$C$21:$C$60,MATCH(UPPER(TRIM($G905))&amp;"|"&amp;UPPER(TRIM($F905)),Setup!$P$21:$P$60,0)),"NO RATE"))))</f>
        <v/>
      </c>
      <c r="J905" s="90" t="n"/>
      <c r="K905" s="89">
        <f>IF(OR($G905="",$H905="",NOT(ISNUMBER($I905))),"",ROUND($H905*$I905*(1+IF($J905="",Setup!$B$16,$J905)),2))</f>
        <v/>
      </c>
      <c r="L905" s="89">
        <f>IF($K905="","",ROUND($K905*Setup!$B$13,2))</f>
        <v/>
      </c>
      <c r="M905" s="89">
        <f>IF($K905="","",$K905-$L905)</f>
        <v/>
      </c>
      <c r="N905" s="89">
        <f>IF(OR($M905="",$D905=""),"",ROUND($M905*IFERROR(IF(VLOOKUP($D905,Setup!$A$76:$C$87,3,FALSE)="",Setup!$B$14,VLOOKUP($D905,Setup!$A$76:$C$87,3,FALSE)),Setup!$B$14),2))</f>
        <v/>
      </c>
      <c r="O905" s="89">
        <f>IF(OR($M905="",$E905=""),"",ROUND($M905*IFERROR(IF(VLOOKUP($E905,Setup!$A$76:$C$87,3,FALSE)="",Setup!$B$15,VLOOKUP($E905,Setup!$A$76:$C$87,3,FALSE)),Setup!$B$15),2))</f>
        <v/>
      </c>
      <c r="P905" s="91" t="n"/>
      <c r="Q905" s="91" t="n"/>
      <c r="R905" s="91" t="n"/>
      <c r="S905" s="91" t="n"/>
      <c r="T905" s="91" t="n"/>
      <c r="U905" s="89">
        <f>IF($K905="","",SUM($R905:$T905))</f>
        <v/>
      </c>
      <c r="V905" s="89">
        <f>IF($K905="","",$M905-(N($N905)+N($O905)+IF($P905="",Setup!$B$17,$P905)+N($Q905))-N($U905))</f>
        <v/>
      </c>
      <c r="W905" s="86" t="n"/>
      <c r="X905" s="87" t="n"/>
      <c r="Z905" s="92">
        <f>IF($A905="","",DATE(YEAR($A905),MONTH($A905),1))</f>
        <v/>
      </c>
    </row>
    <row r="906">
      <c r="A906" s="93" t="n"/>
      <c r="B906" s="94" t="n"/>
      <c r="C906" s="94" t="n"/>
      <c r="D906" s="95" t="n"/>
      <c r="E906" s="95" t="n"/>
      <c r="F906" s="95" t="n"/>
      <c r="G906" s="95" t="n"/>
      <c r="H906" s="96" t="n"/>
      <c r="I906" s="89">
        <f>IF($G906="","",IF($F906="",IFERROR(INDEX(Setup!$C$21:$C$60,MATCH("|"&amp;UPPER(TRIM($G906)),Setup!$Q$21:$Q$60,0)),"NO RATE"),IFERROR(INDEX(Setup!$C$21:$C$60,MATCH(UPPER(TRIM($F906))&amp;"|"&amp;UPPER(TRIM($G906)),Setup!$P$21:$P$60,0)),IFERROR(INDEX(Setup!$C$21:$C$60,MATCH(UPPER(TRIM($G906))&amp;"|"&amp;UPPER(TRIM($F906)),Setup!$P$21:$P$60,0)),"NO RATE"))))</f>
        <v/>
      </c>
      <c r="J906" s="97" t="n"/>
      <c r="K906" s="89">
        <f>IF(OR($G906="",$H906="",NOT(ISNUMBER($I906))),"",ROUND($H906*$I906*(1+IF($J906="",Setup!$B$16,$J906)),2))</f>
        <v/>
      </c>
      <c r="L906" s="89">
        <f>IF($K906="","",ROUND($K906*Setup!$B$13,2))</f>
        <v/>
      </c>
      <c r="M906" s="89">
        <f>IF($K906="","",$K906-$L906)</f>
        <v/>
      </c>
      <c r="N906" s="89">
        <f>IF(OR($M906="",$D906=""),"",ROUND($M906*IFERROR(IF(VLOOKUP($D906,Setup!$A$76:$C$87,3,FALSE)="",Setup!$B$14,VLOOKUP($D906,Setup!$A$76:$C$87,3,FALSE)),Setup!$B$14),2))</f>
        <v/>
      </c>
      <c r="O906" s="89">
        <f>IF(OR($M906="",$E906=""),"",ROUND($M906*IFERROR(IF(VLOOKUP($E906,Setup!$A$76:$C$87,3,FALSE)="",Setup!$B$15,VLOOKUP($E906,Setup!$A$76:$C$87,3,FALSE)),Setup!$B$15),2))</f>
        <v/>
      </c>
      <c r="P906" s="98" t="n"/>
      <c r="Q906" s="98" t="n"/>
      <c r="R906" s="98" t="n"/>
      <c r="S906" s="98" t="n"/>
      <c r="T906" s="98" t="n"/>
      <c r="U906" s="89">
        <f>IF($K906="","",SUM($R906:$T906))</f>
        <v/>
      </c>
      <c r="V906" s="89">
        <f>IF($K906="","",$M906-(N($N906)+N($O906)+IF($P906="",Setup!$B$17,$P906)+N($Q906))-N($U906))</f>
        <v/>
      </c>
      <c r="W906" s="94" t="n"/>
      <c r="X906" s="95" t="n"/>
      <c r="Z906" s="92">
        <f>IF($A906="","",DATE(YEAR($A906),MONTH($A906),1))</f>
        <v/>
      </c>
    </row>
    <row r="907">
      <c r="A907" s="85" t="n"/>
      <c r="B907" s="86" t="n"/>
      <c r="C907" s="86" t="n"/>
      <c r="D907" s="87" t="n"/>
      <c r="E907" s="87" t="n"/>
      <c r="F907" s="87" t="n"/>
      <c r="G907" s="87" t="n"/>
      <c r="H907" s="88" t="n"/>
      <c r="I907" s="89">
        <f>IF($G907="","",IF($F907="",IFERROR(INDEX(Setup!$C$21:$C$60,MATCH("|"&amp;UPPER(TRIM($G907)),Setup!$Q$21:$Q$60,0)),"NO RATE"),IFERROR(INDEX(Setup!$C$21:$C$60,MATCH(UPPER(TRIM($F907))&amp;"|"&amp;UPPER(TRIM($G907)),Setup!$P$21:$P$60,0)),IFERROR(INDEX(Setup!$C$21:$C$60,MATCH(UPPER(TRIM($G907))&amp;"|"&amp;UPPER(TRIM($F907)),Setup!$P$21:$P$60,0)),"NO RATE"))))</f>
        <v/>
      </c>
      <c r="J907" s="90" t="n"/>
      <c r="K907" s="89">
        <f>IF(OR($G907="",$H907="",NOT(ISNUMBER($I907))),"",ROUND($H907*$I907*(1+IF($J907="",Setup!$B$16,$J907)),2))</f>
        <v/>
      </c>
      <c r="L907" s="89">
        <f>IF($K907="","",ROUND($K907*Setup!$B$13,2))</f>
        <v/>
      </c>
      <c r="M907" s="89">
        <f>IF($K907="","",$K907-$L907)</f>
        <v/>
      </c>
      <c r="N907" s="89">
        <f>IF(OR($M907="",$D907=""),"",ROUND($M907*IFERROR(IF(VLOOKUP($D907,Setup!$A$76:$C$87,3,FALSE)="",Setup!$B$14,VLOOKUP($D907,Setup!$A$76:$C$87,3,FALSE)),Setup!$B$14),2))</f>
        <v/>
      </c>
      <c r="O907" s="89">
        <f>IF(OR($M907="",$E907=""),"",ROUND($M907*IFERROR(IF(VLOOKUP($E907,Setup!$A$76:$C$87,3,FALSE)="",Setup!$B$15,VLOOKUP($E907,Setup!$A$76:$C$87,3,FALSE)),Setup!$B$15),2))</f>
        <v/>
      </c>
      <c r="P907" s="91" t="n"/>
      <c r="Q907" s="91" t="n"/>
      <c r="R907" s="91" t="n"/>
      <c r="S907" s="91" t="n"/>
      <c r="T907" s="91" t="n"/>
      <c r="U907" s="89">
        <f>IF($K907="","",SUM($R907:$T907))</f>
        <v/>
      </c>
      <c r="V907" s="89">
        <f>IF($K907="","",$M907-(N($N907)+N($O907)+IF($P907="",Setup!$B$17,$P907)+N($Q907))-N($U907))</f>
        <v/>
      </c>
      <c r="W907" s="86" t="n"/>
      <c r="X907" s="87" t="n"/>
      <c r="Z907" s="92">
        <f>IF($A907="","",DATE(YEAR($A907),MONTH($A907),1))</f>
        <v/>
      </c>
    </row>
    <row r="908">
      <c r="A908" s="93" t="n"/>
      <c r="B908" s="94" t="n"/>
      <c r="C908" s="94" t="n"/>
      <c r="D908" s="95" t="n"/>
      <c r="E908" s="95" t="n"/>
      <c r="F908" s="95" t="n"/>
      <c r="G908" s="95" t="n"/>
      <c r="H908" s="96" t="n"/>
      <c r="I908" s="89">
        <f>IF($G908="","",IF($F908="",IFERROR(INDEX(Setup!$C$21:$C$60,MATCH("|"&amp;UPPER(TRIM($G908)),Setup!$Q$21:$Q$60,0)),"NO RATE"),IFERROR(INDEX(Setup!$C$21:$C$60,MATCH(UPPER(TRIM($F908))&amp;"|"&amp;UPPER(TRIM($G908)),Setup!$P$21:$P$60,0)),IFERROR(INDEX(Setup!$C$21:$C$60,MATCH(UPPER(TRIM($G908))&amp;"|"&amp;UPPER(TRIM($F908)),Setup!$P$21:$P$60,0)),"NO RATE"))))</f>
        <v/>
      </c>
      <c r="J908" s="97" t="n"/>
      <c r="K908" s="89">
        <f>IF(OR($G908="",$H908="",NOT(ISNUMBER($I908))),"",ROUND($H908*$I908*(1+IF($J908="",Setup!$B$16,$J908)),2))</f>
        <v/>
      </c>
      <c r="L908" s="89">
        <f>IF($K908="","",ROUND($K908*Setup!$B$13,2))</f>
        <v/>
      </c>
      <c r="M908" s="89">
        <f>IF($K908="","",$K908-$L908)</f>
        <v/>
      </c>
      <c r="N908" s="89">
        <f>IF(OR($M908="",$D908=""),"",ROUND($M908*IFERROR(IF(VLOOKUP($D908,Setup!$A$76:$C$87,3,FALSE)="",Setup!$B$14,VLOOKUP($D908,Setup!$A$76:$C$87,3,FALSE)),Setup!$B$14),2))</f>
        <v/>
      </c>
      <c r="O908" s="89">
        <f>IF(OR($M908="",$E908=""),"",ROUND($M908*IFERROR(IF(VLOOKUP($E908,Setup!$A$76:$C$87,3,FALSE)="",Setup!$B$15,VLOOKUP($E908,Setup!$A$76:$C$87,3,FALSE)),Setup!$B$15),2))</f>
        <v/>
      </c>
      <c r="P908" s="98" t="n"/>
      <c r="Q908" s="98" t="n"/>
      <c r="R908" s="98" t="n"/>
      <c r="S908" s="98" t="n"/>
      <c r="T908" s="98" t="n"/>
      <c r="U908" s="89">
        <f>IF($K908="","",SUM($R908:$T908))</f>
        <v/>
      </c>
      <c r="V908" s="89">
        <f>IF($K908="","",$M908-(N($N908)+N($O908)+IF($P908="",Setup!$B$17,$P908)+N($Q908))-N($U908))</f>
        <v/>
      </c>
      <c r="W908" s="94" t="n"/>
      <c r="X908" s="95" t="n"/>
      <c r="Z908" s="92">
        <f>IF($A908="","",DATE(YEAR($A908),MONTH($A908),1))</f>
        <v/>
      </c>
    </row>
    <row r="909">
      <c r="A909" s="85" t="n"/>
      <c r="B909" s="86" t="n"/>
      <c r="C909" s="86" t="n"/>
      <c r="D909" s="87" t="n"/>
      <c r="E909" s="87" t="n"/>
      <c r="F909" s="87" t="n"/>
      <c r="G909" s="87" t="n"/>
      <c r="H909" s="88" t="n"/>
      <c r="I909" s="89">
        <f>IF($G909="","",IF($F909="",IFERROR(INDEX(Setup!$C$21:$C$60,MATCH("|"&amp;UPPER(TRIM($G909)),Setup!$Q$21:$Q$60,0)),"NO RATE"),IFERROR(INDEX(Setup!$C$21:$C$60,MATCH(UPPER(TRIM($F909))&amp;"|"&amp;UPPER(TRIM($G909)),Setup!$P$21:$P$60,0)),IFERROR(INDEX(Setup!$C$21:$C$60,MATCH(UPPER(TRIM($G909))&amp;"|"&amp;UPPER(TRIM($F909)),Setup!$P$21:$P$60,0)),"NO RATE"))))</f>
        <v/>
      </c>
      <c r="J909" s="90" t="n"/>
      <c r="K909" s="89">
        <f>IF(OR($G909="",$H909="",NOT(ISNUMBER($I909))),"",ROUND($H909*$I909*(1+IF($J909="",Setup!$B$16,$J909)),2))</f>
        <v/>
      </c>
      <c r="L909" s="89">
        <f>IF($K909="","",ROUND($K909*Setup!$B$13,2))</f>
        <v/>
      </c>
      <c r="M909" s="89">
        <f>IF($K909="","",$K909-$L909)</f>
        <v/>
      </c>
      <c r="N909" s="89">
        <f>IF(OR($M909="",$D909=""),"",ROUND($M909*IFERROR(IF(VLOOKUP($D909,Setup!$A$76:$C$87,3,FALSE)="",Setup!$B$14,VLOOKUP($D909,Setup!$A$76:$C$87,3,FALSE)),Setup!$B$14),2))</f>
        <v/>
      </c>
      <c r="O909" s="89">
        <f>IF(OR($M909="",$E909=""),"",ROUND($M909*IFERROR(IF(VLOOKUP($E909,Setup!$A$76:$C$87,3,FALSE)="",Setup!$B$15,VLOOKUP($E909,Setup!$A$76:$C$87,3,FALSE)),Setup!$B$15),2))</f>
        <v/>
      </c>
      <c r="P909" s="91" t="n"/>
      <c r="Q909" s="91" t="n"/>
      <c r="R909" s="91" t="n"/>
      <c r="S909" s="91" t="n"/>
      <c r="T909" s="91" t="n"/>
      <c r="U909" s="89">
        <f>IF($K909="","",SUM($R909:$T909))</f>
        <v/>
      </c>
      <c r="V909" s="89">
        <f>IF($K909="","",$M909-(N($N909)+N($O909)+IF($P909="",Setup!$B$17,$P909)+N($Q909))-N($U909))</f>
        <v/>
      </c>
      <c r="W909" s="86" t="n"/>
      <c r="X909" s="87" t="n"/>
      <c r="Z909" s="92">
        <f>IF($A909="","",DATE(YEAR($A909),MONTH($A909),1))</f>
        <v/>
      </c>
    </row>
    <row r="910">
      <c r="A910" s="93" t="n"/>
      <c r="B910" s="94" t="n"/>
      <c r="C910" s="94" t="n"/>
      <c r="D910" s="95" t="n"/>
      <c r="E910" s="95" t="n"/>
      <c r="F910" s="95" t="n"/>
      <c r="G910" s="95" t="n"/>
      <c r="H910" s="96" t="n"/>
      <c r="I910" s="89">
        <f>IF($G910="","",IF($F910="",IFERROR(INDEX(Setup!$C$21:$C$60,MATCH("|"&amp;UPPER(TRIM($G910)),Setup!$Q$21:$Q$60,0)),"NO RATE"),IFERROR(INDEX(Setup!$C$21:$C$60,MATCH(UPPER(TRIM($F910))&amp;"|"&amp;UPPER(TRIM($G910)),Setup!$P$21:$P$60,0)),IFERROR(INDEX(Setup!$C$21:$C$60,MATCH(UPPER(TRIM($G910))&amp;"|"&amp;UPPER(TRIM($F910)),Setup!$P$21:$P$60,0)),"NO RATE"))))</f>
        <v/>
      </c>
      <c r="J910" s="97" t="n"/>
      <c r="K910" s="89">
        <f>IF(OR($G910="",$H910="",NOT(ISNUMBER($I910))),"",ROUND($H910*$I910*(1+IF($J910="",Setup!$B$16,$J910)),2))</f>
        <v/>
      </c>
      <c r="L910" s="89">
        <f>IF($K910="","",ROUND($K910*Setup!$B$13,2))</f>
        <v/>
      </c>
      <c r="M910" s="89">
        <f>IF($K910="","",$K910-$L910)</f>
        <v/>
      </c>
      <c r="N910" s="89">
        <f>IF(OR($M910="",$D910=""),"",ROUND($M910*IFERROR(IF(VLOOKUP($D910,Setup!$A$76:$C$87,3,FALSE)="",Setup!$B$14,VLOOKUP($D910,Setup!$A$76:$C$87,3,FALSE)),Setup!$B$14),2))</f>
        <v/>
      </c>
      <c r="O910" s="89">
        <f>IF(OR($M910="",$E910=""),"",ROUND($M910*IFERROR(IF(VLOOKUP($E910,Setup!$A$76:$C$87,3,FALSE)="",Setup!$B$15,VLOOKUP($E910,Setup!$A$76:$C$87,3,FALSE)),Setup!$B$15),2))</f>
        <v/>
      </c>
      <c r="P910" s="98" t="n"/>
      <c r="Q910" s="98" t="n"/>
      <c r="R910" s="98" t="n"/>
      <c r="S910" s="98" t="n"/>
      <c r="T910" s="98" t="n"/>
      <c r="U910" s="89">
        <f>IF($K910="","",SUM($R910:$T910))</f>
        <v/>
      </c>
      <c r="V910" s="89">
        <f>IF($K910="","",$M910-(N($N910)+N($O910)+IF($P910="",Setup!$B$17,$P910)+N($Q910))-N($U910))</f>
        <v/>
      </c>
      <c r="W910" s="94" t="n"/>
      <c r="X910" s="95" t="n"/>
      <c r="Z910" s="92">
        <f>IF($A910="","",DATE(YEAR($A910),MONTH($A910),1))</f>
        <v/>
      </c>
    </row>
    <row r="911">
      <c r="A911" s="85" t="n"/>
      <c r="B911" s="86" t="n"/>
      <c r="C911" s="86" t="n"/>
      <c r="D911" s="87" t="n"/>
      <c r="E911" s="87" t="n"/>
      <c r="F911" s="87" t="n"/>
      <c r="G911" s="87" t="n"/>
      <c r="H911" s="88" t="n"/>
      <c r="I911" s="89">
        <f>IF($G911="","",IF($F911="",IFERROR(INDEX(Setup!$C$21:$C$60,MATCH("|"&amp;UPPER(TRIM($G911)),Setup!$Q$21:$Q$60,0)),"NO RATE"),IFERROR(INDEX(Setup!$C$21:$C$60,MATCH(UPPER(TRIM($F911))&amp;"|"&amp;UPPER(TRIM($G911)),Setup!$P$21:$P$60,0)),IFERROR(INDEX(Setup!$C$21:$C$60,MATCH(UPPER(TRIM($G911))&amp;"|"&amp;UPPER(TRIM($F911)),Setup!$P$21:$P$60,0)),"NO RATE"))))</f>
        <v/>
      </c>
      <c r="J911" s="90" t="n"/>
      <c r="K911" s="89">
        <f>IF(OR($G911="",$H911="",NOT(ISNUMBER($I911))),"",ROUND($H911*$I911*(1+IF($J911="",Setup!$B$16,$J911)),2))</f>
        <v/>
      </c>
      <c r="L911" s="89">
        <f>IF($K911="","",ROUND($K911*Setup!$B$13,2))</f>
        <v/>
      </c>
      <c r="M911" s="89">
        <f>IF($K911="","",$K911-$L911)</f>
        <v/>
      </c>
      <c r="N911" s="89">
        <f>IF(OR($M911="",$D911=""),"",ROUND($M911*IFERROR(IF(VLOOKUP($D911,Setup!$A$76:$C$87,3,FALSE)="",Setup!$B$14,VLOOKUP($D911,Setup!$A$76:$C$87,3,FALSE)),Setup!$B$14),2))</f>
        <v/>
      </c>
      <c r="O911" s="89">
        <f>IF(OR($M911="",$E911=""),"",ROUND($M911*IFERROR(IF(VLOOKUP($E911,Setup!$A$76:$C$87,3,FALSE)="",Setup!$B$15,VLOOKUP($E911,Setup!$A$76:$C$87,3,FALSE)),Setup!$B$15),2))</f>
        <v/>
      </c>
      <c r="P911" s="91" t="n"/>
      <c r="Q911" s="91" t="n"/>
      <c r="R911" s="91" t="n"/>
      <c r="S911" s="91" t="n"/>
      <c r="T911" s="91" t="n"/>
      <c r="U911" s="89">
        <f>IF($K911="","",SUM($R911:$T911))</f>
        <v/>
      </c>
      <c r="V911" s="89">
        <f>IF($K911="","",$M911-(N($N911)+N($O911)+IF($P911="",Setup!$B$17,$P911)+N($Q911))-N($U911))</f>
        <v/>
      </c>
      <c r="W911" s="86" t="n"/>
      <c r="X911" s="87" t="n"/>
      <c r="Z911" s="92">
        <f>IF($A911="","",DATE(YEAR($A911),MONTH($A911),1))</f>
        <v/>
      </c>
    </row>
    <row r="912">
      <c r="A912" s="93" t="n"/>
      <c r="B912" s="94" t="n"/>
      <c r="C912" s="94" t="n"/>
      <c r="D912" s="95" t="n"/>
      <c r="E912" s="95" t="n"/>
      <c r="F912" s="95" t="n"/>
      <c r="G912" s="95" t="n"/>
      <c r="H912" s="96" t="n"/>
      <c r="I912" s="89">
        <f>IF($G912="","",IF($F912="",IFERROR(INDEX(Setup!$C$21:$C$60,MATCH("|"&amp;UPPER(TRIM($G912)),Setup!$Q$21:$Q$60,0)),"NO RATE"),IFERROR(INDEX(Setup!$C$21:$C$60,MATCH(UPPER(TRIM($F912))&amp;"|"&amp;UPPER(TRIM($G912)),Setup!$P$21:$P$60,0)),IFERROR(INDEX(Setup!$C$21:$C$60,MATCH(UPPER(TRIM($G912))&amp;"|"&amp;UPPER(TRIM($F912)),Setup!$P$21:$P$60,0)),"NO RATE"))))</f>
        <v/>
      </c>
      <c r="J912" s="97" t="n"/>
      <c r="K912" s="89">
        <f>IF(OR($G912="",$H912="",NOT(ISNUMBER($I912))),"",ROUND($H912*$I912*(1+IF($J912="",Setup!$B$16,$J912)),2))</f>
        <v/>
      </c>
      <c r="L912" s="89">
        <f>IF($K912="","",ROUND($K912*Setup!$B$13,2))</f>
        <v/>
      </c>
      <c r="M912" s="89">
        <f>IF($K912="","",$K912-$L912)</f>
        <v/>
      </c>
      <c r="N912" s="89">
        <f>IF(OR($M912="",$D912=""),"",ROUND($M912*IFERROR(IF(VLOOKUP($D912,Setup!$A$76:$C$87,3,FALSE)="",Setup!$B$14,VLOOKUP($D912,Setup!$A$76:$C$87,3,FALSE)),Setup!$B$14),2))</f>
        <v/>
      </c>
      <c r="O912" s="89">
        <f>IF(OR($M912="",$E912=""),"",ROUND($M912*IFERROR(IF(VLOOKUP($E912,Setup!$A$76:$C$87,3,FALSE)="",Setup!$B$15,VLOOKUP($E912,Setup!$A$76:$C$87,3,FALSE)),Setup!$B$15),2))</f>
        <v/>
      </c>
      <c r="P912" s="98" t="n"/>
      <c r="Q912" s="98" t="n"/>
      <c r="R912" s="98" t="n"/>
      <c r="S912" s="98" t="n"/>
      <c r="T912" s="98" t="n"/>
      <c r="U912" s="89">
        <f>IF($K912="","",SUM($R912:$T912))</f>
        <v/>
      </c>
      <c r="V912" s="89">
        <f>IF($K912="","",$M912-(N($N912)+N($O912)+IF($P912="",Setup!$B$17,$P912)+N($Q912))-N($U912))</f>
        <v/>
      </c>
      <c r="W912" s="94" t="n"/>
      <c r="X912" s="95" t="n"/>
      <c r="Z912" s="92">
        <f>IF($A912="","",DATE(YEAR($A912),MONTH($A912),1))</f>
        <v/>
      </c>
    </row>
    <row r="913">
      <c r="A913" s="85" t="n"/>
      <c r="B913" s="86" t="n"/>
      <c r="C913" s="86" t="n"/>
      <c r="D913" s="87" t="n"/>
      <c r="E913" s="87" t="n"/>
      <c r="F913" s="87" t="n"/>
      <c r="G913" s="87" t="n"/>
      <c r="H913" s="88" t="n"/>
      <c r="I913" s="89">
        <f>IF($G913="","",IF($F913="",IFERROR(INDEX(Setup!$C$21:$C$60,MATCH("|"&amp;UPPER(TRIM($G913)),Setup!$Q$21:$Q$60,0)),"NO RATE"),IFERROR(INDEX(Setup!$C$21:$C$60,MATCH(UPPER(TRIM($F913))&amp;"|"&amp;UPPER(TRIM($G913)),Setup!$P$21:$P$60,0)),IFERROR(INDEX(Setup!$C$21:$C$60,MATCH(UPPER(TRIM($G913))&amp;"|"&amp;UPPER(TRIM($F913)),Setup!$P$21:$P$60,0)),"NO RATE"))))</f>
        <v/>
      </c>
      <c r="J913" s="90" t="n"/>
      <c r="K913" s="89">
        <f>IF(OR($G913="",$H913="",NOT(ISNUMBER($I913))),"",ROUND($H913*$I913*(1+IF($J913="",Setup!$B$16,$J913)),2))</f>
        <v/>
      </c>
      <c r="L913" s="89">
        <f>IF($K913="","",ROUND($K913*Setup!$B$13,2))</f>
        <v/>
      </c>
      <c r="M913" s="89">
        <f>IF($K913="","",$K913-$L913)</f>
        <v/>
      </c>
      <c r="N913" s="89">
        <f>IF(OR($M913="",$D913=""),"",ROUND($M913*IFERROR(IF(VLOOKUP($D913,Setup!$A$76:$C$87,3,FALSE)="",Setup!$B$14,VLOOKUP($D913,Setup!$A$76:$C$87,3,FALSE)),Setup!$B$14),2))</f>
        <v/>
      </c>
      <c r="O913" s="89">
        <f>IF(OR($M913="",$E913=""),"",ROUND($M913*IFERROR(IF(VLOOKUP($E913,Setup!$A$76:$C$87,3,FALSE)="",Setup!$B$15,VLOOKUP($E913,Setup!$A$76:$C$87,3,FALSE)),Setup!$B$15),2))</f>
        <v/>
      </c>
      <c r="P913" s="91" t="n"/>
      <c r="Q913" s="91" t="n"/>
      <c r="R913" s="91" t="n"/>
      <c r="S913" s="91" t="n"/>
      <c r="T913" s="91" t="n"/>
      <c r="U913" s="89">
        <f>IF($K913="","",SUM($R913:$T913))</f>
        <v/>
      </c>
      <c r="V913" s="89">
        <f>IF($K913="","",$M913-(N($N913)+N($O913)+IF($P913="",Setup!$B$17,$P913)+N($Q913))-N($U913))</f>
        <v/>
      </c>
      <c r="W913" s="86" t="n"/>
      <c r="X913" s="87" t="n"/>
      <c r="Z913" s="92">
        <f>IF($A913="","",DATE(YEAR($A913),MONTH($A913),1))</f>
        <v/>
      </c>
    </row>
    <row r="914">
      <c r="A914" s="93" t="n"/>
      <c r="B914" s="94" t="n"/>
      <c r="C914" s="94" t="n"/>
      <c r="D914" s="95" t="n"/>
      <c r="E914" s="95" t="n"/>
      <c r="F914" s="95" t="n"/>
      <c r="G914" s="95" t="n"/>
      <c r="H914" s="96" t="n"/>
      <c r="I914" s="89">
        <f>IF($G914="","",IF($F914="",IFERROR(INDEX(Setup!$C$21:$C$60,MATCH("|"&amp;UPPER(TRIM($G914)),Setup!$Q$21:$Q$60,0)),"NO RATE"),IFERROR(INDEX(Setup!$C$21:$C$60,MATCH(UPPER(TRIM($F914))&amp;"|"&amp;UPPER(TRIM($G914)),Setup!$P$21:$P$60,0)),IFERROR(INDEX(Setup!$C$21:$C$60,MATCH(UPPER(TRIM($G914))&amp;"|"&amp;UPPER(TRIM($F914)),Setup!$P$21:$P$60,0)),"NO RATE"))))</f>
        <v/>
      </c>
      <c r="J914" s="97" t="n"/>
      <c r="K914" s="89">
        <f>IF(OR($G914="",$H914="",NOT(ISNUMBER($I914))),"",ROUND($H914*$I914*(1+IF($J914="",Setup!$B$16,$J914)),2))</f>
        <v/>
      </c>
      <c r="L914" s="89">
        <f>IF($K914="","",ROUND($K914*Setup!$B$13,2))</f>
        <v/>
      </c>
      <c r="M914" s="89">
        <f>IF($K914="","",$K914-$L914)</f>
        <v/>
      </c>
      <c r="N914" s="89">
        <f>IF(OR($M914="",$D914=""),"",ROUND($M914*IFERROR(IF(VLOOKUP($D914,Setup!$A$76:$C$87,3,FALSE)="",Setup!$B$14,VLOOKUP($D914,Setup!$A$76:$C$87,3,FALSE)),Setup!$B$14),2))</f>
        <v/>
      </c>
      <c r="O914" s="89">
        <f>IF(OR($M914="",$E914=""),"",ROUND($M914*IFERROR(IF(VLOOKUP($E914,Setup!$A$76:$C$87,3,FALSE)="",Setup!$B$15,VLOOKUP($E914,Setup!$A$76:$C$87,3,FALSE)),Setup!$B$15),2))</f>
        <v/>
      </c>
      <c r="P914" s="98" t="n"/>
      <c r="Q914" s="98" t="n"/>
      <c r="R914" s="98" t="n"/>
      <c r="S914" s="98" t="n"/>
      <c r="T914" s="98" t="n"/>
      <c r="U914" s="89">
        <f>IF($K914="","",SUM($R914:$T914))</f>
        <v/>
      </c>
      <c r="V914" s="89">
        <f>IF($K914="","",$M914-(N($N914)+N($O914)+IF($P914="",Setup!$B$17,$P914)+N($Q914))-N($U914))</f>
        <v/>
      </c>
      <c r="W914" s="94" t="n"/>
      <c r="X914" s="95" t="n"/>
      <c r="Z914" s="92">
        <f>IF($A914="","",DATE(YEAR($A914),MONTH($A914),1))</f>
        <v/>
      </c>
    </row>
    <row r="915">
      <c r="A915" s="85" t="n"/>
      <c r="B915" s="86" t="n"/>
      <c r="C915" s="86" t="n"/>
      <c r="D915" s="87" t="n"/>
      <c r="E915" s="87" t="n"/>
      <c r="F915" s="87" t="n"/>
      <c r="G915" s="87" t="n"/>
      <c r="H915" s="88" t="n"/>
      <c r="I915" s="89">
        <f>IF($G915="","",IF($F915="",IFERROR(INDEX(Setup!$C$21:$C$60,MATCH("|"&amp;UPPER(TRIM($G915)),Setup!$Q$21:$Q$60,0)),"NO RATE"),IFERROR(INDEX(Setup!$C$21:$C$60,MATCH(UPPER(TRIM($F915))&amp;"|"&amp;UPPER(TRIM($G915)),Setup!$P$21:$P$60,0)),IFERROR(INDEX(Setup!$C$21:$C$60,MATCH(UPPER(TRIM($G915))&amp;"|"&amp;UPPER(TRIM($F915)),Setup!$P$21:$P$60,0)),"NO RATE"))))</f>
        <v/>
      </c>
      <c r="J915" s="90" t="n"/>
      <c r="K915" s="89">
        <f>IF(OR($G915="",$H915="",NOT(ISNUMBER($I915))),"",ROUND($H915*$I915*(1+IF($J915="",Setup!$B$16,$J915)),2))</f>
        <v/>
      </c>
      <c r="L915" s="89">
        <f>IF($K915="","",ROUND($K915*Setup!$B$13,2))</f>
        <v/>
      </c>
      <c r="M915" s="89">
        <f>IF($K915="","",$K915-$L915)</f>
        <v/>
      </c>
      <c r="N915" s="89">
        <f>IF(OR($M915="",$D915=""),"",ROUND($M915*IFERROR(IF(VLOOKUP($D915,Setup!$A$76:$C$87,3,FALSE)="",Setup!$B$14,VLOOKUP($D915,Setup!$A$76:$C$87,3,FALSE)),Setup!$B$14),2))</f>
        <v/>
      </c>
      <c r="O915" s="89">
        <f>IF(OR($M915="",$E915=""),"",ROUND($M915*IFERROR(IF(VLOOKUP($E915,Setup!$A$76:$C$87,3,FALSE)="",Setup!$B$15,VLOOKUP($E915,Setup!$A$76:$C$87,3,FALSE)),Setup!$B$15),2))</f>
        <v/>
      </c>
      <c r="P915" s="91" t="n"/>
      <c r="Q915" s="91" t="n"/>
      <c r="R915" s="91" t="n"/>
      <c r="S915" s="91" t="n"/>
      <c r="T915" s="91" t="n"/>
      <c r="U915" s="89">
        <f>IF($K915="","",SUM($R915:$T915))</f>
        <v/>
      </c>
      <c r="V915" s="89">
        <f>IF($K915="","",$M915-(N($N915)+N($O915)+IF($P915="",Setup!$B$17,$P915)+N($Q915))-N($U915))</f>
        <v/>
      </c>
      <c r="W915" s="86" t="n"/>
      <c r="X915" s="87" t="n"/>
      <c r="Z915" s="92">
        <f>IF($A915="","",DATE(YEAR($A915),MONTH($A915),1))</f>
        <v/>
      </c>
    </row>
    <row r="916">
      <c r="A916" s="93" t="n"/>
      <c r="B916" s="94" t="n"/>
      <c r="C916" s="94" t="n"/>
      <c r="D916" s="95" t="n"/>
      <c r="E916" s="95" t="n"/>
      <c r="F916" s="95" t="n"/>
      <c r="G916" s="95" t="n"/>
      <c r="H916" s="96" t="n"/>
      <c r="I916" s="89">
        <f>IF($G916="","",IF($F916="",IFERROR(INDEX(Setup!$C$21:$C$60,MATCH("|"&amp;UPPER(TRIM($G916)),Setup!$Q$21:$Q$60,0)),"NO RATE"),IFERROR(INDEX(Setup!$C$21:$C$60,MATCH(UPPER(TRIM($F916))&amp;"|"&amp;UPPER(TRIM($G916)),Setup!$P$21:$P$60,0)),IFERROR(INDEX(Setup!$C$21:$C$60,MATCH(UPPER(TRIM($G916))&amp;"|"&amp;UPPER(TRIM($F916)),Setup!$P$21:$P$60,0)),"NO RATE"))))</f>
        <v/>
      </c>
      <c r="J916" s="97" t="n"/>
      <c r="K916" s="89">
        <f>IF(OR($G916="",$H916="",NOT(ISNUMBER($I916))),"",ROUND($H916*$I916*(1+IF($J916="",Setup!$B$16,$J916)),2))</f>
        <v/>
      </c>
      <c r="L916" s="89">
        <f>IF($K916="","",ROUND($K916*Setup!$B$13,2))</f>
        <v/>
      </c>
      <c r="M916" s="89">
        <f>IF($K916="","",$K916-$L916)</f>
        <v/>
      </c>
      <c r="N916" s="89">
        <f>IF(OR($M916="",$D916=""),"",ROUND($M916*IFERROR(IF(VLOOKUP($D916,Setup!$A$76:$C$87,3,FALSE)="",Setup!$B$14,VLOOKUP($D916,Setup!$A$76:$C$87,3,FALSE)),Setup!$B$14),2))</f>
        <v/>
      </c>
      <c r="O916" s="89">
        <f>IF(OR($M916="",$E916=""),"",ROUND($M916*IFERROR(IF(VLOOKUP($E916,Setup!$A$76:$C$87,3,FALSE)="",Setup!$B$15,VLOOKUP($E916,Setup!$A$76:$C$87,3,FALSE)),Setup!$B$15),2))</f>
        <v/>
      </c>
      <c r="P916" s="98" t="n"/>
      <c r="Q916" s="98" t="n"/>
      <c r="R916" s="98" t="n"/>
      <c r="S916" s="98" t="n"/>
      <c r="T916" s="98" t="n"/>
      <c r="U916" s="89">
        <f>IF($K916="","",SUM($R916:$T916))</f>
        <v/>
      </c>
      <c r="V916" s="89">
        <f>IF($K916="","",$M916-(N($N916)+N($O916)+IF($P916="",Setup!$B$17,$P916)+N($Q916))-N($U916))</f>
        <v/>
      </c>
      <c r="W916" s="94" t="n"/>
      <c r="X916" s="95" t="n"/>
      <c r="Z916" s="92">
        <f>IF($A916="","",DATE(YEAR($A916),MONTH($A916),1))</f>
        <v/>
      </c>
    </row>
    <row r="917">
      <c r="A917" s="85" t="n"/>
      <c r="B917" s="86" t="n"/>
      <c r="C917" s="86" t="n"/>
      <c r="D917" s="87" t="n"/>
      <c r="E917" s="87" t="n"/>
      <c r="F917" s="87" t="n"/>
      <c r="G917" s="87" t="n"/>
      <c r="H917" s="88" t="n"/>
      <c r="I917" s="89">
        <f>IF($G917="","",IF($F917="",IFERROR(INDEX(Setup!$C$21:$C$60,MATCH("|"&amp;UPPER(TRIM($G917)),Setup!$Q$21:$Q$60,0)),"NO RATE"),IFERROR(INDEX(Setup!$C$21:$C$60,MATCH(UPPER(TRIM($F917))&amp;"|"&amp;UPPER(TRIM($G917)),Setup!$P$21:$P$60,0)),IFERROR(INDEX(Setup!$C$21:$C$60,MATCH(UPPER(TRIM($G917))&amp;"|"&amp;UPPER(TRIM($F917)),Setup!$P$21:$P$60,0)),"NO RATE"))))</f>
        <v/>
      </c>
      <c r="J917" s="90" t="n"/>
      <c r="K917" s="89">
        <f>IF(OR($G917="",$H917="",NOT(ISNUMBER($I917))),"",ROUND($H917*$I917*(1+IF($J917="",Setup!$B$16,$J917)),2))</f>
        <v/>
      </c>
      <c r="L917" s="89">
        <f>IF($K917="","",ROUND($K917*Setup!$B$13,2))</f>
        <v/>
      </c>
      <c r="M917" s="89">
        <f>IF($K917="","",$K917-$L917)</f>
        <v/>
      </c>
      <c r="N917" s="89">
        <f>IF(OR($M917="",$D917=""),"",ROUND($M917*IFERROR(IF(VLOOKUP($D917,Setup!$A$76:$C$87,3,FALSE)="",Setup!$B$14,VLOOKUP($D917,Setup!$A$76:$C$87,3,FALSE)),Setup!$B$14),2))</f>
        <v/>
      </c>
      <c r="O917" s="89">
        <f>IF(OR($M917="",$E917=""),"",ROUND($M917*IFERROR(IF(VLOOKUP($E917,Setup!$A$76:$C$87,3,FALSE)="",Setup!$B$15,VLOOKUP($E917,Setup!$A$76:$C$87,3,FALSE)),Setup!$B$15),2))</f>
        <v/>
      </c>
      <c r="P917" s="91" t="n"/>
      <c r="Q917" s="91" t="n"/>
      <c r="R917" s="91" t="n"/>
      <c r="S917" s="91" t="n"/>
      <c r="T917" s="91" t="n"/>
      <c r="U917" s="89">
        <f>IF($K917="","",SUM($R917:$T917))</f>
        <v/>
      </c>
      <c r="V917" s="89">
        <f>IF($K917="","",$M917-(N($N917)+N($O917)+IF($P917="",Setup!$B$17,$P917)+N($Q917))-N($U917))</f>
        <v/>
      </c>
      <c r="W917" s="86" t="n"/>
      <c r="X917" s="87" t="n"/>
      <c r="Z917" s="92">
        <f>IF($A917="","",DATE(YEAR($A917),MONTH($A917),1))</f>
        <v/>
      </c>
    </row>
    <row r="918">
      <c r="A918" s="93" t="n"/>
      <c r="B918" s="94" t="n"/>
      <c r="C918" s="94" t="n"/>
      <c r="D918" s="95" t="n"/>
      <c r="E918" s="95" t="n"/>
      <c r="F918" s="95" t="n"/>
      <c r="G918" s="95" t="n"/>
      <c r="H918" s="96" t="n"/>
      <c r="I918" s="89">
        <f>IF($G918="","",IF($F918="",IFERROR(INDEX(Setup!$C$21:$C$60,MATCH("|"&amp;UPPER(TRIM($G918)),Setup!$Q$21:$Q$60,0)),"NO RATE"),IFERROR(INDEX(Setup!$C$21:$C$60,MATCH(UPPER(TRIM($F918))&amp;"|"&amp;UPPER(TRIM($G918)),Setup!$P$21:$P$60,0)),IFERROR(INDEX(Setup!$C$21:$C$60,MATCH(UPPER(TRIM($G918))&amp;"|"&amp;UPPER(TRIM($F918)),Setup!$P$21:$P$60,0)),"NO RATE"))))</f>
        <v/>
      </c>
      <c r="J918" s="97" t="n"/>
      <c r="K918" s="89">
        <f>IF(OR($G918="",$H918="",NOT(ISNUMBER($I918))),"",ROUND($H918*$I918*(1+IF($J918="",Setup!$B$16,$J918)),2))</f>
        <v/>
      </c>
      <c r="L918" s="89">
        <f>IF($K918="","",ROUND($K918*Setup!$B$13,2))</f>
        <v/>
      </c>
      <c r="M918" s="89">
        <f>IF($K918="","",$K918-$L918)</f>
        <v/>
      </c>
      <c r="N918" s="89">
        <f>IF(OR($M918="",$D918=""),"",ROUND($M918*IFERROR(IF(VLOOKUP($D918,Setup!$A$76:$C$87,3,FALSE)="",Setup!$B$14,VLOOKUP($D918,Setup!$A$76:$C$87,3,FALSE)),Setup!$B$14),2))</f>
        <v/>
      </c>
      <c r="O918" s="89">
        <f>IF(OR($M918="",$E918=""),"",ROUND($M918*IFERROR(IF(VLOOKUP($E918,Setup!$A$76:$C$87,3,FALSE)="",Setup!$B$15,VLOOKUP($E918,Setup!$A$76:$C$87,3,FALSE)),Setup!$B$15),2))</f>
        <v/>
      </c>
      <c r="P918" s="98" t="n"/>
      <c r="Q918" s="98" t="n"/>
      <c r="R918" s="98" t="n"/>
      <c r="S918" s="98" t="n"/>
      <c r="T918" s="98" t="n"/>
      <c r="U918" s="89">
        <f>IF($K918="","",SUM($R918:$T918))</f>
        <v/>
      </c>
      <c r="V918" s="89">
        <f>IF($K918="","",$M918-(N($N918)+N($O918)+IF($P918="",Setup!$B$17,$P918)+N($Q918))-N($U918))</f>
        <v/>
      </c>
      <c r="W918" s="94" t="n"/>
      <c r="X918" s="95" t="n"/>
      <c r="Z918" s="92">
        <f>IF($A918="","",DATE(YEAR($A918),MONTH($A918),1))</f>
        <v/>
      </c>
    </row>
    <row r="919">
      <c r="A919" s="85" t="n"/>
      <c r="B919" s="86" t="n"/>
      <c r="C919" s="86" t="n"/>
      <c r="D919" s="87" t="n"/>
      <c r="E919" s="87" t="n"/>
      <c r="F919" s="87" t="n"/>
      <c r="G919" s="87" t="n"/>
      <c r="H919" s="88" t="n"/>
      <c r="I919" s="89">
        <f>IF($G919="","",IF($F919="",IFERROR(INDEX(Setup!$C$21:$C$60,MATCH("|"&amp;UPPER(TRIM($G919)),Setup!$Q$21:$Q$60,0)),"NO RATE"),IFERROR(INDEX(Setup!$C$21:$C$60,MATCH(UPPER(TRIM($F919))&amp;"|"&amp;UPPER(TRIM($G919)),Setup!$P$21:$P$60,0)),IFERROR(INDEX(Setup!$C$21:$C$60,MATCH(UPPER(TRIM($G919))&amp;"|"&amp;UPPER(TRIM($F919)),Setup!$P$21:$P$60,0)),"NO RATE"))))</f>
        <v/>
      </c>
      <c r="J919" s="90" t="n"/>
      <c r="K919" s="89">
        <f>IF(OR($G919="",$H919="",NOT(ISNUMBER($I919))),"",ROUND($H919*$I919*(1+IF($J919="",Setup!$B$16,$J919)),2))</f>
        <v/>
      </c>
      <c r="L919" s="89">
        <f>IF($K919="","",ROUND($K919*Setup!$B$13,2))</f>
        <v/>
      </c>
      <c r="M919" s="89">
        <f>IF($K919="","",$K919-$L919)</f>
        <v/>
      </c>
      <c r="N919" s="89">
        <f>IF(OR($M919="",$D919=""),"",ROUND($M919*IFERROR(IF(VLOOKUP($D919,Setup!$A$76:$C$87,3,FALSE)="",Setup!$B$14,VLOOKUP($D919,Setup!$A$76:$C$87,3,FALSE)),Setup!$B$14),2))</f>
        <v/>
      </c>
      <c r="O919" s="89">
        <f>IF(OR($M919="",$E919=""),"",ROUND($M919*IFERROR(IF(VLOOKUP($E919,Setup!$A$76:$C$87,3,FALSE)="",Setup!$B$15,VLOOKUP($E919,Setup!$A$76:$C$87,3,FALSE)),Setup!$B$15),2))</f>
        <v/>
      </c>
      <c r="P919" s="91" t="n"/>
      <c r="Q919" s="91" t="n"/>
      <c r="R919" s="91" t="n"/>
      <c r="S919" s="91" t="n"/>
      <c r="T919" s="91" t="n"/>
      <c r="U919" s="89">
        <f>IF($K919="","",SUM($R919:$T919))</f>
        <v/>
      </c>
      <c r="V919" s="89">
        <f>IF($K919="","",$M919-(N($N919)+N($O919)+IF($P919="",Setup!$B$17,$P919)+N($Q919))-N($U919))</f>
        <v/>
      </c>
      <c r="W919" s="86" t="n"/>
      <c r="X919" s="87" t="n"/>
      <c r="Z919" s="92">
        <f>IF($A919="","",DATE(YEAR($A919),MONTH($A919),1))</f>
        <v/>
      </c>
    </row>
    <row r="920">
      <c r="A920" s="93" t="n"/>
      <c r="B920" s="94" t="n"/>
      <c r="C920" s="94" t="n"/>
      <c r="D920" s="95" t="n"/>
      <c r="E920" s="95" t="n"/>
      <c r="F920" s="95" t="n"/>
      <c r="G920" s="95" t="n"/>
      <c r="H920" s="96" t="n"/>
      <c r="I920" s="89">
        <f>IF($G920="","",IF($F920="",IFERROR(INDEX(Setup!$C$21:$C$60,MATCH("|"&amp;UPPER(TRIM($G920)),Setup!$Q$21:$Q$60,0)),"NO RATE"),IFERROR(INDEX(Setup!$C$21:$C$60,MATCH(UPPER(TRIM($F920))&amp;"|"&amp;UPPER(TRIM($G920)),Setup!$P$21:$P$60,0)),IFERROR(INDEX(Setup!$C$21:$C$60,MATCH(UPPER(TRIM($G920))&amp;"|"&amp;UPPER(TRIM($F920)),Setup!$P$21:$P$60,0)),"NO RATE"))))</f>
        <v/>
      </c>
      <c r="J920" s="97" t="n"/>
      <c r="K920" s="89">
        <f>IF(OR($G920="",$H920="",NOT(ISNUMBER($I920))),"",ROUND($H920*$I920*(1+IF($J920="",Setup!$B$16,$J920)),2))</f>
        <v/>
      </c>
      <c r="L920" s="89">
        <f>IF($K920="","",ROUND($K920*Setup!$B$13,2))</f>
        <v/>
      </c>
      <c r="M920" s="89">
        <f>IF($K920="","",$K920-$L920)</f>
        <v/>
      </c>
      <c r="N920" s="89">
        <f>IF(OR($M920="",$D920=""),"",ROUND($M920*IFERROR(IF(VLOOKUP($D920,Setup!$A$76:$C$87,3,FALSE)="",Setup!$B$14,VLOOKUP($D920,Setup!$A$76:$C$87,3,FALSE)),Setup!$B$14),2))</f>
        <v/>
      </c>
      <c r="O920" s="89">
        <f>IF(OR($M920="",$E920=""),"",ROUND($M920*IFERROR(IF(VLOOKUP($E920,Setup!$A$76:$C$87,3,FALSE)="",Setup!$B$15,VLOOKUP($E920,Setup!$A$76:$C$87,3,FALSE)),Setup!$B$15),2))</f>
        <v/>
      </c>
      <c r="P920" s="98" t="n"/>
      <c r="Q920" s="98" t="n"/>
      <c r="R920" s="98" t="n"/>
      <c r="S920" s="98" t="n"/>
      <c r="T920" s="98" t="n"/>
      <c r="U920" s="89">
        <f>IF($K920="","",SUM($R920:$T920))</f>
        <v/>
      </c>
      <c r="V920" s="89">
        <f>IF($K920="","",$M920-(N($N920)+N($O920)+IF($P920="",Setup!$B$17,$P920)+N($Q920))-N($U920))</f>
        <v/>
      </c>
      <c r="W920" s="94" t="n"/>
      <c r="X920" s="95" t="n"/>
      <c r="Z920" s="92">
        <f>IF($A920="","",DATE(YEAR($A920),MONTH($A920),1))</f>
        <v/>
      </c>
    </row>
    <row r="921">
      <c r="A921" s="85" t="n"/>
      <c r="B921" s="86" t="n"/>
      <c r="C921" s="86" t="n"/>
      <c r="D921" s="87" t="n"/>
      <c r="E921" s="87" t="n"/>
      <c r="F921" s="87" t="n"/>
      <c r="G921" s="87" t="n"/>
      <c r="H921" s="88" t="n"/>
      <c r="I921" s="89">
        <f>IF($G921="","",IF($F921="",IFERROR(INDEX(Setup!$C$21:$C$60,MATCH("|"&amp;UPPER(TRIM($G921)),Setup!$Q$21:$Q$60,0)),"NO RATE"),IFERROR(INDEX(Setup!$C$21:$C$60,MATCH(UPPER(TRIM($F921))&amp;"|"&amp;UPPER(TRIM($G921)),Setup!$P$21:$P$60,0)),IFERROR(INDEX(Setup!$C$21:$C$60,MATCH(UPPER(TRIM($G921))&amp;"|"&amp;UPPER(TRIM($F921)),Setup!$P$21:$P$60,0)),"NO RATE"))))</f>
        <v/>
      </c>
      <c r="J921" s="90" t="n"/>
      <c r="K921" s="89">
        <f>IF(OR($G921="",$H921="",NOT(ISNUMBER($I921))),"",ROUND($H921*$I921*(1+IF($J921="",Setup!$B$16,$J921)),2))</f>
        <v/>
      </c>
      <c r="L921" s="89">
        <f>IF($K921="","",ROUND($K921*Setup!$B$13,2))</f>
        <v/>
      </c>
      <c r="M921" s="89">
        <f>IF($K921="","",$K921-$L921)</f>
        <v/>
      </c>
      <c r="N921" s="89">
        <f>IF(OR($M921="",$D921=""),"",ROUND($M921*IFERROR(IF(VLOOKUP($D921,Setup!$A$76:$C$87,3,FALSE)="",Setup!$B$14,VLOOKUP($D921,Setup!$A$76:$C$87,3,FALSE)),Setup!$B$14),2))</f>
        <v/>
      </c>
      <c r="O921" s="89">
        <f>IF(OR($M921="",$E921=""),"",ROUND($M921*IFERROR(IF(VLOOKUP($E921,Setup!$A$76:$C$87,3,FALSE)="",Setup!$B$15,VLOOKUP($E921,Setup!$A$76:$C$87,3,FALSE)),Setup!$B$15),2))</f>
        <v/>
      </c>
      <c r="P921" s="91" t="n"/>
      <c r="Q921" s="91" t="n"/>
      <c r="R921" s="91" t="n"/>
      <c r="S921" s="91" t="n"/>
      <c r="T921" s="91" t="n"/>
      <c r="U921" s="89">
        <f>IF($K921="","",SUM($R921:$T921))</f>
        <v/>
      </c>
      <c r="V921" s="89">
        <f>IF($K921="","",$M921-(N($N921)+N($O921)+IF($P921="",Setup!$B$17,$P921)+N($Q921))-N($U921))</f>
        <v/>
      </c>
      <c r="W921" s="86" t="n"/>
      <c r="X921" s="87" t="n"/>
      <c r="Z921" s="92">
        <f>IF($A921="","",DATE(YEAR($A921),MONTH($A921),1))</f>
        <v/>
      </c>
    </row>
    <row r="922">
      <c r="A922" s="93" t="n"/>
      <c r="B922" s="94" t="n"/>
      <c r="C922" s="94" t="n"/>
      <c r="D922" s="95" t="n"/>
      <c r="E922" s="95" t="n"/>
      <c r="F922" s="95" t="n"/>
      <c r="G922" s="95" t="n"/>
      <c r="H922" s="96" t="n"/>
      <c r="I922" s="89">
        <f>IF($G922="","",IF($F922="",IFERROR(INDEX(Setup!$C$21:$C$60,MATCH("|"&amp;UPPER(TRIM($G922)),Setup!$Q$21:$Q$60,0)),"NO RATE"),IFERROR(INDEX(Setup!$C$21:$C$60,MATCH(UPPER(TRIM($F922))&amp;"|"&amp;UPPER(TRIM($G922)),Setup!$P$21:$P$60,0)),IFERROR(INDEX(Setup!$C$21:$C$60,MATCH(UPPER(TRIM($G922))&amp;"|"&amp;UPPER(TRIM($F922)),Setup!$P$21:$P$60,0)),"NO RATE"))))</f>
        <v/>
      </c>
      <c r="J922" s="97" t="n"/>
      <c r="K922" s="89">
        <f>IF(OR($G922="",$H922="",NOT(ISNUMBER($I922))),"",ROUND($H922*$I922*(1+IF($J922="",Setup!$B$16,$J922)),2))</f>
        <v/>
      </c>
      <c r="L922" s="89">
        <f>IF($K922="","",ROUND($K922*Setup!$B$13,2))</f>
        <v/>
      </c>
      <c r="M922" s="89">
        <f>IF($K922="","",$K922-$L922)</f>
        <v/>
      </c>
      <c r="N922" s="89">
        <f>IF(OR($M922="",$D922=""),"",ROUND($M922*IFERROR(IF(VLOOKUP($D922,Setup!$A$76:$C$87,3,FALSE)="",Setup!$B$14,VLOOKUP($D922,Setup!$A$76:$C$87,3,FALSE)),Setup!$B$14),2))</f>
        <v/>
      </c>
      <c r="O922" s="89">
        <f>IF(OR($M922="",$E922=""),"",ROUND($M922*IFERROR(IF(VLOOKUP($E922,Setup!$A$76:$C$87,3,FALSE)="",Setup!$B$15,VLOOKUP($E922,Setup!$A$76:$C$87,3,FALSE)),Setup!$B$15),2))</f>
        <v/>
      </c>
      <c r="P922" s="98" t="n"/>
      <c r="Q922" s="98" t="n"/>
      <c r="R922" s="98" t="n"/>
      <c r="S922" s="98" t="n"/>
      <c r="T922" s="98" t="n"/>
      <c r="U922" s="89">
        <f>IF($K922="","",SUM($R922:$T922))</f>
        <v/>
      </c>
      <c r="V922" s="89">
        <f>IF($K922="","",$M922-(N($N922)+N($O922)+IF($P922="",Setup!$B$17,$P922)+N($Q922))-N($U922))</f>
        <v/>
      </c>
      <c r="W922" s="94" t="n"/>
      <c r="X922" s="95" t="n"/>
      <c r="Z922" s="92">
        <f>IF($A922="","",DATE(YEAR($A922),MONTH($A922),1))</f>
        <v/>
      </c>
    </row>
    <row r="923">
      <c r="A923" s="85" t="n"/>
      <c r="B923" s="86" t="n"/>
      <c r="C923" s="86" t="n"/>
      <c r="D923" s="87" t="n"/>
      <c r="E923" s="87" t="n"/>
      <c r="F923" s="87" t="n"/>
      <c r="G923" s="87" t="n"/>
      <c r="H923" s="88" t="n"/>
      <c r="I923" s="89">
        <f>IF($G923="","",IF($F923="",IFERROR(INDEX(Setup!$C$21:$C$60,MATCH("|"&amp;UPPER(TRIM($G923)),Setup!$Q$21:$Q$60,0)),"NO RATE"),IFERROR(INDEX(Setup!$C$21:$C$60,MATCH(UPPER(TRIM($F923))&amp;"|"&amp;UPPER(TRIM($G923)),Setup!$P$21:$P$60,0)),IFERROR(INDEX(Setup!$C$21:$C$60,MATCH(UPPER(TRIM($G923))&amp;"|"&amp;UPPER(TRIM($F923)),Setup!$P$21:$P$60,0)),"NO RATE"))))</f>
        <v/>
      </c>
      <c r="J923" s="90" t="n"/>
      <c r="K923" s="89">
        <f>IF(OR($G923="",$H923="",NOT(ISNUMBER($I923))),"",ROUND($H923*$I923*(1+IF($J923="",Setup!$B$16,$J923)),2))</f>
        <v/>
      </c>
      <c r="L923" s="89">
        <f>IF($K923="","",ROUND($K923*Setup!$B$13,2))</f>
        <v/>
      </c>
      <c r="M923" s="89">
        <f>IF($K923="","",$K923-$L923)</f>
        <v/>
      </c>
      <c r="N923" s="89">
        <f>IF(OR($M923="",$D923=""),"",ROUND($M923*IFERROR(IF(VLOOKUP($D923,Setup!$A$76:$C$87,3,FALSE)="",Setup!$B$14,VLOOKUP($D923,Setup!$A$76:$C$87,3,FALSE)),Setup!$B$14),2))</f>
        <v/>
      </c>
      <c r="O923" s="89">
        <f>IF(OR($M923="",$E923=""),"",ROUND($M923*IFERROR(IF(VLOOKUP($E923,Setup!$A$76:$C$87,3,FALSE)="",Setup!$B$15,VLOOKUP($E923,Setup!$A$76:$C$87,3,FALSE)),Setup!$B$15),2))</f>
        <v/>
      </c>
      <c r="P923" s="91" t="n"/>
      <c r="Q923" s="91" t="n"/>
      <c r="R923" s="91" t="n"/>
      <c r="S923" s="91" t="n"/>
      <c r="T923" s="91" t="n"/>
      <c r="U923" s="89">
        <f>IF($K923="","",SUM($R923:$T923))</f>
        <v/>
      </c>
      <c r="V923" s="89">
        <f>IF($K923="","",$M923-(N($N923)+N($O923)+IF($P923="",Setup!$B$17,$P923)+N($Q923))-N($U923))</f>
        <v/>
      </c>
      <c r="W923" s="86" t="n"/>
      <c r="X923" s="87" t="n"/>
      <c r="Z923" s="92">
        <f>IF($A923="","",DATE(YEAR($A923),MONTH($A923),1))</f>
        <v/>
      </c>
    </row>
    <row r="924">
      <c r="A924" s="93" t="n"/>
      <c r="B924" s="94" t="n"/>
      <c r="C924" s="94" t="n"/>
      <c r="D924" s="95" t="n"/>
      <c r="E924" s="95" t="n"/>
      <c r="F924" s="95" t="n"/>
      <c r="G924" s="95" t="n"/>
      <c r="H924" s="96" t="n"/>
      <c r="I924" s="89">
        <f>IF($G924="","",IF($F924="",IFERROR(INDEX(Setup!$C$21:$C$60,MATCH("|"&amp;UPPER(TRIM($G924)),Setup!$Q$21:$Q$60,0)),"NO RATE"),IFERROR(INDEX(Setup!$C$21:$C$60,MATCH(UPPER(TRIM($F924))&amp;"|"&amp;UPPER(TRIM($G924)),Setup!$P$21:$P$60,0)),IFERROR(INDEX(Setup!$C$21:$C$60,MATCH(UPPER(TRIM($G924))&amp;"|"&amp;UPPER(TRIM($F924)),Setup!$P$21:$P$60,0)),"NO RATE"))))</f>
        <v/>
      </c>
      <c r="J924" s="97" t="n"/>
      <c r="K924" s="89">
        <f>IF(OR($G924="",$H924="",NOT(ISNUMBER($I924))),"",ROUND($H924*$I924*(1+IF($J924="",Setup!$B$16,$J924)),2))</f>
        <v/>
      </c>
      <c r="L924" s="89">
        <f>IF($K924="","",ROUND($K924*Setup!$B$13,2))</f>
        <v/>
      </c>
      <c r="M924" s="89">
        <f>IF($K924="","",$K924-$L924)</f>
        <v/>
      </c>
      <c r="N924" s="89">
        <f>IF(OR($M924="",$D924=""),"",ROUND($M924*IFERROR(IF(VLOOKUP($D924,Setup!$A$76:$C$87,3,FALSE)="",Setup!$B$14,VLOOKUP($D924,Setup!$A$76:$C$87,3,FALSE)),Setup!$B$14),2))</f>
        <v/>
      </c>
      <c r="O924" s="89">
        <f>IF(OR($M924="",$E924=""),"",ROUND($M924*IFERROR(IF(VLOOKUP($E924,Setup!$A$76:$C$87,3,FALSE)="",Setup!$B$15,VLOOKUP($E924,Setup!$A$76:$C$87,3,FALSE)),Setup!$B$15),2))</f>
        <v/>
      </c>
      <c r="P924" s="98" t="n"/>
      <c r="Q924" s="98" t="n"/>
      <c r="R924" s="98" t="n"/>
      <c r="S924" s="98" t="n"/>
      <c r="T924" s="98" t="n"/>
      <c r="U924" s="89">
        <f>IF($K924="","",SUM($R924:$T924))</f>
        <v/>
      </c>
      <c r="V924" s="89">
        <f>IF($K924="","",$M924-(N($N924)+N($O924)+IF($P924="",Setup!$B$17,$P924)+N($Q924))-N($U924))</f>
        <v/>
      </c>
      <c r="W924" s="94" t="n"/>
      <c r="X924" s="95" t="n"/>
      <c r="Z924" s="92">
        <f>IF($A924="","",DATE(YEAR($A924),MONTH($A924),1))</f>
        <v/>
      </c>
    </row>
    <row r="925">
      <c r="A925" s="85" t="n"/>
      <c r="B925" s="86" t="n"/>
      <c r="C925" s="86" t="n"/>
      <c r="D925" s="87" t="n"/>
      <c r="E925" s="87" t="n"/>
      <c r="F925" s="87" t="n"/>
      <c r="G925" s="87" t="n"/>
      <c r="H925" s="88" t="n"/>
      <c r="I925" s="89">
        <f>IF($G925="","",IF($F925="",IFERROR(INDEX(Setup!$C$21:$C$60,MATCH("|"&amp;UPPER(TRIM($G925)),Setup!$Q$21:$Q$60,0)),"NO RATE"),IFERROR(INDEX(Setup!$C$21:$C$60,MATCH(UPPER(TRIM($F925))&amp;"|"&amp;UPPER(TRIM($G925)),Setup!$P$21:$P$60,0)),IFERROR(INDEX(Setup!$C$21:$C$60,MATCH(UPPER(TRIM($G925))&amp;"|"&amp;UPPER(TRIM($F925)),Setup!$P$21:$P$60,0)),"NO RATE"))))</f>
        <v/>
      </c>
      <c r="J925" s="90" t="n"/>
      <c r="K925" s="89">
        <f>IF(OR($G925="",$H925="",NOT(ISNUMBER($I925))),"",ROUND($H925*$I925*(1+IF($J925="",Setup!$B$16,$J925)),2))</f>
        <v/>
      </c>
      <c r="L925" s="89">
        <f>IF($K925="","",ROUND($K925*Setup!$B$13,2))</f>
        <v/>
      </c>
      <c r="M925" s="89">
        <f>IF($K925="","",$K925-$L925)</f>
        <v/>
      </c>
      <c r="N925" s="89">
        <f>IF(OR($M925="",$D925=""),"",ROUND($M925*IFERROR(IF(VLOOKUP($D925,Setup!$A$76:$C$87,3,FALSE)="",Setup!$B$14,VLOOKUP($D925,Setup!$A$76:$C$87,3,FALSE)),Setup!$B$14),2))</f>
        <v/>
      </c>
      <c r="O925" s="89">
        <f>IF(OR($M925="",$E925=""),"",ROUND($M925*IFERROR(IF(VLOOKUP($E925,Setup!$A$76:$C$87,3,FALSE)="",Setup!$B$15,VLOOKUP($E925,Setup!$A$76:$C$87,3,FALSE)),Setup!$B$15),2))</f>
        <v/>
      </c>
      <c r="P925" s="91" t="n"/>
      <c r="Q925" s="91" t="n"/>
      <c r="R925" s="91" t="n"/>
      <c r="S925" s="91" t="n"/>
      <c r="T925" s="91" t="n"/>
      <c r="U925" s="89">
        <f>IF($K925="","",SUM($R925:$T925))</f>
        <v/>
      </c>
      <c r="V925" s="89">
        <f>IF($K925="","",$M925-(N($N925)+N($O925)+IF($P925="",Setup!$B$17,$P925)+N($Q925))-N($U925))</f>
        <v/>
      </c>
      <c r="W925" s="86" t="n"/>
      <c r="X925" s="87" t="n"/>
      <c r="Z925" s="92">
        <f>IF($A925="","",DATE(YEAR($A925),MONTH($A925),1))</f>
        <v/>
      </c>
    </row>
    <row r="926">
      <c r="A926" s="93" t="n"/>
      <c r="B926" s="94" t="n"/>
      <c r="C926" s="94" t="n"/>
      <c r="D926" s="95" t="n"/>
      <c r="E926" s="95" t="n"/>
      <c r="F926" s="95" t="n"/>
      <c r="G926" s="95" t="n"/>
      <c r="H926" s="96" t="n"/>
      <c r="I926" s="89">
        <f>IF($G926="","",IF($F926="",IFERROR(INDEX(Setup!$C$21:$C$60,MATCH("|"&amp;UPPER(TRIM($G926)),Setup!$Q$21:$Q$60,0)),"NO RATE"),IFERROR(INDEX(Setup!$C$21:$C$60,MATCH(UPPER(TRIM($F926))&amp;"|"&amp;UPPER(TRIM($G926)),Setup!$P$21:$P$60,0)),IFERROR(INDEX(Setup!$C$21:$C$60,MATCH(UPPER(TRIM($G926))&amp;"|"&amp;UPPER(TRIM($F926)),Setup!$P$21:$P$60,0)),"NO RATE"))))</f>
        <v/>
      </c>
      <c r="J926" s="97" t="n"/>
      <c r="K926" s="89">
        <f>IF(OR($G926="",$H926="",NOT(ISNUMBER($I926))),"",ROUND($H926*$I926*(1+IF($J926="",Setup!$B$16,$J926)),2))</f>
        <v/>
      </c>
      <c r="L926" s="89">
        <f>IF($K926="","",ROUND($K926*Setup!$B$13,2))</f>
        <v/>
      </c>
      <c r="M926" s="89">
        <f>IF($K926="","",$K926-$L926)</f>
        <v/>
      </c>
      <c r="N926" s="89">
        <f>IF(OR($M926="",$D926=""),"",ROUND($M926*IFERROR(IF(VLOOKUP($D926,Setup!$A$76:$C$87,3,FALSE)="",Setup!$B$14,VLOOKUP($D926,Setup!$A$76:$C$87,3,FALSE)),Setup!$B$14),2))</f>
        <v/>
      </c>
      <c r="O926" s="89">
        <f>IF(OR($M926="",$E926=""),"",ROUND($M926*IFERROR(IF(VLOOKUP($E926,Setup!$A$76:$C$87,3,FALSE)="",Setup!$B$15,VLOOKUP($E926,Setup!$A$76:$C$87,3,FALSE)),Setup!$B$15),2))</f>
        <v/>
      </c>
      <c r="P926" s="98" t="n"/>
      <c r="Q926" s="98" t="n"/>
      <c r="R926" s="98" t="n"/>
      <c r="S926" s="98" t="n"/>
      <c r="T926" s="98" t="n"/>
      <c r="U926" s="89">
        <f>IF($K926="","",SUM($R926:$T926))</f>
        <v/>
      </c>
      <c r="V926" s="89">
        <f>IF($K926="","",$M926-(N($N926)+N($O926)+IF($P926="",Setup!$B$17,$P926)+N($Q926))-N($U926))</f>
        <v/>
      </c>
      <c r="W926" s="94" t="n"/>
      <c r="X926" s="95" t="n"/>
      <c r="Z926" s="92">
        <f>IF($A926="","",DATE(YEAR($A926),MONTH($A926),1))</f>
        <v/>
      </c>
    </row>
    <row r="927">
      <c r="A927" s="85" t="n"/>
      <c r="B927" s="86" t="n"/>
      <c r="C927" s="86" t="n"/>
      <c r="D927" s="87" t="n"/>
      <c r="E927" s="87" t="n"/>
      <c r="F927" s="87" t="n"/>
      <c r="G927" s="87" t="n"/>
      <c r="H927" s="88" t="n"/>
      <c r="I927" s="89">
        <f>IF($G927="","",IF($F927="",IFERROR(INDEX(Setup!$C$21:$C$60,MATCH("|"&amp;UPPER(TRIM($G927)),Setup!$Q$21:$Q$60,0)),"NO RATE"),IFERROR(INDEX(Setup!$C$21:$C$60,MATCH(UPPER(TRIM($F927))&amp;"|"&amp;UPPER(TRIM($G927)),Setup!$P$21:$P$60,0)),IFERROR(INDEX(Setup!$C$21:$C$60,MATCH(UPPER(TRIM($G927))&amp;"|"&amp;UPPER(TRIM($F927)),Setup!$P$21:$P$60,0)),"NO RATE"))))</f>
        <v/>
      </c>
      <c r="J927" s="90" t="n"/>
      <c r="K927" s="89">
        <f>IF(OR($G927="",$H927="",NOT(ISNUMBER($I927))),"",ROUND($H927*$I927*(1+IF($J927="",Setup!$B$16,$J927)),2))</f>
        <v/>
      </c>
      <c r="L927" s="89">
        <f>IF($K927="","",ROUND($K927*Setup!$B$13,2))</f>
        <v/>
      </c>
      <c r="M927" s="89">
        <f>IF($K927="","",$K927-$L927)</f>
        <v/>
      </c>
      <c r="N927" s="89">
        <f>IF(OR($M927="",$D927=""),"",ROUND($M927*IFERROR(IF(VLOOKUP($D927,Setup!$A$76:$C$87,3,FALSE)="",Setup!$B$14,VLOOKUP($D927,Setup!$A$76:$C$87,3,FALSE)),Setup!$B$14),2))</f>
        <v/>
      </c>
      <c r="O927" s="89">
        <f>IF(OR($M927="",$E927=""),"",ROUND($M927*IFERROR(IF(VLOOKUP($E927,Setup!$A$76:$C$87,3,FALSE)="",Setup!$B$15,VLOOKUP($E927,Setup!$A$76:$C$87,3,FALSE)),Setup!$B$15),2))</f>
        <v/>
      </c>
      <c r="P927" s="91" t="n"/>
      <c r="Q927" s="91" t="n"/>
      <c r="R927" s="91" t="n"/>
      <c r="S927" s="91" t="n"/>
      <c r="T927" s="91" t="n"/>
      <c r="U927" s="89">
        <f>IF($K927="","",SUM($R927:$T927))</f>
        <v/>
      </c>
      <c r="V927" s="89">
        <f>IF($K927="","",$M927-(N($N927)+N($O927)+IF($P927="",Setup!$B$17,$P927)+N($Q927))-N($U927))</f>
        <v/>
      </c>
      <c r="W927" s="86" t="n"/>
      <c r="X927" s="87" t="n"/>
      <c r="Z927" s="92">
        <f>IF($A927="","",DATE(YEAR($A927),MONTH($A927),1))</f>
        <v/>
      </c>
    </row>
    <row r="928">
      <c r="A928" s="93" t="n"/>
      <c r="B928" s="94" t="n"/>
      <c r="C928" s="94" t="n"/>
      <c r="D928" s="95" t="n"/>
      <c r="E928" s="95" t="n"/>
      <c r="F928" s="95" t="n"/>
      <c r="G928" s="95" t="n"/>
      <c r="H928" s="96" t="n"/>
      <c r="I928" s="89">
        <f>IF($G928="","",IF($F928="",IFERROR(INDEX(Setup!$C$21:$C$60,MATCH("|"&amp;UPPER(TRIM($G928)),Setup!$Q$21:$Q$60,0)),"NO RATE"),IFERROR(INDEX(Setup!$C$21:$C$60,MATCH(UPPER(TRIM($F928))&amp;"|"&amp;UPPER(TRIM($G928)),Setup!$P$21:$P$60,0)),IFERROR(INDEX(Setup!$C$21:$C$60,MATCH(UPPER(TRIM($G928))&amp;"|"&amp;UPPER(TRIM($F928)),Setup!$P$21:$P$60,0)),"NO RATE"))))</f>
        <v/>
      </c>
      <c r="J928" s="97" t="n"/>
      <c r="K928" s="89">
        <f>IF(OR($G928="",$H928="",NOT(ISNUMBER($I928))),"",ROUND($H928*$I928*(1+IF($J928="",Setup!$B$16,$J928)),2))</f>
        <v/>
      </c>
      <c r="L928" s="89">
        <f>IF($K928="","",ROUND($K928*Setup!$B$13,2))</f>
        <v/>
      </c>
      <c r="M928" s="89">
        <f>IF($K928="","",$K928-$L928)</f>
        <v/>
      </c>
      <c r="N928" s="89">
        <f>IF(OR($M928="",$D928=""),"",ROUND($M928*IFERROR(IF(VLOOKUP($D928,Setup!$A$76:$C$87,3,FALSE)="",Setup!$B$14,VLOOKUP($D928,Setup!$A$76:$C$87,3,FALSE)),Setup!$B$14),2))</f>
        <v/>
      </c>
      <c r="O928" s="89">
        <f>IF(OR($M928="",$E928=""),"",ROUND($M928*IFERROR(IF(VLOOKUP($E928,Setup!$A$76:$C$87,3,FALSE)="",Setup!$B$15,VLOOKUP($E928,Setup!$A$76:$C$87,3,FALSE)),Setup!$B$15),2))</f>
        <v/>
      </c>
      <c r="P928" s="98" t="n"/>
      <c r="Q928" s="98" t="n"/>
      <c r="R928" s="98" t="n"/>
      <c r="S928" s="98" t="n"/>
      <c r="T928" s="98" t="n"/>
      <c r="U928" s="89">
        <f>IF($K928="","",SUM($R928:$T928))</f>
        <v/>
      </c>
      <c r="V928" s="89">
        <f>IF($K928="","",$M928-(N($N928)+N($O928)+IF($P928="",Setup!$B$17,$P928)+N($Q928))-N($U928))</f>
        <v/>
      </c>
      <c r="W928" s="94" t="n"/>
      <c r="X928" s="95" t="n"/>
      <c r="Z928" s="92">
        <f>IF($A928="","",DATE(YEAR($A928),MONTH($A928),1))</f>
        <v/>
      </c>
    </row>
    <row r="929">
      <c r="A929" s="85" t="n"/>
      <c r="B929" s="86" t="n"/>
      <c r="C929" s="86" t="n"/>
      <c r="D929" s="87" t="n"/>
      <c r="E929" s="87" t="n"/>
      <c r="F929" s="87" t="n"/>
      <c r="G929" s="87" t="n"/>
      <c r="H929" s="88" t="n"/>
      <c r="I929" s="89">
        <f>IF($G929="","",IF($F929="",IFERROR(INDEX(Setup!$C$21:$C$60,MATCH("|"&amp;UPPER(TRIM($G929)),Setup!$Q$21:$Q$60,0)),"NO RATE"),IFERROR(INDEX(Setup!$C$21:$C$60,MATCH(UPPER(TRIM($F929))&amp;"|"&amp;UPPER(TRIM($G929)),Setup!$P$21:$P$60,0)),IFERROR(INDEX(Setup!$C$21:$C$60,MATCH(UPPER(TRIM($G929))&amp;"|"&amp;UPPER(TRIM($F929)),Setup!$P$21:$P$60,0)),"NO RATE"))))</f>
        <v/>
      </c>
      <c r="J929" s="90" t="n"/>
      <c r="K929" s="89">
        <f>IF(OR($G929="",$H929="",NOT(ISNUMBER($I929))),"",ROUND($H929*$I929*(1+IF($J929="",Setup!$B$16,$J929)),2))</f>
        <v/>
      </c>
      <c r="L929" s="89">
        <f>IF($K929="","",ROUND($K929*Setup!$B$13,2))</f>
        <v/>
      </c>
      <c r="M929" s="89">
        <f>IF($K929="","",$K929-$L929)</f>
        <v/>
      </c>
      <c r="N929" s="89">
        <f>IF(OR($M929="",$D929=""),"",ROUND($M929*IFERROR(IF(VLOOKUP($D929,Setup!$A$76:$C$87,3,FALSE)="",Setup!$B$14,VLOOKUP($D929,Setup!$A$76:$C$87,3,FALSE)),Setup!$B$14),2))</f>
        <v/>
      </c>
      <c r="O929" s="89">
        <f>IF(OR($M929="",$E929=""),"",ROUND($M929*IFERROR(IF(VLOOKUP($E929,Setup!$A$76:$C$87,3,FALSE)="",Setup!$B$15,VLOOKUP($E929,Setup!$A$76:$C$87,3,FALSE)),Setup!$B$15),2))</f>
        <v/>
      </c>
      <c r="P929" s="91" t="n"/>
      <c r="Q929" s="91" t="n"/>
      <c r="R929" s="91" t="n"/>
      <c r="S929" s="91" t="n"/>
      <c r="T929" s="91" t="n"/>
      <c r="U929" s="89">
        <f>IF($K929="","",SUM($R929:$T929))</f>
        <v/>
      </c>
      <c r="V929" s="89">
        <f>IF($K929="","",$M929-(N($N929)+N($O929)+IF($P929="",Setup!$B$17,$P929)+N($Q929))-N($U929))</f>
        <v/>
      </c>
      <c r="W929" s="86" t="n"/>
      <c r="X929" s="87" t="n"/>
      <c r="Z929" s="92">
        <f>IF($A929="","",DATE(YEAR($A929),MONTH($A929),1))</f>
        <v/>
      </c>
    </row>
    <row r="930">
      <c r="A930" s="93" t="n"/>
      <c r="B930" s="94" t="n"/>
      <c r="C930" s="94" t="n"/>
      <c r="D930" s="95" t="n"/>
      <c r="E930" s="95" t="n"/>
      <c r="F930" s="95" t="n"/>
      <c r="G930" s="95" t="n"/>
      <c r="H930" s="96" t="n"/>
      <c r="I930" s="89">
        <f>IF($G930="","",IF($F930="",IFERROR(INDEX(Setup!$C$21:$C$60,MATCH("|"&amp;UPPER(TRIM($G930)),Setup!$Q$21:$Q$60,0)),"NO RATE"),IFERROR(INDEX(Setup!$C$21:$C$60,MATCH(UPPER(TRIM($F930))&amp;"|"&amp;UPPER(TRIM($G930)),Setup!$P$21:$P$60,0)),IFERROR(INDEX(Setup!$C$21:$C$60,MATCH(UPPER(TRIM($G930))&amp;"|"&amp;UPPER(TRIM($F930)),Setup!$P$21:$P$60,0)),"NO RATE"))))</f>
        <v/>
      </c>
      <c r="J930" s="97" t="n"/>
      <c r="K930" s="89">
        <f>IF(OR($G930="",$H930="",NOT(ISNUMBER($I930))),"",ROUND($H930*$I930*(1+IF($J930="",Setup!$B$16,$J930)),2))</f>
        <v/>
      </c>
      <c r="L930" s="89">
        <f>IF($K930="","",ROUND($K930*Setup!$B$13,2))</f>
        <v/>
      </c>
      <c r="M930" s="89">
        <f>IF($K930="","",$K930-$L930)</f>
        <v/>
      </c>
      <c r="N930" s="89">
        <f>IF(OR($M930="",$D930=""),"",ROUND($M930*IFERROR(IF(VLOOKUP($D930,Setup!$A$76:$C$87,3,FALSE)="",Setup!$B$14,VLOOKUP($D930,Setup!$A$76:$C$87,3,FALSE)),Setup!$B$14),2))</f>
        <v/>
      </c>
      <c r="O930" s="89">
        <f>IF(OR($M930="",$E930=""),"",ROUND($M930*IFERROR(IF(VLOOKUP($E930,Setup!$A$76:$C$87,3,FALSE)="",Setup!$B$15,VLOOKUP($E930,Setup!$A$76:$C$87,3,FALSE)),Setup!$B$15),2))</f>
        <v/>
      </c>
      <c r="P930" s="98" t="n"/>
      <c r="Q930" s="98" t="n"/>
      <c r="R930" s="98" t="n"/>
      <c r="S930" s="98" t="n"/>
      <c r="T930" s="98" t="n"/>
      <c r="U930" s="89">
        <f>IF($K930="","",SUM($R930:$T930))</f>
        <v/>
      </c>
      <c r="V930" s="89">
        <f>IF($K930="","",$M930-(N($N930)+N($O930)+IF($P930="",Setup!$B$17,$P930)+N($Q930))-N($U930))</f>
        <v/>
      </c>
      <c r="W930" s="94" t="n"/>
      <c r="X930" s="95" t="n"/>
      <c r="Z930" s="92">
        <f>IF($A930="","",DATE(YEAR($A930),MONTH($A930),1))</f>
        <v/>
      </c>
    </row>
    <row r="931">
      <c r="A931" s="85" t="n"/>
      <c r="B931" s="86" t="n"/>
      <c r="C931" s="86" t="n"/>
      <c r="D931" s="87" t="n"/>
      <c r="E931" s="87" t="n"/>
      <c r="F931" s="87" t="n"/>
      <c r="G931" s="87" t="n"/>
      <c r="H931" s="88" t="n"/>
      <c r="I931" s="89">
        <f>IF($G931="","",IF($F931="",IFERROR(INDEX(Setup!$C$21:$C$60,MATCH("|"&amp;UPPER(TRIM($G931)),Setup!$Q$21:$Q$60,0)),"NO RATE"),IFERROR(INDEX(Setup!$C$21:$C$60,MATCH(UPPER(TRIM($F931))&amp;"|"&amp;UPPER(TRIM($G931)),Setup!$P$21:$P$60,0)),IFERROR(INDEX(Setup!$C$21:$C$60,MATCH(UPPER(TRIM($G931))&amp;"|"&amp;UPPER(TRIM($F931)),Setup!$P$21:$P$60,0)),"NO RATE"))))</f>
        <v/>
      </c>
      <c r="J931" s="90" t="n"/>
      <c r="K931" s="89">
        <f>IF(OR($G931="",$H931="",NOT(ISNUMBER($I931))),"",ROUND($H931*$I931*(1+IF($J931="",Setup!$B$16,$J931)),2))</f>
        <v/>
      </c>
      <c r="L931" s="89">
        <f>IF($K931="","",ROUND($K931*Setup!$B$13,2))</f>
        <v/>
      </c>
      <c r="M931" s="89">
        <f>IF($K931="","",$K931-$L931)</f>
        <v/>
      </c>
      <c r="N931" s="89">
        <f>IF(OR($M931="",$D931=""),"",ROUND($M931*IFERROR(IF(VLOOKUP($D931,Setup!$A$76:$C$87,3,FALSE)="",Setup!$B$14,VLOOKUP($D931,Setup!$A$76:$C$87,3,FALSE)),Setup!$B$14),2))</f>
        <v/>
      </c>
      <c r="O931" s="89">
        <f>IF(OR($M931="",$E931=""),"",ROUND($M931*IFERROR(IF(VLOOKUP($E931,Setup!$A$76:$C$87,3,FALSE)="",Setup!$B$15,VLOOKUP($E931,Setup!$A$76:$C$87,3,FALSE)),Setup!$B$15),2))</f>
        <v/>
      </c>
      <c r="P931" s="91" t="n"/>
      <c r="Q931" s="91" t="n"/>
      <c r="R931" s="91" t="n"/>
      <c r="S931" s="91" t="n"/>
      <c r="T931" s="91" t="n"/>
      <c r="U931" s="89">
        <f>IF($K931="","",SUM($R931:$T931))</f>
        <v/>
      </c>
      <c r="V931" s="89">
        <f>IF($K931="","",$M931-(N($N931)+N($O931)+IF($P931="",Setup!$B$17,$P931)+N($Q931))-N($U931))</f>
        <v/>
      </c>
      <c r="W931" s="86" t="n"/>
      <c r="X931" s="87" t="n"/>
      <c r="Z931" s="92">
        <f>IF($A931="","",DATE(YEAR($A931),MONTH($A931),1))</f>
        <v/>
      </c>
    </row>
    <row r="932">
      <c r="A932" s="93" t="n"/>
      <c r="B932" s="94" t="n"/>
      <c r="C932" s="94" t="n"/>
      <c r="D932" s="95" t="n"/>
      <c r="E932" s="95" t="n"/>
      <c r="F932" s="95" t="n"/>
      <c r="G932" s="95" t="n"/>
      <c r="H932" s="96" t="n"/>
      <c r="I932" s="89">
        <f>IF($G932="","",IF($F932="",IFERROR(INDEX(Setup!$C$21:$C$60,MATCH("|"&amp;UPPER(TRIM($G932)),Setup!$Q$21:$Q$60,0)),"NO RATE"),IFERROR(INDEX(Setup!$C$21:$C$60,MATCH(UPPER(TRIM($F932))&amp;"|"&amp;UPPER(TRIM($G932)),Setup!$P$21:$P$60,0)),IFERROR(INDEX(Setup!$C$21:$C$60,MATCH(UPPER(TRIM($G932))&amp;"|"&amp;UPPER(TRIM($F932)),Setup!$P$21:$P$60,0)),"NO RATE"))))</f>
        <v/>
      </c>
      <c r="J932" s="97" t="n"/>
      <c r="K932" s="89">
        <f>IF(OR($G932="",$H932="",NOT(ISNUMBER($I932))),"",ROUND($H932*$I932*(1+IF($J932="",Setup!$B$16,$J932)),2))</f>
        <v/>
      </c>
      <c r="L932" s="89">
        <f>IF($K932="","",ROUND($K932*Setup!$B$13,2))</f>
        <v/>
      </c>
      <c r="M932" s="89">
        <f>IF($K932="","",$K932-$L932)</f>
        <v/>
      </c>
      <c r="N932" s="89">
        <f>IF(OR($M932="",$D932=""),"",ROUND($M932*IFERROR(IF(VLOOKUP($D932,Setup!$A$76:$C$87,3,FALSE)="",Setup!$B$14,VLOOKUP($D932,Setup!$A$76:$C$87,3,FALSE)),Setup!$B$14),2))</f>
        <v/>
      </c>
      <c r="O932" s="89">
        <f>IF(OR($M932="",$E932=""),"",ROUND($M932*IFERROR(IF(VLOOKUP($E932,Setup!$A$76:$C$87,3,FALSE)="",Setup!$B$15,VLOOKUP($E932,Setup!$A$76:$C$87,3,FALSE)),Setup!$B$15),2))</f>
        <v/>
      </c>
      <c r="P932" s="98" t="n"/>
      <c r="Q932" s="98" t="n"/>
      <c r="R932" s="98" t="n"/>
      <c r="S932" s="98" t="n"/>
      <c r="T932" s="98" t="n"/>
      <c r="U932" s="89">
        <f>IF($K932="","",SUM($R932:$T932))</f>
        <v/>
      </c>
      <c r="V932" s="89">
        <f>IF($K932="","",$M932-(N($N932)+N($O932)+IF($P932="",Setup!$B$17,$P932)+N($Q932))-N($U932))</f>
        <v/>
      </c>
      <c r="W932" s="94" t="n"/>
      <c r="X932" s="95" t="n"/>
      <c r="Z932" s="92">
        <f>IF($A932="","",DATE(YEAR($A932),MONTH($A932),1))</f>
        <v/>
      </c>
    </row>
    <row r="933">
      <c r="A933" s="85" t="n"/>
      <c r="B933" s="86" t="n"/>
      <c r="C933" s="86" t="n"/>
      <c r="D933" s="87" t="n"/>
      <c r="E933" s="87" t="n"/>
      <c r="F933" s="87" t="n"/>
      <c r="G933" s="87" t="n"/>
      <c r="H933" s="88" t="n"/>
      <c r="I933" s="89">
        <f>IF($G933="","",IF($F933="",IFERROR(INDEX(Setup!$C$21:$C$60,MATCH("|"&amp;UPPER(TRIM($G933)),Setup!$Q$21:$Q$60,0)),"NO RATE"),IFERROR(INDEX(Setup!$C$21:$C$60,MATCH(UPPER(TRIM($F933))&amp;"|"&amp;UPPER(TRIM($G933)),Setup!$P$21:$P$60,0)),IFERROR(INDEX(Setup!$C$21:$C$60,MATCH(UPPER(TRIM($G933))&amp;"|"&amp;UPPER(TRIM($F933)),Setup!$P$21:$P$60,0)),"NO RATE"))))</f>
        <v/>
      </c>
      <c r="J933" s="90" t="n"/>
      <c r="K933" s="89">
        <f>IF(OR($G933="",$H933="",NOT(ISNUMBER($I933))),"",ROUND($H933*$I933*(1+IF($J933="",Setup!$B$16,$J933)),2))</f>
        <v/>
      </c>
      <c r="L933" s="89">
        <f>IF($K933="","",ROUND($K933*Setup!$B$13,2))</f>
        <v/>
      </c>
      <c r="M933" s="89">
        <f>IF($K933="","",$K933-$L933)</f>
        <v/>
      </c>
      <c r="N933" s="89">
        <f>IF(OR($M933="",$D933=""),"",ROUND($M933*IFERROR(IF(VLOOKUP($D933,Setup!$A$76:$C$87,3,FALSE)="",Setup!$B$14,VLOOKUP($D933,Setup!$A$76:$C$87,3,FALSE)),Setup!$B$14),2))</f>
        <v/>
      </c>
      <c r="O933" s="89">
        <f>IF(OR($M933="",$E933=""),"",ROUND($M933*IFERROR(IF(VLOOKUP($E933,Setup!$A$76:$C$87,3,FALSE)="",Setup!$B$15,VLOOKUP($E933,Setup!$A$76:$C$87,3,FALSE)),Setup!$B$15),2))</f>
        <v/>
      </c>
      <c r="P933" s="91" t="n"/>
      <c r="Q933" s="91" t="n"/>
      <c r="R933" s="91" t="n"/>
      <c r="S933" s="91" t="n"/>
      <c r="T933" s="91" t="n"/>
      <c r="U933" s="89">
        <f>IF($K933="","",SUM($R933:$T933))</f>
        <v/>
      </c>
      <c r="V933" s="89">
        <f>IF($K933="","",$M933-(N($N933)+N($O933)+IF($P933="",Setup!$B$17,$P933)+N($Q933))-N($U933))</f>
        <v/>
      </c>
      <c r="W933" s="86" t="n"/>
      <c r="X933" s="87" t="n"/>
      <c r="Z933" s="92">
        <f>IF($A933="","",DATE(YEAR($A933),MONTH($A933),1))</f>
        <v/>
      </c>
    </row>
    <row r="934">
      <c r="A934" s="93" t="n"/>
      <c r="B934" s="94" t="n"/>
      <c r="C934" s="94" t="n"/>
      <c r="D934" s="95" t="n"/>
      <c r="E934" s="95" t="n"/>
      <c r="F934" s="95" t="n"/>
      <c r="G934" s="95" t="n"/>
      <c r="H934" s="96" t="n"/>
      <c r="I934" s="89">
        <f>IF($G934="","",IF($F934="",IFERROR(INDEX(Setup!$C$21:$C$60,MATCH("|"&amp;UPPER(TRIM($G934)),Setup!$Q$21:$Q$60,0)),"NO RATE"),IFERROR(INDEX(Setup!$C$21:$C$60,MATCH(UPPER(TRIM($F934))&amp;"|"&amp;UPPER(TRIM($G934)),Setup!$P$21:$P$60,0)),IFERROR(INDEX(Setup!$C$21:$C$60,MATCH(UPPER(TRIM($G934))&amp;"|"&amp;UPPER(TRIM($F934)),Setup!$P$21:$P$60,0)),"NO RATE"))))</f>
        <v/>
      </c>
      <c r="J934" s="97" t="n"/>
      <c r="K934" s="89">
        <f>IF(OR($G934="",$H934="",NOT(ISNUMBER($I934))),"",ROUND($H934*$I934*(1+IF($J934="",Setup!$B$16,$J934)),2))</f>
        <v/>
      </c>
      <c r="L934" s="89">
        <f>IF($K934="","",ROUND($K934*Setup!$B$13,2))</f>
        <v/>
      </c>
      <c r="M934" s="89">
        <f>IF($K934="","",$K934-$L934)</f>
        <v/>
      </c>
      <c r="N934" s="89">
        <f>IF(OR($M934="",$D934=""),"",ROUND($M934*IFERROR(IF(VLOOKUP($D934,Setup!$A$76:$C$87,3,FALSE)="",Setup!$B$14,VLOOKUP($D934,Setup!$A$76:$C$87,3,FALSE)),Setup!$B$14),2))</f>
        <v/>
      </c>
      <c r="O934" s="89">
        <f>IF(OR($M934="",$E934=""),"",ROUND($M934*IFERROR(IF(VLOOKUP($E934,Setup!$A$76:$C$87,3,FALSE)="",Setup!$B$15,VLOOKUP($E934,Setup!$A$76:$C$87,3,FALSE)),Setup!$B$15),2))</f>
        <v/>
      </c>
      <c r="P934" s="98" t="n"/>
      <c r="Q934" s="98" t="n"/>
      <c r="R934" s="98" t="n"/>
      <c r="S934" s="98" t="n"/>
      <c r="T934" s="98" t="n"/>
      <c r="U934" s="89">
        <f>IF($K934="","",SUM($R934:$T934))</f>
        <v/>
      </c>
      <c r="V934" s="89">
        <f>IF($K934="","",$M934-(N($N934)+N($O934)+IF($P934="",Setup!$B$17,$P934)+N($Q934))-N($U934))</f>
        <v/>
      </c>
      <c r="W934" s="94" t="n"/>
      <c r="X934" s="95" t="n"/>
      <c r="Z934" s="92">
        <f>IF($A934="","",DATE(YEAR($A934),MONTH($A934),1))</f>
        <v/>
      </c>
    </row>
    <row r="935">
      <c r="A935" s="85" t="n"/>
      <c r="B935" s="86" t="n"/>
      <c r="C935" s="86" t="n"/>
      <c r="D935" s="87" t="n"/>
      <c r="E935" s="87" t="n"/>
      <c r="F935" s="87" t="n"/>
      <c r="G935" s="87" t="n"/>
      <c r="H935" s="88" t="n"/>
      <c r="I935" s="89">
        <f>IF($G935="","",IF($F935="",IFERROR(INDEX(Setup!$C$21:$C$60,MATCH("|"&amp;UPPER(TRIM($G935)),Setup!$Q$21:$Q$60,0)),"NO RATE"),IFERROR(INDEX(Setup!$C$21:$C$60,MATCH(UPPER(TRIM($F935))&amp;"|"&amp;UPPER(TRIM($G935)),Setup!$P$21:$P$60,0)),IFERROR(INDEX(Setup!$C$21:$C$60,MATCH(UPPER(TRIM($G935))&amp;"|"&amp;UPPER(TRIM($F935)),Setup!$P$21:$P$60,0)),"NO RATE"))))</f>
        <v/>
      </c>
      <c r="J935" s="90" t="n"/>
      <c r="K935" s="89">
        <f>IF(OR($G935="",$H935="",NOT(ISNUMBER($I935))),"",ROUND($H935*$I935*(1+IF($J935="",Setup!$B$16,$J935)),2))</f>
        <v/>
      </c>
      <c r="L935" s="89">
        <f>IF($K935="","",ROUND($K935*Setup!$B$13,2))</f>
        <v/>
      </c>
      <c r="M935" s="89">
        <f>IF($K935="","",$K935-$L935)</f>
        <v/>
      </c>
      <c r="N935" s="89">
        <f>IF(OR($M935="",$D935=""),"",ROUND($M935*IFERROR(IF(VLOOKUP($D935,Setup!$A$76:$C$87,3,FALSE)="",Setup!$B$14,VLOOKUP($D935,Setup!$A$76:$C$87,3,FALSE)),Setup!$B$14),2))</f>
        <v/>
      </c>
      <c r="O935" s="89">
        <f>IF(OR($M935="",$E935=""),"",ROUND($M935*IFERROR(IF(VLOOKUP($E935,Setup!$A$76:$C$87,3,FALSE)="",Setup!$B$15,VLOOKUP($E935,Setup!$A$76:$C$87,3,FALSE)),Setup!$B$15),2))</f>
        <v/>
      </c>
      <c r="P935" s="91" t="n"/>
      <c r="Q935" s="91" t="n"/>
      <c r="R935" s="91" t="n"/>
      <c r="S935" s="91" t="n"/>
      <c r="T935" s="91" t="n"/>
      <c r="U935" s="89">
        <f>IF($K935="","",SUM($R935:$T935))</f>
        <v/>
      </c>
      <c r="V935" s="89">
        <f>IF($K935="","",$M935-(N($N935)+N($O935)+IF($P935="",Setup!$B$17,$P935)+N($Q935))-N($U935))</f>
        <v/>
      </c>
      <c r="W935" s="86" t="n"/>
      <c r="X935" s="87" t="n"/>
      <c r="Z935" s="92">
        <f>IF($A935="","",DATE(YEAR($A935),MONTH($A935),1))</f>
        <v/>
      </c>
    </row>
    <row r="936">
      <c r="A936" s="93" t="n"/>
      <c r="B936" s="94" t="n"/>
      <c r="C936" s="94" t="n"/>
      <c r="D936" s="95" t="n"/>
      <c r="E936" s="95" t="n"/>
      <c r="F936" s="95" t="n"/>
      <c r="G936" s="95" t="n"/>
      <c r="H936" s="96" t="n"/>
      <c r="I936" s="89">
        <f>IF($G936="","",IF($F936="",IFERROR(INDEX(Setup!$C$21:$C$60,MATCH("|"&amp;UPPER(TRIM($G936)),Setup!$Q$21:$Q$60,0)),"NO RATE"),IFERROR(INDEX(Setup!$C$21:$C$60,MATCH(UPPER(TRIM($F936))&amp;"|"&amp;UPPER(TRIM($G936)),Setup!$P$21:$P$60,0)),IFERROR(INDEX(Setup!$C$21:$C$60,MATCH(UPPER(TRIM($G936))&amp;"|"&amp;UPPER(TRIM($F936)),Setup!$P$21:$P$60,0)),"NO RATE"))))</f>
        <v/>
      </c>
      <c r="J936" s="97" t="n"/>
      <c r="K936" s="89">
        <f>IF(OR($G936="",$H936="",NOT(ISNUMBER($I936))),"",ROUND($H936*$I936*(1+IF($J936="",Setup!$B$16,$J936)),2))</f>
        <v/>
      </c>
      <c r="L936" s="89">
        <f>IF($K936="","",ROUND($K936*Setup!$B$13,2))</f>
        <v/>
      </c>
      <c r="M936" s="89">
        <f>IF($K936="","",$K936-$L936)</f>
        <v/>
      </c>
      <c r="N936" s="89">
        <f>IF(OR($M936="",$D936=""),"",ROUND($M936*IFERROR(IF(VLOOKUP($D936,Setup!$A$76:$C$87,3,FALSE)="",Setup!$B$14,VLOOKUP($D936,Setup!$A$76:$C$87,3,FALSE)),Setup!$B$14),2))</f>
        <v/>
      </c>
      <c r="O936" s="89">
        <f>IF(OR($M936="",$E936=""),"",ROUND($M936*IFERROR(IF(VLOOKUP($E936,Setup!$A$76:$C$87,3,FALSE)="",Setup!$B$15,VLOOKUP($E936,Setup!$A$76:$C$87,3,FALSE)),Setup!$B$15),2))</f>
        <v/>
      </c>
      <c r="P936" s="98" t="n"/>
      <c r="Q936" s="98" t="n"/>
      <c r="R936" s="98" t="n"/>
      <c r="S936" s="98" t="n"/>
      <c r="T936" s="98" t="n"/>
      <c r="U936" s="89">
        <f>IF($K936="","",SUM($R936:$T936))</f>
        <v/>
      </c>
      <c r="V936" s="89">
        <f>IF($K936="","",$M936-(N($N936)+N($O936)+IF($P936="",Setup!$B$17,$P936)+N($Q936))-N($U936))</f>
        <v/>
      </c>
      <c r="W936" s="94" t="n"/>
      <c r="X936" s="95" t="n"/>
      <c r="Z936" s="92">
        <f>IF($A936="","",DATE(YEAR($A936),MONTH($A936),1))</f>
        <v/>
      </c>
    </row>
    <row r="937">
      <c r="A937" s="85" t="n"/>
      <c r="B937" s="86" t="n"/>
      <c r="C937" s="86" t="n"/>
      <c r="D937" s="87" t="n"/>
      <c r="E937" s="87" t="n"/>
      <c r="F937" s="87" t="n"/>
      <c r="G937" s="87" t="n"/>
      <c r="H937" s="88" t="n"/>
      <c r="I937" s="89">
        <f>IF($G937="","",IF($F937="",IFERROR(INDEX(Setup!$C$21:$C$60,MATCH("|"&amp;UPPER(TRIM($G937)),Setup!$Q$21:$Q$60,0)),"NO RATE"),IFERROR(INDEX(Setup!$C$21:$C$60,MATCH(UPPER(TRIM($F937))&amp;"|"&amp;UPPER(TRIM($G937)),Setup!$P$21:$P$60,0)),IFERROR(INDEX(Setup!$C$21:$C$60,MATCH(UPPER(TRIM($G937))&amp;"|"&amp;UPPER(TRIM($F937)),Setup!$P$21:$P$60,0)),"NO RATE"))))</f>
        <v/>
      </c>
      <c r="J937" s="90" t="n"/>
      <c r="K937" s="89">
        <f>IF(OR($G937="",$H937="",NOT(ISNUMBER($I937))),"",ROUND($H937*$I937*(1+IF($J937="",Setup!$B$16,$J937)),2))</f>
        <v/>
      </c>
      <c r="L937" s="89">
        <f>IF($K937="","",ROUND($K937*Setup!$B$13,2))</f>
        <v/>
      </c>
      <c r="M937" s="89">
        <f>IF($K937="","",$K937-$L937)</f>
        <v/>
      </c>
      <c r="N937" s="89">
        <f>IF(OR($M937="",$D937=""),"",ROUND($M937*IFERROR(IF(VLOOKUP($D937,Setup!$A$76:$C$87,3,FALSE)="",Setup!$B$14,VLOOKUP($D937,Setup!$A$76:$C$87,3,FALSE)),Setup!$B$14),2))</f>
        <v/>
      </c>
      <c r="O937" s="89">
        <f>IF(OR($M937="",$E937=""),"",ROUND($M937*IFERROR(IF(VLOOKUP($E937,Setup!$A$76:$C$87,3,FALSE)="",Setup!$B$15,VLOOKUP($E937,Setup!$A$76:$C$87,3,FALSE)),Setup!$B$15),2))</f>
        <v/>
      </c>
      <c r="P937" s="91" t="n"/>
      <c r="Q937" s="91" t="n"/>
      <c r="R937" s="91" t="n"/>
      <c r="S937" s="91" t="n"/>
      <c r="T937" s="91" t="n"/>
      <c r="U937" s="89">
        <f>IF($K937="","",SUM($R937:$T937))</f>
        <v/>
      </c>
      <c r="V937" s="89">
        <f>IF($K937="","",$M937-(N($N937)+N($O937)+IF($P937="",Setup!$B$17,$P937)+N($Q937))-N($U937))</f>
        <v/>
      </c>
      <c r="W937" s="86" t="n"/>
      <c r="X937" s="87" t="n"/>
      <c r="Z937" s="92">
        <f>IF($A937="","",DATE(YEAR($A937),MONTH($A937),1))</f>
        <v/>
      </c>
    </row>
    <row r="938">
      <c r="A938" s="93" t="n"/>
      <c r="B938" s="94" t="n"/>
      <c r="C938" s="94" t="n"/>
      <c r="D938" s="95" t="n"/>
      <c r="E938" s="95" t="n"/>
      <c r="F938" s="95" t="n"/>
      <c r="G938" s="95" t="n"/>
      <c r="H938" s="96" t="n"/>
      <c r="I938" s="89">
        <f>IF($G938="","",IF($F938="",IFERROR(INDEX(Setup!$C$21:$C$60,MATCH("|"&amp;UPPER(TRIM($G938)),Setup!$Q$21:$Q$60,0)),"NO RATE"),IFERROR(INDEX(Setup!$C$21:$C$60,MATCH(UPPER(TRIM($F938))&amp;"|"&amp;UPPER(TRIM($G938)),Setup!$P$21:$P$60,0)),IFERROR(INDEX(Setup!$C$21:$C$60,MATCH(UPPER(TRIM($G938))&amp;"|"&amp;UPPER(TRIM($F938)),Setup!$P$21:$P$60,0)),"NO RATE"))))</f>
        <v/>
      </c>
      <c r="J938" s="97" t="n"/>
      <c r="K938" s="89">
        <f>IF(OR($G938="",$H938="",NOT(ISNUMBER($I938))),"",ROUND($H938*$I938*(1+IF($J938="",Setup!$B$16,$J938)),2))</f>
        <v/>
      </c>
      <c r="L938" s="89">
        <f>IF($K938="","",ROUND($K938*Setup!$B$13,2))</f>
        <v/>
      </c>
      <c r="M938" s="89">
        <f>IF($K938="","",$K938-$L938)</f>
        <v/>
      </c>
      <c r="N938" s="89">
        <f>IF(OR($M938="",$D938=""),"",ROUND($M938*IFERROR(IF(VLOOKUP($D938,Setup!$A$76:$C$87,3,FALSE)="",Setup!$B$14,VLOOKUP($D938,Setup!$A$76:$C$87,3,FALSE)),Setup!$B$14),2))</f>
        <v/>
      </c>
      <c r="O938" s="89">
        <f>IF(OR($M938="",$E938=""),"",ROUND($M938*IFERROR(IF(VLOOKUP($E938,Setup!$A$76:$C$87,3,FALSE)="",Setup!$B$15,VLOOKUP($E938,Setup!$A$76:$C$87,3,FALSE)),Setup!$B$15),2))</f>
        <v/>
      </c>
      <c r="P938" s="98" t="n"/>
      <c r="Q938" s="98" t="n"/>
      <c r="R938" s="98" t="n"/>
      <c r="S938" s="98" t="n"/>
      <c r="T938" s="98" t="n"/>
      <c r="U938" s="89">
        <f>IF($K938="","",SUM($R938:$T938))</f>
        <v/>
      </c>
      <c r="V938" s="89">
        <f>IF($K938="","",$M938-(N($N938)+N($O938)+IF($P938="",Setup!$B$17,$P938)+N($Q938))-N($U938))</f>
        <v/>
      </c>
      <c r="W938" s="94" t="n"/>
      <c r="X938" s="95" t="n"/>
      <c r="Z938" s="92">
        <f>IF($A938="","",DATE(YEAR($A938),MONTH($A938),1))</f>
        <v/>
      </c>
    </row>
    <row r="939">
      <c r="A939" s="85" t="n"/>
      <c r="B939" s="86" t="n"/>
      <c r="C939" s="86" t="n"/>
      <c r="D939" s="87" t="n"/>
      <c r="E939" s="87" t="n"/>
      <c r="F939" s="87" t="n"/>
      <c r="G939" s="87" t="n"/>
      <c r="H939" s="88" t="n"/>
      <c r="I939" s="89">
        <f>IF($G939="","",IF($F939="",IFERROR(INDEX(Setup!$C$21:$C$60,MATCH("|"&amp;UPPER(TRIM($G939)),Setup!$Q$21:$Q$60,0)),"NO RATE"),IFERROR(INDEX(Setup!$C$21:$C$60,MATCH(UPPER(TRIM($F939))&amp;"|"&amp;UPPER(TRIM($G939)),Setup!$P$21:$P$60,0)),IFERROR(INDEX(Setup!$C$21:$C$60,MATCH(UPPER(TRIM($G939))&amp;"|"&amp;UPPER(TRIM($F939)),Setup!$P$21:$P$60,0)),"NO RATE"))))</f>
        <v/>
      </c>
      <c r="J939" s="90" t="n"/>
      <c r="K939" s="89">
        <f>IF(OR($G939="",$H939="",NOT(ISNUMBER($I939))),"",ROUND($H939*$I939*(1+IF($J939="",Setup!$B$16,$J939)),2))</f>
        <v/>
      </c>
      <c r="L939" s="89">
        <f>IF($K939="","",ROUND($K939*Setup!$B$13,2))</f>
        <v/>
      </c>
      <c r="M939" s="89">
        <f>IF($K939="","",$K939-$L939)</f>
        <v/>
      </c>
      <c r="N939" s="89">
        <f>IF(OR($M939="",$D939=""),"",ROUND($M939*IFERROR(IF(VLOOKUP($D939,Setup!$A$76:$C$87,3,FALSE)="",Setup!$B$14,VLOOKUP($D939,Setup!$A$76:$C$87,3,FALSE)),Setup!$B$14),2))</f>
        <v/>
      </c>
      <c r="O939" s="89">
        <f>IF(OR($M939="",$E939=""),"",ROUND($M939*IFERROR(IF(VLOOKUP($E939,Setup!$A$76:$C$87,3,FALSE)="",Setup!$B$15,VLOOKUP($E939,Setup!$A$76:$C$87,3,FALSE)),Setup!$B$15),2))</f>
        <v/>
      </c>
      <c r="P939" s="91" t="n"/>
      <c r="Q939" s="91" t="n"/>
      <c r="R939" s="91" t="n"/>
      <c r="S939" s="91" t="n"/>
      <c r="T939" s="91" t="n"/>
      <c r="U939" s="89">
        <f>IF($K939="","",SUM($R939:$T939))</f>
        <v/>
      </c>
      <c r="V939" s="89">
        <f>IF($K939="","",$M939-(N($N939)+N($O939)+IF($P939="",Setup!$B$17,$P939)+N($Q939))-N($U939))</f>
        <v/>
      </c>
      <c r="W939" s="86" t="n"/>
      <c r="X939" s="87" t="n"/>
      <c r="Z939" s="92">
        <f>IF($A939="","",DATE(YEAR($A939),MONTH($A939),1))</f>
        <v/>
      </c>
    </row>
    <row r="940">
      <c r="A940" s="93" t="n"/>
      <c r="B940" s="94" t="n"/>
      <c r="C940" s="94" t="n"/>
      <c r="D940" s="95" t="n"/>
      <c r="E940" s="95" t="n"/>
      <c r="F940" s="95" t="n"/>
      <c r="G940" s="95" t="n"/>
      <c r="H940" s="96" t="n"/>
      <c r="I940" s="89">
        <f>IF($G940="","",IF($F940="",IFERROR(INDEX(Setup!$C$21:$C$60,MATCH("|"&amp;UPPER(TRIM($G940)),Setup!$Q$21:$Q$60,0)),"NO RATE"),IFERROR(INDEX(Setup!$C$21:$C$60,MATCH(UPPER(TRIM($F940))&amp;"|"&amp;UPPER(TRIM($G940)),Setup!$P$21:$P$60,0)),IFERROR(INDEX(Setup!$C$21:$C$60,MATCH(UPPER(TRIM($G940))&amp;"|"&amp;UPPER(TRIM($F940)),Setup!$P$21:$P$60,0)),"NO RATE"))))</f>
        <v/>
      </c>
      <c r="J940" s="97" t="n"/>
      <c r="K940" s="89">
        <f>IF(OR($G940="",$H940="",NOT(ISNUMBER($I940))),"",ROUND($H940*$I940*(1+IF($J940="",Setup!$B$16,$J940)),2))</f>
        <v/>
      </c>
      <c r="L940" s="89">
        <f>IF($K940="","",ROUND($K940*Setup!$B$13,2))</f>
        <v/>
      </c>
      <c r="M940" s="89">
        <f>IF($K940="","",$K940-$L940)</f>
        <v/>
      </c>
      <c r="N940" s="89">
        <f>IF(OR($M940="",$D940=""),"",ROUND($M940*IFERROR(IF(VLOOKUP($D940,Setup!$A$76:$C$87,3,FALSE)="",Setup!$B$14,VLOOKUP($D940,Setup!$A$76:$C$87,3,FALSE)),Setup!$B$14),2))</f>
        <v/>
      </c>
      <c r="O940" s="89">
        <f>IF(OR($M940="",$E940=""),"",ROUND($M940*IFERROR(IF(VLOOKUP($E940,Setup!$A$76:$C$87,3,FALSE)="",Setup!$B$15,VLOOKUP($E940,Setup!$A$76:$C$87,3,FALSE)),Setup!$B$15),2))</f>
        <v/>
      </c>
      <c r="P940" s="98" t="n"/>
      <c r="Q940" s="98" t="n"/>
      <c r="R940" s="98" t="n"/>
      <c r="S940" s="98" t="n"/>
      <c r="T940" s="98" t="n"/>
      <c r="U940" s="89">
        <f>IF($K940="","",SUM($R940:$T940))</f>
        <v/>
      </c>
      <c r="V940" s="89">
        <f>IF($K940="","",$M940-(N($N940)+N($O940)+IF($P940="",Setup!$B$17,$P940)+N($Q940))-N($U940))</f>
        <v/>
      </c>
      <c r="W940" s="94" t="n"/>
      <c r="X940" s="95" t="n"/>
      <c r="Z940" s="92">
        <f>IF($A940="","",DATE(YEAR($A940),MONTH($A940),1))</f>
        <v/>
      </c>
    </row>
    <row r="941">
      <c r="A941" s="85" t="n"/>
      <c r="B941" s="86" t="n"/>
      <c r="C941" s="86" t="n"/>
      <c r="D941" s="87" t="n"/>
      <c r="E941" s="87" t="n"/>
      <c r="F941" s="87" t="n"/>
      <c r="G941" s="87" t="n"/>
      <c r="H941" s="88" t="n"/>
      <c r="I941" s="89">
        <f>IF($G941="","",IF($F941="",IFERROR(INDEX(Setup!$C$21:$C$60,MATCH("|"&amp;UPPER(TRIM($G941)),Setup!$Q$21:$Q$60,0)),"NO RATE"),IFERROR(INDEX(Setup!$C$21:$C$60,MATCH(UPPER(TRIM($F941))&amp;"|"&amp;UPPER(TRIM($G941)),Setup!$P$21:$P$60,0)),IFERROR(INDEX(Setup!$C$21:$C$60,MATCH(UPPER(TRIM($G941))&amp;"|"&amp;UPPER(TRIM($F941)),Setup!$P$21:$P$60,0)),"NO RATE"))))</f>
        <v/>
      </c>
      <c r="J941" s="90" t="n"/>
      <c r="K941" s="89">
        <f>IF(OR($G941="",$H941="",NOT(ISNUMBER($I941))),"",ROUND($H941*$I941*(1+IF($J941="",Setup!$B$16,$J941)),2))</f>
        <v/>
      </c>
      <c r="L941" s="89">
        <f>IF($K941="","",ROUND($K941*Setup!$B$13,2))</f>
        <v/>
      </c>
      <c r="M941" s="89">
        <f>IF($K941="","",$K941-$L941)</f>
        <v/>
      </c>
      <c r="N941" s="89">
        <f>IF(OR($M941="",$D941=""),"",ROUND($M941*IFERROR(IF(VLOOKUP($D941,Setup!$A$76:$C$87,3,FALSE)="",Setup!$B$14,VLOOKUP($D941,Setup!$A$76:$C$87,3,FALSE)),Setup!$B$14),2))</f>
        <v/>
      </c>
      <c r="O941" s="89">
        <f>IF(OR($M941="",$E941=""),"",ROUND($M941*IFERROR(IF(VLOOKUP($E941,Setup!$A$76:$C$87,3,FALSE)="",Setup!$B$15,VLOOKUP($E941,Setup!$A$76:$C$87,3,FALSE)),Setup!$B$15),2))</f>
        <v/>
      </c>
      <c r="P941" s="91" t="n"/>
      <c r="Q941" s="91" t="n"/>
      <c r="R941" s="91" t="n"/>
      <c r="S941" s="91" t="n"/>
      <c r="T941" s="91" t="n"/>
      <c r="U941" s="89">
        <f>IF($K941="","",SUM($R941:$T941))</f>
        <v/>
      </c>
      <c r="V941" s="89">
        <f>IF($K941="","",$M941-(N($N941)+N($O941)+IF($P941="",Setup!$B$17,$P941)+N($Q941))-N($U941))</f>
        <v/>
      </c>
      <c r="W941" s="86" t="n"/>
      <c r="X941" s="87" t="n"/>
      <c r="Z941" s="92">
        <f>IF($A941="","",DATE(YEAR($A941),MONTH($A941),1))</f>
        <v/>
      </c>
    </row>
    <row r="942">
      <c r="A942" s="93" t="n"/>
      <c r="B942" s="94" t="n"/>
      <c r="C942" s="94" t="n"/>
      <c r="D942" s="95" t="n"/>
      <c r="E942" s="95" t="n"/>
      <c r="F942" s="95" t="n"/>
      <c r="G942" s="95" t="n"/>
      <c r="H942" s="96" t="n"/>
      <c r="I942" s="89">
        <f>IF($G942="","",IF($F942="",IFERROR(INDEX(Setup!$C$21:$C$60,MATCH("|"&amp;UPPER(TRIM($G942)),Setup!$Q$21:$Q$60,0)),"NO RATE"),IFERROR(INDEX(Setup!$C$21:$C$60,MATCH(UPPER(TRIM($F942))&amp;"|"&amp;UPPER(TRIM($G942)),Setup!$P$21:$P$60,0)),IFERROR(INDEX(Setup!$C$21:$C$60,MATCH(UPPER(TRIM($G942))&amp;"|"&amp;UPPER(TRIM($F942)),Setup!$P$21:$P$60,0)),"NO RATE"))))</f>
        <v/>
      </c>
      <c r="J942" s="97" t="n"/>
      <c r="K942" s="89">
        <f>IF(OR($G942="",$H942="",NOT(ISNUMBER($I942))),"",ROUND($H942*$I942*(1+IF($J942="",Setup!$B$16,$J942)),2))</f>
        <v/>
      </c>
      <c r="L942" s="89">
        <f>IF($K942="","",ROUND($K942*Setup!$B$13,2))</f>
        <v/>
      </c>
      <c r="M942" s="89">
        <f>IF($K942="","",$K942-$L942)</f>
        <v/>
      </c>
      <c r="N942" s="89">
        <f>IF(OR($M942="",$D942=""),"",ROUND($M942*IFERROR(IF(VLOOKUP($D942,Setup!$A$76:$C$87,3,FALSE)="",Setup!$B$14,VLOOKUP($D942,Setup!$A$76:$C$87,3,FALSE)),Setup!$B$14),2))</f>
        <v/>
      </c>
      <c r="O942" s="89">
        <f>IF(OR($M942="",$E942=""),"",ROUND($M942*IFERROR(IF(VLOOKUP($E942,Setup!$A$76:$C$87,3,FALSE)="",Setup!$B$15,VLOOKUP($E942,Setup!$A$76:$C$87,3,FALSE)),Setup!$B$15),2))</f>
        <v/>
      </c>
      <c r="P942" s="98" t="n"/>
      <c r="Q942" s="98" t="n"/>
      <c r="R942" s="98" t="n"/>
      <c r="S942" s="98" t="n"/>
      <c r="T942" s="98" t="n"/>
      <c r="U942" s="89">
        <f>IF($K942="","",SUM($R942:$T942))</f>
        <v/>
      </c>
      <c r="V942" s="89">
        <f>IF($K942="","",$M942-(N($N942)+N($O942)+IF($P942="",Setup!$B$17,$P942)+N($Q942))-N($U942))</f>
        <v/>
      </c>
      <c r="W942" s="94" t="n"/>
      <c r="X942" s="95" t="n"/>
      <c r="Z942" s="92">
        <f>IF($A942="","",DATE(YEAR($A942),MONTH($A942),1))</f>
        <v/>
      </c>
    </row>
    <row r="943">
      <c r="A943" s="85" t="n"/>
      <c r="B943" s="86" t="n"/>
      <c r="C943" s="86" t="n"/>
      <c r="D943" s="87" t="n"/>
      <c r="E943" s="87" t="n"/>
      <c r="F943" s="87" t="n"/>
      <c r="G943" s="87" t="n"/>
      <c r="H943" s="88" t="n"/>
      <c r="I943" s="89">
        <f>IF($G943="","",IF($F943="",IFERROR(INDEX(Setup!$C$21:$C$60,MATCH("|"&amp;UPPER(TRIM($G943)),Setup!$Q$21:$Q$60,0)),"NO RATE"),IFERROR(INDEX(Setup!$C$21:$C$60,MATCH(UPPER(TRIM($F943))&amp;"|"&amp;UPPER(TRIM($G943)),Setup!$P$21:$P$60,0)),IFERROR(INDEX(Setup!$C$21:$C$60,MATCH(UPPER(TRIM($G943))&amp;"|"&amp;UPPER(TRIM($F943)),Setup!$P$21:$P$60,0)),"NO RATE"))))</f>
        <v/>
      </c>
      <c r="J943" s="90" t="n"/>
      <c r="K943" s="89">
        <f>IF(OR($G943="",$H943="",NOT(ISNUMBER($I943))),"",ROUND($H943*$I943*(1+IF($J943="",Setup!$B$16,$J943)),2))</f>
        <v/>
      </c>
      <c r="L943" s="89">
        <f>IF($K943="","",ROUND($K943*Setup!$B$13,2))</f>
        <v/>
      </c>
      <c r="M943" s="89">
        <f>IF($K943="","",$K943-$L943)</f>
        <v/>
      </c>
      <c r="N943" s="89">
        <f>IF(OR($M943="",$D943=""),"",ROUND($M943*IFERROR(IF(VLOOKUP($D943,Setup!$A$76:$C$87,3,FALSE)="",Setup!$B$14,VLOOKUP($D943,Setup!$A$76:$C$87,3,FALSE)),Setup!$B$14),2))</f>
        <v/>
      </c>
      <c r="O943" s="89">
        <f>IF(OR($M943="",$E943=""),"",ROUND($M943*IFERROR(IF(VLOOKUP($E943,Setup!$A$76:$C$87,3,FALSE)="",Setup!$B$15,VLOOKUP($E943,Setup!$A$76:$C$87,3,FALSE)),Setup!$B$15),2))</f>
        <v/>
      </c>
      <c r="P943" s="91" t="n"/>
      <c r="Q943" s="91" t="n"/>
      <c r="R943" s="91" t="n"/>
      <c r="S943" s="91" t="n"/>
      <c r="T943" s="91" t="n"/>
      <c r="U943" s="89">
        <f>IF($K943="","",SUM($R943:$T943))</f>
        <v/>
      </c>
      <c r="V943" s="89">
        <f>IF($K943="","",$M943-(N($N943)+N($O943)+IF($P943="",Setup!$B$17,$P943)+N($Q943))-N($U943))</f>
        <v/>
      </c>
      <c r="W943" s="86" t="n"/>
      <c r="X943" s="87" t="n"/>
      <c r="Z943" s="92">
        <f>IF($A943="","",DATE(YEAR($A943),MONTH($A943),1))</f>
        <v/>
      </c>
    </row>
    <row r="944">
      <c r="A944" s="93" t="n"/>
      <c r="B944" s="94" t="n"/>
      <c r="C944" s="94" t="n"/>
      <c r="D944" s="95" t="n"/>
      <c r="E944" s="95" t="n"/>
      <c r="F944" s="95" t="n"/>
      <c r="G944" s="95" t="n"/>
      <c r="H944" s="96" t="n"/>
      <c r="I944" s="89">
        <f>IF($G944="","",IF($F944="",IFERROR(INDEX(Setup!$C$21:$C$60,MATCH("|"&amp;UPPER(TRIM($G944)),Setup!$Q$21:$Q$60,0)),"NO RATE"),IFERROR(INDEX(Setup!$C$21:$C$60,MATCH(UPPER(TRIM($F944))&amp;"|"&amp;UPPER(TRIM($G944)),Setup!$P$21:$P$60,0)),IFERROR(INDEX(Setup!$C$21:$C$60,MATCH(UPPER(TRIM($G944))&amp;"|"&amp;UPPER(TRIM($F944)),Setup!$P$21:$P$60,0)),"NO RATE"))))</f>
        <v/>
      </c>
      <c r="J944" s="97" t="n"/>
      <c r="K944" s="89">
        <f>IF(OR($G944="",$H944="",NOT(ISNUMBER($I944))),"",ROUND($H944*$I944*(1+IF($J944="",Setup!$B$16,$J944)),2))</f>
        <v/>
      </c>
      <c r="L944" s="89">
        <f>IF($K944="","",ROUND($K944*Setup!$B$13,2))</f>
        <v/>
      </c>
      <c r="M944" s="89">
        <f>IF($K944="","",$K944-$L944)</f>
        <v/>
      </c>
      <c r="N944" s="89">
        <f>IF(OR($M944="",$D944=""),"",ROUND($M944*IFERROR(IF(VLOOKUP($D944,Setup!$A$76:$C$87,3,FALSE)="",Setup!$B$14,VLOOKUP($D944,Setup!$A$76:$C$87,3,FALSE)),Setup!$B$14),2))</f>
        <v/>
      </c>
      <c r="O944" s="89">
        <f>IF(OR($M944="",$E944=""),"",ROUND($M944*IFERROR(IF(VLOOKUP($E944,Setup!$A$76:$C$87,3,FALSE)="",Setup!$B$15,VLOOKUP($E944,Setup!$A$76:$C$87,3,FALSE)),Setup!$B$15),2))</f>
        <v/>
      </c>
      <c r="P944" s="98" t="n"/>
      <c r="Q944" s="98" t="n"/>
      <c r="R944" s="98" t="n"/>
      <c r="S944" s="98" t="n"/>
      <c r="T944" s="98" t="n"/>
      <c r="U944" s="89">
        <f>IF($K944="","",SUM($R944:$T944))</f>
        <v/>
      </c>
      <c r="V944" s="89">
        <f>IF($K944="","",$M944-(N($N944)+N($O944)+IF($P944="",Setup!$B$17,$P944)+N($Q944))-N($U944))</f>
        <v/>
      </c>
      <c r="W944" s="94" t="n"/>
      <c r="X944" s="95" t="n"/>
      <c r="Z944" s="92">
        <f>IF($A944="","",DATE(YEAR($A944),MONTH($A944),1))</f>
        <v/>
      </c>
    </row>
    <row r="945">
      <c r="A945" s="85" t="n"/>
      <c r="B945" s="86" t="n"/>
      <c r="C945" s="86" t="n"/>
      <c r="D945" s="87" t="n"/>
      <c r="E945" s="87" t="n"/>
      <c r="F945" s="87" t="n"/>
      <c r="G945" s="87" t="n"/>
      <c r="H945" s="88" t="n"/>
      <c r="I945" s="89">
        <f>IF($G945="","",IF($F945="",IFERROR(INDEX(Setup!$C$21:$C$60,MATCH("|"&amp;UPPER(TRIM($G945)),Setup!$Q$21:$Q$60,0)),"NO RATE"),IFERROR(INDEX(Setup!$C$21:$C$60,MATCH(UPPER(TRIM($F945))&amp;"|"&amp;UPPER(TRIM($G945)),Setup!$P$21:$P$60,0)),IFERROR(INDEX(Setup!$C$21:$C$60,MATCH(UPPER(TRIM($G945))&amp;"|"&amp;UPPER(TRIM($F945)),Setup!$P$21:$P$60,0)),"NO RATE"))))</f>
        <v/>
      </c>
      <c r="J945" s="90" t="n"/>
      <c r="K945" s="89">
        <f>IF(OR($G945="",$H945="",NOT(ISNUMBER($I945))),"",ROUND($H945*$I945*(1+IF($J945="",Setup!$B$16,$J945)),2))</f>
        <v/>
      </c>
      <c r="L945" s="89">
        <f>IF($K945="","",ROUND($K945*Setup!$B$13,2))</f>
        <v/>
      </c>
      <c r="M945" s="89">
        <f>IF($K945="","",$K945-$L945)</f>
        <v/>
      </c>
      <c r="N945" s="89">
        <f>IF(OR($M945="",$D945=""),"",ROUND($M945*IFERROR(IF(VLOOKUP($D945,Setup!$A$76:$C$87,3,FALSE)="",Setup!$B$14,VLOOKUP($D945,Setup!$A$76:$C$87,3,FALSE)),Setup!$B$14),2))</f>
        <v/>
      </c>
      <c r="O945" s="89">
        <f>IF(OR($M945="",$E945=""),"",ROUND($M945*IFERROR(IF(VLOOKUP($E945,Setup!$A$76:$C$87,3,FALSE)="",Setup!$B$15,VLOOKUP($E945,Setup!$A$76:$C$87,3,FALSE)),Setup!$B$15),2))</f>
        <v/>
      </c>
      <c r="P945" s="91" t="n"/>
      <c r="Q945" s="91" t="n"/>
      <c r="R945" s="91" t="n"/>
      <c r="S945" s="91" t="n"/>
      <c r="T945" s="91" t="n"/>
      <c r="U945" s="89">
        <f>IF($K945="","",SUM($R945:$T945))</f>
        <v/>
      </c>
      <c r="V945" s="89">
        <f>IF($K945="","",$M945-(N($N945)+N($O945)+IF($P945="",Setup!$B$17,$P945)+N($Q945))-N($U945))</f>
        <v/>
      </c>
      <c r="W945" s="86" t="n"/>
      <c r="X945" s="87" t="n"/>
      <c r="Z945" s="92">
        <f>IF($A945="","",DATE(YEAR($A945),MONTH($A945),1))</f>
        <v/>
      </c>
    </row>
    <row r="946">
      <c r="A946" s="93" t="n"/>
      <c r="B946" s="94" t="n"/>
      <c r="C946" s="94" t="n"/>
      <c r="D946" s="95" t="n"/>
      <c r="E946" s="95" t="n"/>
      <c r="F946" s="95" t="n"/>
      <c r="G946" s="95" t="n"/>
      <c r="H946" s="96" t="n"/>
      <c r="I946" s="89">
        <f>IF($G946="","",IF($F946="",IFERROR(INDEX(Setup!$C$21:$C$60,MATCH("|"&amp;UPPER(TRIM($G946)),Setup!$Q$21:$Q$60,0)),"NO RATE"),IFERROR(INDEX(Setup!$C$21:$C$60,MATCH(UPPER(TRIM($F946))&amp;"|"&amp;UPPER(TRIM($G946)),Setup!$P$21:$P$60,0)),IFERROR(INDEX(Setup!$C$21:$C$60,MATCH(UPPER(TRIM($G946))&amp;"|"&amp;UPPER(TRIM($F946)),Setup!$P$21:$P$60,0)),"NO RATE"))))</f>
        <v/>
      </c>
      <c r="J946" s="97" t="n"/>
      <c r="K946" s="89">
        <f>IF(OR($G946="",$H946="",NOT(ISNUMBER($I946))),"",ROUND($H946*$I946*(1+IF($J946="",Setup!$B$16,$J946)),2))</f>
        <v/>
      </c>
      <c r="L946" s="89">
        <f>IF($K946="","",ROUND($K946*Setup!$B$13,2))</f>
        <v/>
      </c>
      <c r="M946" s="89">
        <f>IF($K946="","",$K946-$L946)</f>
        <v/>
      </c>
      <c r="N946" s="89">
        <f>IF(OR($M946="",$D946=""),"",ROUND($M946*IFERROR(IF(VLOOKUP($D946,Setup!$A$76:$C$87,3,FALSE)="",Setup!$B$14,VLOOKUP($D946,Setup!$A$76:$C$87,3,FALSE)),Setup!$B$14),2))</f>
        <v/>
      </c>
      <c r="O946" s="89">
        <f>IF(OR($M946="",$E946=""),"",ROUND($M946*IFERROR(IF(VLOOKUP($E946,Setup!$A$76:$C$87,3,FALSE)="",Setup!$B$15,VLOOKUP($E946,Setup!$A$76:$C$87,3,FALSE)),Setup!$B$15),2))</f>
        <v/>
      </c>
      <c r="P946" s="98" t="n"/>
      <c r="Q946" s="98" t="n"/>
      <c r="R946" s="98" t="n"/>
      <c r="S946" s="98" t="n"/>
      <c r="T946" s="98" t="n"/>
      <c r="U946" s="89">
        <f>IF($K946="","",SUM($R946:$T946))</f>
        <v/>
      </c>
      <c r="V946" s="89">
        <f>IF($K946="","",$M946-(N($N946)+N($O946)+IF($P946="",Setup!$B$17,$P946)+N($Q946))-N($U946))</f>
        <v/>
      </c>
      <c r="W946" s="94" t="n"/>
      <c r="X946" s="95" t="n"/>
      <c r="Z946" s="92">
        <f>IF($A946="","",DATE(YEAR($A946),MONTH($A946),1))</f>
        <v/>
      </c>
    </row>
    <row r="947">
      <c r="A947" s="85" t="n"/>
      <c r="B947" s="86" t="n"/>
      <c r="C947" s="86" t="n"/>
      <c r="D947" s="87" t="n"/>
      <c r="E947" s="87" t="n"/>
      <c r="F947" s="87" t="n"/>
      <c r="G947" s="87" t="n"/>
      <c r="H947" s="88" t="n"/>
      <c r="I947" s="89">
        <f>IF($G947="","",IF($F947="",IFERROR(INDEX(Setup!$C$21:$C$60,MATCH("|"&amp;UPPER(TRIM($G947)),Setup!$Q$21:$Q$60,0)),"NO RATE"),IFERROR(INDEX(Setup!$C$21:$C$60,MATCH(UPPER(TRIM($F947))&amp;"|"&amp;UPPER(TRIM($G947)),Setup!$P$21:$P$60,0)),IFERROR(INDEX(Setup!$C$21:$C$60,MATCH(UPPER(TRIM($G947))&amp;"|"&amp;UPPER(TRIM($F947)),Setup!$P$21:$P$60,0)),"NO RATE"))))</f>
        <v/>
      </c>
      <c r="J947" s="90" t="n"/>
      <c r="K947" s="89">
        <f>IF(OR($G947="",$H947="",NOT(ISNUMBER($I947))),"",ROUND($H947*$I947*(1+IF($J947="",Setup!$B$16,$J947)),2))</f>
        <v/>
      </c>
      <c r="L947" s="89">
        <f>IF($K947="","",ROUND($K947*Setup!$B$13,2))</f>
        <v/>
      </c>
      <c r="M947" s="89">
        <f>IF($K947="","",$K947-$L947)</f>
        <v/>
      </c>
      <c r="N947" s="89">
        <f>IF(OR($M947="",$D947=""),"",ROUND($M947*IFERROR(IF(VLOOKUP($D947,Setup!$A$76:$C$87,3,FALSE)="",Setup!$B$14,VLOOKUP($D947,Setup!$A$76:$C$87,3,FALSE)),Setup!$B$14),2))</f>
        <v/>
      </c>
      <c r="O947" s="89">
        <f>IF(OR($M947="",$E947=""),"",ROUND($M947*IFERROR(IF(VLOOKUP($E947,Setup!$A$76:$C$87,3,FALSE)="",Setup!$B$15,VLOOKUP($E947,Setup!$A$76:$C$87,3,FALSE)),Setup!$B$15),2))</f>
        <v/>
      </c>
      <c r="P947" s="91" t="n"/>
      <c r="Q947" s="91" t="n"/>
      <c r="R947" s="91" t="n"/>
      <c r="S947" s="91" t="n"/>
      <c r="T947" s="91" t="n"/>
      <c r="U947" s="89">
        <f>IF($K947="","",SUM($R947:$T947))</f>
        <v/>
      </c>
      <c r="V947" s="89">
        <f>IF($K947="","",$M947-(N($N947)+N($O947)+IF($P947="",Setup!$B$17,$P947)+N($Q947))-N($U947))</f>
        <v/>
      </c>
      <c r="W947" s="86" t="n"/>
      <c r="X947" s="87" t="n"/>
      <c r="Z947" s="92">
        <f>IF($A947="","",DATE(YEAR($A947),MONTH($A947),1))</f>
        <v/>
      </c>
    </row>
    <row r="948">
      <c r="A948" s="93" t="n"/>
      <c r="B948" s="94" t="n"/>
      <c r="C948" s="94" t="n"/>
      <c r="D948" s="95" t="n"/>
      <c r="E948" s="95" t="n"/>
      <c r="F948" s="95" t="n"/>
      <c r="G948" s="95" t="n"/>
      <c r="H948" s="96" t="n"/>
      <c r="I948" s="89">
        <f>IF($G948="","",IF($F948="",IFERROR(INDEX(Setup!$C$21:$C$60,MATCH("|"&amp;UPPER(TRIM($G948)),Setup!$Q$21:$Q$60,0)),"NO RATE"),IFERROR(INDEX(Setup!$C$21:$C$60,MATCH(UPPER(TRIM($F948))&amp;"|"&amp;UPPER(TRIM($G948)),Setup!$P$21:$P$60,0)),IFERROR(INDEX(Setup!$C$21:$C$60,MATCH(UPPER(TRIM($G948))&amp;"|"&amp;UPPER(TRIM($F948)),Setup!$P$21:$P$60,0)),"NO RATE"))))</f>
        <v/>
      </c>
      <c r="J948" s="97" t="n"/>
      <c r="K948" s="89">
        <f>IF(OR($G948="",$H948="",NOT(ISNUMBER($I948))),"",ROUND($H948*$I948*(1+IF($J948="",Setup!$B$16,$J948)),2))</f>
        <v/>
      </c>
      <c r="L948" s="89">
        <f>IF($K948="","",ROUND($K948*Setup!$B$13,2))</f>
        <v/>
      </c>
      <c r="M948" s="89">
        <f>IF($K948="","",$K948-$L948)</f>
        <v/>
      </c>
      <c r="N948" s="89">
        <f>IF(OR($M948="",$D948=""),"",ROUND($M948*IFERROR(IF(VLOOKUP($D948,Setup!$A$76:$C$87,3,FALSE)="",Setup!$B$14,VLOOKUP($D948,Setup!$A$76:$C$87,3,FALSE)),Setup!$B$14),2))</f>
        <v/>
      </c>
      <c r="O948" s="89">
        <f>IF(OR($M948="",$E948=""),"",ROUND($M948*IFERROR(IF(VLOOKUP($E948,Setup!$A$76:$C$87,3,FALSE)="",Setup!$B$15,VLOOKUP($E948,Setup!$A$76:$C$87,3,FALSE)),Setup!$B$15),2))</f>
        <v/>
      </c>
      <c r="P948" s="98" t="n"/>
      <c r="Q948" s="98" t="n"/>
      <c r="R948" s="98" t="n"/>
      <c r="S948" s="98" t="n"/>
      <c r="T948" s="98" t="n"/>
      <c r="U948" s="89">
        <f>IF($K948="","",SUM($R948:$T948))</f>
        <v/>
      </c>
      <c r="V948" s="89">
        <f>IF($K948="","",$M948-(N($N948)+N($O948)+IF($P948="",Setup!$B$17,$P948)+N($Q948))-N($U948))</f>
        <v/>
      </c>
      <c r="W948" s="94" t="n"/>
      <c r="X948" s="95" t="n"/>
      <c r="Z948" s="92">
        <f>IF($A948="","",DATE(YEAR($A948),MONTH($A948),1))</f>
        <v/>
      </c>
    </row>
    <row r="949">
      <c r="A949" s="85" t="n"/>
      <c r="B949" s="86" t="n"/>
      <c r="C949" s="86" t="n"/>
      <c r="D949" s="87" t="n"/>
      <c r="E949" s="87" t="n"/>
      <c r="F949" s="87" t="n"/>
      <c r="G949" s="87" t="n"/>
      <c r="H949" s="88" t="n"/>
      <c r="I949" s="89">
        <f>IF($G949="","",IF($F949="",IFERROR(INDEX(Setup!$C$21:$C$60,MATCH("|"&amp;UPPER(TRIM($G949)),Setup!$Q$21:$Q$60,0)),"NO RATE"),IFERROR(INDEX(Setup!$C$21:$C$60,MATCH(UPPER(TRIM($F949))&amp;"|"&amp;UPPER(TRIM($G949)),Setup!$P$21:$P$60,0)),IFERROR(INDEX(Setup!$C$21:$C$60,MATCH(UPPER(TRIM($G949))&amp;"|"&amp;UPPER(TRIM($F949)),Setup!$P$21:$P$60,0)),"NO RATE"))))</f>
        <v/>
      </c>
      <c r="J949" s="90" t="n"/>
      <c r="K949" s="89">
        <f>IF(OR($G949="",$H949="",NOT(ISNUMBER($I949))),"",ROUND($H949*$I949*(1+IF($J949="",Setup!$B$16,$J949)),2))</f>
        <v/>
      </c>
      <c r="L949" s="89">
        <f>IF($K949="","",ROUND($K949*Setup!$B$13,2))</f>
        <v/>
      </c>
      <c r="M949" s="89">
        <f>IF($K949="","",$K949-$L949)</f>
        <v/>
      </c>
      <c r="N949" s="89">
        <f>IF(OR($M949="",$D949=""),"",ROUND($M949*IFERROR(IF(VLOOKUP($D949,Setup!$A$76:$C$87,3,FALSE)="",Setup!$B$14,VLOOKUP($D949,Setup!$A$76:$C$87,3,FALSE)),Setup!$B$14),2))</f>
        <v/>
      </c>
      <c r="O949" s="89">
        <f>IF(OR($M949="",$E949=""),"",ROUND($M949*IFERROR(IF(VLOOKUP($E949,Setup!$A$76:$C$87,3,FALSE)="",Setup!$B$15,VLOOKUP($E949,Setup!$A$76:$C$87,3,FALSE)),Setup!$B$15),2))</f>
        <v/>
      </c>
      <c r="P949" s="91" t="n"/>
      <c r="Q949" s="91" t="n"/>
      <c r="R949" s="91" t="n"/>
      <c r="S949" s="91" t="n"/>
      <c r="T949" s="91" t="n"/>
      <c r="U949" s="89">
        <f>IF($K949="","",SUM($R949:$T949))</f>
        <v/>
      </c>
      <c r="V949" s="89">
        <f>IF($K949="","",$M949-(N($N949)+N($O949)+IF($P949="",Setup!$B$17,$P949)+N($Q949))-N($U949))</f>
        <v/>
      </c>
      <c r="W949" s="86" t="n"/>
      <c r="X949" s="87" t="n"/>
      <c r="Z949" s="92">
        <f>IF($A949="","",DATE(YEAR($A949),MONTH($A949),1))</f>
        <v/>
      </c>
    </row>
    <row r="950">
      <c r="A950" s="93" t="n"/>
      <c r="B950" s="94" t="n"/>
      <c r="C950" s="94" t="n"/>
      <c r="D950" s="95" t="n"/>
      <c r="E950" s="95" t="n"/>
      <c r="F950" s="95" t="n"/>
      <c r="G950" s="95" t="n"/>
      <c r="H950" s="96" t="n"/>
      <c r="I950" s="89">
        <f>IF($G950="","",IF($F950="",IFERROR(INDEX(Setup!$C$21:$C$60,MATCH("|"&amp;UPPER(TRIM($G950)),Setup!$Q$21:$Q$60,0)),"NO RATE"),IFERROR(INDEX(Setup!$C$21:$C$60,MATCH(UPPER(TRIM($F950))&amp;"|"&amp;UPPER(TRIM($G950)),Setup!$P$21:$P$60,0)),IFERROR(INDEX(Setup!$C$21:$C$60,MATCH(UPPER(TRIM($G950))&amp;"|"&amp;UPPER(TRIM($F950)),Setup!$P$21:$P$60,0)),"NO RATE"))))</f>
        <v/>
      </c>
      <c r="J950" s="97" t="n"/>
      <c r="K950" s="89">
        <f>IF(OR($G950="",$H950="",NOT(ISNUMBER($I950))),"",ROUND($H950*$I950*(1+IF($J950="",Setup!$B$16,$J950)),2))</f>
        <v/>
      </c>
      <c r="L950" s="89">
        <f>IF($K950="","",ROUND($K950*Setup!$B$13,2))</f>
        <v/>
      </c>
      <c r="M950" s="89">
        <f>IF($K950="","",$K950-$L950)</f>
        <v/>
      </c>
      <c r="N950" s="89">
        <f>IF(OR($M950="",$D950=""),"",ROUND($M950*IFERROR(IF(VLOOKUP($D950,Setup!$A$76:$C$87,3,FALSE)="",Setup!$B$14,VLOOKUP($D950,Setup!$A$76:$C$87,3,FALSE)),Setup!$B$14),2))</f>
        <v/>
      </c>
      <c r="O950" s="89">
        <f>IF(OR($M950="",$E950=""),"",ROUND($M950*IFERROR(IF(VLOOKUP($E950,Setup!$A$76:$C$87,3,FALSE)="",Setup!$B$15,VLOOKUP($E950,Setup!$A$76:$C$87,3,FALSE)),Setup!$B$15),2))</f>
        <v/>
      </c>
      <c r="P950" s="98" t="n"/>
      <c r="Q950" s="98" t="n"/>
      <c r="R950" s="98" t="n"/>
      <c r="S950" s="98" t="n"/>
      <c r="T950" s="98" t="n"/>
      <c r="U950" s="89">
        <f>IF($K950="","",SUM($R950:$T950))</f>
        <v/>
      </c>
      <c r="V950" s="89">
        <f>IF($K950="","",$M950-(N($N950)+N($O950)+IF($P950="",Setup!$B$17,$P950)+N($Q950))-N($U950))</f>
        <v/>
      </c>
      <c r="W950" s="94" t="n"/>
      <c r="X950" s="95" t="n"/>
      <c r="Z950" s="92">
        <f>IF($A950="","",DATE(YEAR($A950),MONTH($A950),1))</f>
        <v/>
      </c>
    </row>
    <row r="951">
      <c r="A951" s="85" t="n"/>
      <c r="B951" s="86" t="n"/>
      <c r="C951" s="86" t="n"/>
      <c r="D951" s="87" t="n"/>
      <c r="E951" s="87" t="n"/>
      <c r="F951" s="87" t="n"/>
      <c r="G951" s="87" t="n"/>
      <c r="H951" s="88" t="n"/>
      <c r="I951" s="89">
        <f>IF($G951="","",IF($F951="",IFERROR(INDEX(Setup!$C$21:$C$60,MATCH("|"&amp;UPPER(TRIM($G951)),Setup!$Q$21:$Q$60,0)),"NO RATE"),IFERROR(INDEX(Setup!$C$21:$C$60,MATCH(UPPER(TRIM($F951))&amp;"|"&amp;UPPER(TRIM($G951)),Setup!$P$21:$P$60,0)),IFERROR(INDEX(Setup!$C$21:$C$60,MATCH(UPPER(TRIM($G951))&amp;"|"&amp;UPPER(TRIM($F951)),Setup!$P$21:$P$60,0)),"NO RATE"))))</f>
        <v/>
      </c>
      <c r="J951" s="90" t="n"/>
      <c r="K951" s="89">
        <f>IF(OR($G951="",$H951="",NOT(ISNUMBER($I951))),"",ROUND($H951*$I951*(1+IF($J951="",Setup!$B$16,$J951)),2))</f>
        <v/>
      </c>
      <c r="L951" s="89">
        <f>IF($K951="","",ROUND($K951*Setup!$B$13,2))</f>
        <v/>
      </c>
      <c r="M951" s="89">
        <f>IF($K951="","",$K951-$L951)</f>
        <v/>
      </c>
      <c r="N951" s="89">
        <f>IF(OR($M951="",$D951=""),"",ROUND($M951*IFERROR(IF(VLOOKUP($D951,Setup!$A$76:$C$87,3,FALSE)="",Setup!$B$14,VLOOKUP($D951,Setup!$A$76:$C$87,3,FALSE)),Setup!$B$14),2))</f>
        <v/>
      </c>
      <c r="O951" s="89">
        <f>IF(OR($M951="",$E951=""),"",ROUND($M951*IFERROR(IF(VLOOKUP($E951,Setup!$A$76:$C$87,3,FALSE)="",Setup!$B$15,VLOOKUP($E951,Setup!$A$76:$C$87,3,FALSE)),Setup!$B$15),2))</f>
        <v/>
      </c>
      <c r="P951" s="91" t="n"/>
      <c r="Q951" s="91" t="n"/>
      <c r="R951" s="91" t="n"/>
      <c r="S951" s="91" t="n"/>
      <c r="T951" s="91" t="n"/>
      <c r="U951" s="89">
        <f>IF($K951="","",SUM($R951:$T951))</f>
        <v/>
      </c>
      <c r="V951" s="89">
        <f>IF($K951="","",$M951-(N($N951)+N($O951)+IF($P951="",Setup!$B$17,$P951)+N($Q951))-N($U951))</f>
        <v/>
      </c>
      <c r="W951" s="86" t="n"/>
      <c r="X951" s="87" t="n"/>
      <c r="Z951" s="92">
        <f>IF($A951="","",DATE(YEAR($A951),MONTH($A951),1))</f>
        <v/>
      </c>
    </row>
    <row r="952">
      <c r="A952" s="93" t="n"/>
      <c r="B952" s="94" t="n"/>
      <c r="C952" s="94" t="n"/>
      <c r="D952" s="95" t="n"/>
      <c r="E952" s="95" t="n"/>
      <c r="F952" s="95" t="n"/>
      <c r="G952" s="95" t="n"/>
      <c r="H952" s="96" t="n"/>
      <c r="I952" s="89">
        <f>IF($G952="","",IF($F952="",IFERROR(INDEX(Setup!$C$21:$C$60,MATCH("|"&amp;UPPER(TRIM($G952)),Setup!$Q$21:$Q$60,0)),"NO RATE"),IFERROR(INDEX(Setup!$C$21:$C$60,MATCH(UPPER(TRIM($F952))&amp;"|"&amp;UPPER(TRIM($G952)),Setup!$P$21:$P$60,0)),IFERROR(INDEX(Setup!$C$21:$C$60,MATCH(UPPER(TRIM($G952))&amp;"|"&amp;UPPER(TRIM($F952)),Setup!$P$21:$P$60,0)),"NO RATE"))))</f>
        <v/>
      </c>
      <c r="J952" s="97" t="n"/>
      <c r="K952" s="89">
        <f>IF(OR($G952="",$H952="",NOT(ISNUMBER($I952))),"",ROUND($H952*$I952*(1+IF($J952="",Setup!$B$16,$J952)),2))</f>
        <v/>
      </c>
      <c r="L952" s="89">
        <f>IF($K952="","",ROUND($K952*Setup!$B$13,2))</f>
        <v/>
      </c>
      <c r="M952" s="89">
        <f>IF($K952="","",$K952-$L952)</f>
        <v/>
      </c>
      <c r="N952" s="89">
        <f>IF(OR($M952="",$D952=""),"",ROUND($M952*IFERROR(IF(VLOOKUP($D952,Setup!$A$76:$C$87,3,FALSE)="",Setup!$B$14,VLOOKUP($D952,Setup!$A$76:$C$87,3,FALSE)),Setup!$B$14),2))</f>
        <v/>
      </c>
      <c r="O952" s="89">
        <f>IF(OR($M952="",$E952=""),"",ROUND($M952*IFERROR(IF(VLOOKUP($E952,Setup!$A$76:$C$87,3,FALSE)="",Setup!$B$15,VLOOKUP($E952,Setup!$A$76:$C$87,3,FALSE)),Setup!$B$15),2))</f>
        <v/>
      </c>
      <c r="P952" s="98" t="n"/>
      <c r="Q952" s="98" t="n"/>
      <c r="R952" s="98" t="n"/>
      <c r="S952" s="98" t="n"/>
      <c r="T952" s="98" t="n"/>
      <c r="U952" s="89">
        <f>IF($K952="","",SUM($R952:$T952))</f>
        <v/>
      </c>
      <c r="V952" s="89">
        <f>IF($K952="","",$M952-(N($N952)+N($O952)+IF($P952="",Setup!$B$17,$P952)+N($Q952))-N($U952))</f>
        <v/>
      </c>
      <c r="W952" s="94" t="n"/>
      <c r="X952" s="95" t="n"/>
      <c r="Z952" s="92">
        <f>IF($A952="","",DATE(YEAR($A952),MONTH($A952),1))</f>
        <v/>
      </c>
    </row>
    <row r="953">
      <c r="A953" s="85" t="n"/>
      <c r="B953" s="86" t="n"/>
      <c r="C953" s="86" t="n"/>
      <c r="D953" s="87" t="n"/>
      <c r="E953" s="87" t="n"/>
      <c r="F953" s="87" t="n"/>
      <c r="G953" s="87" t="n"/>
      <c r="H953" s="88" t="n"/>
      <c r="I953" s="89">
        <f>IF($G953="","",IF($F953="",IFERROR(INDEX(Setup!$C$21:$C$60,MATCH("|"&amp;UPPER(TRIM($G953)),Setup!$Q$21:$Q$60,0)),"NO RATE"),IFERROR(INDEX(Setup!$C$21:$C$60,MATCH(UPPER(TRIM($F953))&amp;"|"&amp;UPPER(TRIM($G953)),Setup!$P$21:$P$60,0)),IFERROR(INDEX(Setup!$C$21:$C$60,MATCH(UPPER(TRIM($G953))&amp;"|"&amp;UPPER(TRIM($F953)),Setup!$P$21:$P$60,0)),"NO RATE"))))</f>
        <v/>
      </c>
      <c r="J953" s="90" t="n"/>
      <c r="K953" s="89">
        <f>IF(OR($G953="",$H953="",NOT(ISNUMBER($I953))),"",ROUND($H953*$I953*(1+IF($J953="",Setup!$B$16,$J953)),2))</f>
        <v/>
      </c>
      <c r="L953" s="89">
        <f>IF($K953="","",ROUND($K953*Setup!$B$13,2))</f>
        <v/>
      </c>
      <c r="M953" s="89">
        <f>IF($K953="","",$K953-$L953)</f>
        <v/>
      </c>
      <c r="N953" s="89">
        <f>IF(OR($M953="",$D953=""),"",ROUND($M953*IFERROR(IF(VLOOKUP($D953,Setup!$A$76:$C$87,3,FALSE)="",Setup!$B$14,VLOOKUP($D953,Setup!$A$76:$C$87,3,FALSE)),Setup!$B$14),2))</f>
        <v/>
      </c>
      <c r="O953" s="89">
        <f>IF(OR($M953="",$E953=""),"",ROUND($M953*IFERROR(IF(VLOOKUP($E953,Setup!$A$76:$C$87,3,FALSE)="",Setup!$B$15,VLOOKUP($E953,Setup!$A$76:$C$87,3,FALSE)),Setup!$B$15),2))</f>
        <v/>
      </c>
      <c r="P953" s="91" t="n"/>
      <c r="Q953" s="91" t="n"/>
      <c r="R953" s="91" t="n"/>
      <c r="S953" s="91" t="n"/>
      <c r="T953" s="91" t="n"/>
      <c r="U953" s="89">
        <f>IF($K953="","",SUM($R953:$T953))</f>
        <v/>
      </c>
      <c r="V953" s="89">
        <f>IF($K953="","",$M953-(N($N953)+N($O953)+IF($P953="",Setup!$B$17,$P953)+N($Q953))-N($U953))</f>
        <v/>
      </c>
      <c r="W953" s="86" t="n"/>
      <c r="X953" s="87" t="n"/>
      <c r="Z953" s="92">
        <f>IF($A953="","",DATE(YEAR($A953),MONTH($A953),1))</f>
        <v/>
      </c>
    </row>
    <row r="954">
      <c r="A954" s="93" t="n"/>
      <c r="B954" s="94" t="n"/>
      <c r="C954" s="94" t="n"/>
      <c r="D954" s="95" t="n"/>
      <c r="E954" s="95" t="n"/>
      <c r="F954" s="95" t="n"/>
      <c r="G954" s="95" t="n"/>
      <c r="H954" s="96" t="n"/>
      <c r="I954" s="89">
        <f>IF($G954="","",IF($F954="",IFERROR(INDEX(Setup!$C$21:$C$60,MATCH("|"&amp;UPPER(TRIM($G954)),Setup!$Q$21:$Q$60,0)),"NO RATE"),IFERROR(INDEX(Setup!$C$21:$C$60,MATCH(UPPER(TRIM($F954))&amp;"|"&amp;UPPER(TRIM($G954)),Setup!$P$21:$P$60,0)),IFERROR(INDEX(Setup!$C$21:$C$60,MATCH(UPPER(TRIM($G954))&amp;"|"&amp;UPPER(TRIM($F954)),Setup!$P$21:$P$60,0)),"NO RATE"))))</f>
        <v/>
      </c>
      <c r="J954" s="97" t="n"/>
      <c r="K954" s="89">
        <f>IF(OR($G954="",$H954="",NOT(ISNUMBER($I954))),"",ROUND($H954*$I954*(1+IF($J954="",Setup!$B$16,$J954)),2))</f>
        <v/>
      </c>
      <c r="L954" s="89">
        <f>IF($K954="","",ROUND($K954*Setup!$B$13,2))</f>
        <v/>
      </c>
      <c r="M954" s="89">
        <f>IF($K954="","",$K954-$L954)</f>
        <v/>
      </c>
      <c r="N954" s="89">
        <f>IF(OR($M954="",$D954=""),"",ROUND($M954*IFERROR(IF(VLOOKUP($D954,Setup!$A$76:$C$87,3,FALSE)="",Setup!$B$14,VLOOKUP($D954,Setup!$A$76:$C$87,3,FALSE)),Setup!$B$14),2))</f>
        <v/>
      </c>
      <c r="O954" s="89">
        <f>IF(OR($M954="",$E954=""),"",ROUND($M954*IFERROR(IF(VLOOKUP($E954,Setup!$A$76:$C$87,3,FALSE)="",Setup!$B$15,VLOOKUP($E954,Setup!$A$76:$C$87,3,FALSE)),Setup!$B$15),2))</f>
        <v/>
      </c>
      <c r="P954" s="98" t="n"/>
      <c r="Q954" s="98" t="n"/>
      <c r="R954" s="98" t="n"/>
      <c r="S954" s="98" t="n"/>
      <c r="T954" s="98" t="n"/>
      <c r="U954" s="89">
        <f>IF($K954="","",SUM($R954:$T954))</f>
        <v/>
      </c>
      <c r="V954" s="89">
        <f>IF($K954="","",$M954-(N($N954)+N($O954)+IF($P954="",Setup!$B$17,$P954)+N($Q954))-N($U954))</f>
        <v/>
      </c>
      <c r="W954" s="94" t="n"/>
      <c r="X954" s="95" t="n"/>
      <c r="Z954" s="92">
        <f>IF($A954="","",DATE(YEAR($A954),MONTH($A954),1))</f>
        <v/>
      </c>
    </row>
    <row r="955">
      <c r="A955" s="85" t="n"/>
      <c r="B955" s="86" t="n"/>
      <c r="C955" s="86" t="n"/>
      <c r="D955" s="87" t="n"/>
      <c r="E955" s="87" t="n"/>
      <c r="F955" s="87" t="n"/>
      <c r="G955" s="87" t="n"/>
      <c r="H955" s="88" t="n"/>
      <c r="I955" s="89">
        <f>IF($G955="","",IF($F955="",IFERROR(INDEX(Setup!$C$21:$C$60,MATCH("|"&amp;UPPER(TRIM($G955)),Setup!$Q$21:$Q$60,0)),"NO RATE"),IFERROR(INDEX(Setup!$C$21:$C$60,MATCH(UPPER(TRIM($F955))&amp;"|"&amp;UPPER(TRIM($G955)),Setup!$P$21:$P$60,0)),IFERROR(INDEX(Setup!$C$21:$C$60,MATCH(UPPER(TRIM($G955))&amp;"|"&amp;UPPER(TRIM($F955)),Setup!$P$21:$P$60,0)),"NO RATE"))))</f>
        <v/>
      </c>
      <c r="J955" s="90" t="n"/>
      <c r="K955" s="89">
        <f>IF(OR($G955="",$H955="",NOT(ISNUMBER($I955))),"",ROUND($H955*$I955*(1+IF($J955="",Setup!$B$16,$J955)),2))</f>
        <v/>
      </c>
      <c r="L955" s="89">
        <f>IF($K955="","",ROUND($K955*Setup!$B$13,2))</f>
        <v/>
      </c>
      <c r="M955" s="89">
        <f>IF($K955="","",$K955-$L955)</f>
        <v/>
      </c>
      <c r="N955" s="89">
        <f>IF(OR($M955="",$D955=""),"",ROUND($M955*IFERROR(IF(VLOOKUP($D955,Setup!$A$76:$C$87,3,FALSE)="",Setup!$B$14,VLOOKUP($D955,Setup!$A$76:$C$87,3,FALSE)),Setup!$B$14),2))</f>
        <v/>
      </c>
      <c r="O955" s="89">
        <f>IF(OR($M955="",$E955=""),"",ROUND($M955*IFERROR(IF(VLOOKUP($E955,Setup!$A$76:$C$87,3,FALSE)="",Setup!$B$15,VLOOKUP($E955,Setup!$A$76:$C$87,3,FALSE)),Setup!$B$15),2))</f>
        <v/>
      </c>
      <c r="P955" s="91" t="n"/>
      <c r="Q955" s="91" t="n"/>
      <c r="R955" s="91" t="n"/>
      <c r="S955" s="91" t="n"/>
      <c r="T955" s="91" t="n"/>
      <c r="U955" s="89">
        <f>IF($K955="","",SUM($R955:$T955))</f>
        <v/>
      </c>
      <c r="V955" s="89">
        <f>IF($K955="","",$M955-(N($N955)+N($O955)+IF($P955="",Setup!$B$17,$P955)+N($Q955))-N($U955))</f>
        <v/>
      </c>
      <c r="W955" s="86" t="n"/>
      <c r="X955" s="87" t="n"/>
      <c r="Z955" s="92">
        <f>IF($A955="","",DATE(YEAR($A955),MONTH($A955),1))</f>
        <v/>
      </c>
    </row>
    <row r="956">
      <c r="A956" s="93" t="n"/>
      <c r="B956" s="94" t="n"/>
      <c r="C956" s="94" t="n"/>
      <c r="D956" s="95" t="n"/>
      <c r="E956" s="95" t="n"/>
      <c r="F956" s="95" t="n"/>
      <c r="G956" s="95" t="n"/>
      <c r="H956" s="96" t="n"/>
      <c r="I956" s="89">
        <f>IF($G956="","",IF($F956="",IFERROR(INDEX(Setup!$C$21:$C$60,MATCH("|"&amp;UPPER(TRIM($G956)),Setup!$Q$21:$Q$60,0)),"NO RATE"),IFERROR(INDEX(Setup!$C$21:$C$60,MATCH(UPPER(TRIM($F956))&amp;"|"&amp;UPPER(TRIM($G956)),Setup!$P$21:$P$60,0)),IFERROR(INDEX(Setup!$C$21:$C$60,MATCH(UPPER(TRIM($G956))&amp;"|"&amp;UPPER(TRIM($F956)),Setup!$P$21:$P$60,0)),"NO RATE"))))</f>
        <v/>
      </c>
      <c r="J956" s="97" t="n"/>
      <c r="K956" s="89">
        <f>IF(OR($G956="",$H956="",NOT(ISNUMBER($I956))),"",ROUND($H956*$I956*(1+IF($J956="",Setup!$B$16,$J956)),2))</f>
        <v/>
      </c>
      <c r="L956" s="89">
        <f>IF($K956="","",ROUND($K956*Setup!$B$13,2))</f>
        <v/>
      </c>
      <c r="M956" s="89">
        <f>IF($K956="","",$K956-$L956)</f>
        <v/>
      </c>
      <c r="N956" s="89">
        <f>IF(OR($M956="",$D956=""),"",ROUND($M956*IFERROR(IF(VLOOKUP($D956,Setup!$A$76:$C$87,3,FALSE)="",Setup!$B$14,VLOOKUP($D956,Setup!$A$76:$C$87,3,FALSE)),Setup!$B$14),2))</f>
        <v/>
      </c>
      <c r="O956" s="89">
        <f>IF(OR($M956="",$E956=""),"",ROUND($M956*IFERROR(IF(VLOOKUP($E956,Setup!$A$76:$C$87,3,FALSE)="",Setup!$B$15,VLOOKUP($E956,Setup!$A$76:$C$87,3,FALSE)),Setup!$B$15),2))</f>
        <v/>
      </c>
      <c r="P956" s="98" t="n"/>
      <c r="Q956" s="98" t="n"/>
      <c r="R956" s="98" t="n"/>
      <c r="S956" s="98" t="n"/>
      <c r="T956" s="98" t="n"/>
      <c r="U956" s="89">
        <f>IF($K956="","",SUM($R956:$T956))</f>
        <v/>
      </c>
      <c r="V956" s="89">
        <f>IF($K956="","",$M956-(N($N956)+N($O956)+IF($P956="",Setup!$B$17,$P956)+N($Q956))-N($U956))</f>
        <v/>
      </c>
      <c r="W956" s="94" t="n"/>
      <c r="X956" s="95" t="n"/>
      <c r="Z956" s="92">
        <f>IF($A956="","",DATE(YEAR($A956),MONTH($A956),1))</f>
        <v/>
      </c>
    </row>
    <row r="957">
      <c r="A957" s="85" t="n"/>
      <c r="B957" s="86" t="n"/>
      <c r="C957" s="86" t="n"/>
      <c r="D957" s="87" t="n"/>
      <c r="E957" s="87" t="n"/>
      <c r="F957" s="87" t="n"/>
      <c r="G957" s="87" t="n"/>
      <c r="H957" s="88" t="n"/>
      <c r="I957" s="89">
        <f>IF($G957="","",IF($F957="",IFERROR(INDEX(Setup!$C$21:$C$60,MATCH("|"&amp;UPPER(TRIM($G957)),Setup!$Q$21:$Q$60,0)),"NO RATE"),IFERROR(INDEX(Setup!$C$21:$C$60,MATCH(UPPER(TRIM($F957))&amp;"|"&amp;UPPER(TRIM($G957)),Setup!$P$21:$P$60,0)),IFERROR(INDEX(Setup!$C$21:$C$60,MATCH(UPPER(TRIM($G957))&amp;"|"&amp;UPPER(TRIM($F957)),Setup!$P$21:$P$60,0)),"NO RATE"))))</f>
        <v/>
      </c>
      <c r="J957" s="90" t="n"/>
      <c r="K957" s="89">
        <f>IF(OR($G957="",$H957="",NOT(ISNUMBER($I957))),"",ROUND($H957*$I957*(1+IF($J957="",Setup!$B$16,$J957)),2))</f>
        <v/>
      </c>
      <c r="L957" s="89">
        <f>IF($K957="","",ROUND($K957*Setup!$B$13,2))</f>
        <v/>
      </c>
      <c r="M957" s="89">
        <f>IF($K957="","",$K957-$L957)</f>
        <v/>
      </c>
      <c r="N957" s="89">
        <f>IF(OR($M957="",$D957=""),"",ROUND($M957*IFERROR(IF(VLOOKUP($D957,Setup!$A$76:$C$87,3,FALSE)="",Setup!$B$14,VLOOKUP($D957,Setup!$A$76:$C$87,3,FALSE)),Setup!$B$14),2))</f>
        <v/>
      </c>
      <c r="O957" s="89">
        <f>IF(OR($M957="",$E957=""),"",ROUND($M957*IFERROR(IF(VLOOKUP($E957,Setup!$A$76:$C$87,3,FALSE)="",Setup!$B$15,VLOOKUP($E957,Setup!$A$76:$C$87,3,FALSE)),Setup!$B$15),2))</f>
        <v/>
      </c>
      <c r="P957" s="91" t="n"/>
      <c r="Q957" s="91" t="n"/>
      <c r="R957" s="91" t="n"/>
      <c r="S957" s="91" t="n"/>
      <c r="T957" s="91" t="n"/>
      <c r="U957" s="89">
        <f>IF($K957="","",SUM($R957:$T957))</f>
        <v/>
      </c>
      <c r="V957" s="89">
        <f>IF($K957="","",$M957-(N($N957)+N($O957)+IF($P957="",Setup!$B$17,$P957)+N($Q957))-N($U957))</f>
        <v/>
      </c>
      <c r="W957" s="86" t="n"/>
      <c r="X957" s="87" t="n"/>
      <c r="Z957" s="92">
        <f>IF($A957="","",DATE(YEAR($A957),MONTH($A957),1))</f>
        <v/>
      </c>
    </row>
    <row r="958">
      <c r="A958" s="93" t="n"/>
      <c r="B958" s="94" t="n"/>
      <c r="C958" s="94" t="n"/>
      <c r="D958" s="95" t="n"/>
      <c r="E958" s="95" t="n"/>
      <c r="F958" s="95" t="n"/>
      <c r="G958" s="95" t="n"/>
      <c r="H958" s="96" t="n"/>
      <c r="I958" s="89">
        <f>IF($G958="","",IF($F958="",IFERROR(INDEX(Setup!$C$21:$C$60,MATCH("|"&amp;UPPER(TRIM($G958)),Setup!$Q$21:$Q$60,0)),"NO RATE"),IFERROR(INDEX(Setup!$C$21:$C$60,MATCH(UPPER(TRIM($F958))&amp;"|"&amp;UPPER(TRIM($G958)),Setup!$P$21:$P$60,0)),IFERROR(INDEX(Setup!$C$21:$C$60,MATCH(UPPER(TRIM($G958))&amp;"|"&amp;UPPER(TRIM($F958)),Setup!$P$21:$P$60,0)),"NO RATE"))))</f>
        <v/>
      </c>
      <c r="J958" s="97" t="n"/>
      <c r="K958" s="89">
        <f>IF(OR($G958="",$H958="",NOT(ISNUMBER($I958))),"",ROUND($H958*$I958*(1+IF($J958="",Setup!$B$16,$J958)),2))</f>
        <v/>
      </c>
      <c r="L958" s="89">
        <f>IF($K958="","",ROUND($K958*Setup!$B$13,2))</f>
        <v/>
      </c>
      <c r="M958" s="89">
        <f>IF($K958="","",$K958-$L958)</f>
        <v/>
      </c>
      <c r="N958" s="89">
        <f>IF(OR($M958="",$D958=""),"",ROUND($M958*IFERROR(IF(VLOOKUP($D958,Setup!$A$76:$C$87,3,FALSE)="",Setup!$B$14,VLOOKUP($D958,Setup!$A$76:$C$87,3,FALSE)),Setup!$B$14),2))</f>
        <v/>
      </c>
      <c r="O958" s="89">
        <f>IF(OR($M958="",$E958=""),"",ROUND($M958*IFERROR(IF(VLOOKUP($E958,Setup!$A$76:$C$87,3,FALSE)="",Setup!$B$15,VLOOKUP($E958,Setup!$A$76:$C$87,3,FALSE)),Setup!$B$15),2))</f>
        <v/>
      </c>
      <c r="P958" s="98" t="n"/>
      <c r="Q958" s="98" t="n"/>
      <c r="R958" s="98" t="n"/>
      <c r="S958" s="98" t="n"/>
      <c r="T958" s="98" t="n"/>
      <c r="U958" s="89">
        <f>IF($K958="","",SUM($R958:$T958))</f>
        <v/>
      </c>
      <c r="V958" s="89">
        <f>IF($K958="","",$M958-(N($N958)+N($O958)+IF($P958="",Setup!$B$17,$P958)+N($Q958))-N($U958))</f>
        <v/>
      </c>
      <c r="W958" s="94" t="n"/>
      <c r="X958" s="95" t="n"/>
      <c r="Z958" s="92">
        <f>IF($A958="","",DATE(YEAR($A958),MONTH($A958),1))</f>
        <v/>
      </c>
    </row>
    <row r="959">
      <c r="A959" s="85" t="n"/>
      <c r="B959" s="86" t="n"/>
      <c r="C959" s="86" t="n"/>
      <c r="D959" s="87" t="n"/>
      <c r="E959" s="87" t="n"/>
      <c r="F959" s="87" t="n"/>
      <c r="G959" s="87" t="n"/>
      <c r="H959" s="88" t="n"/>
      <c r="I959" s="89">
        <f>IF($G959="","",IF($F959="",IFERROR(INDEX(Setup!$C$21:$C$60,MATCH("|"&amp;UPPER(TRIM($G959)),Setup!$Q$21:$Q$60,0)),"NO RATE"),IFERROR(INDEX(Setup!$C$21:$C$60,MATCH(UPPER(TRIM($F959))&amp;"|"&amp;UPPER(TRIM($G959)),Setup!$P$21:$P$60,0)),IFERROR(INDEX(Setup!$C$21:$C$60,MATCH(UPPER(TRIM($G959))&amp;"|"&amp;UPPER(TRIM($F959)),Setup!$P$21:$P$60,0)),"NO RATE"))))</f>
        <v/>
      </c>
      <c r="J959" s="90" t="n"/>
      <c r="K959" s="89">
        <f>IF(OR($G959="",$H959="",NOT(ISNUMBER($I959))),"",ROUND($H959*$I959*(1+IF($J959="",Setup!$B$16,$J959)),2))</f>
        <v/>
      </c>
      <c r="L959" s="89">
        <f>IF($K959="","",ROUND($K959*Setup!$B$13,2))</f>
        <v/>
      </c>
      <c r="M959" s="89">
        <f>IF($K959="","",$K959-$L959)</f>
        <v/>
      </c>
      <c r="N959" s="89">
        <f>IF(OR($M959="",$D959=""),"",ROUND($M959*IFERROR(IF(VLOOKUP($D959,Setup!$A$76:$C$87,3,FALSE)="",Setup!$B$14,VLOOKUP($D959,Setup!$A$76:$C$87,3,FALSE)),Setup!$B$14),2))</f>
        <v/>
      </c>
      <c r="O959" s="89">
        <f>IF(OR($M959="",$E959=""),"",ROUND($M959*IFERROR(IF(VLOOKUP($E959,Setup!$A$76:$C$87,3,FALSE)="",Setup!$B$15,VLOOKUP($E959,Setup!$A$76:$C$87,3,FALSE)),Setup!$B$15),2))</f>
        <v/>
      </c>
      <c r="P959" s="91" t="n"/>
      <c r="Q959" s="91" t="n"/>
      <c r="R959" s="91" t="n"/>
      <c r="S959" s="91" t="n"/>
      <c r="T959" s="91" t="n"/>
      <c r="U959" s="89">
        <f>IF($K959="","",SUM($R959:$T959))</f>
        <v/>
      </c>
      <c r="V959" s="89">
        <f>IF($K959="","",$M959-(N($N959)+N($O959)+IF($P959="",Setup!$B$17,$P959)+N($Q959))-N($U959))</f>
        <v/>
      </c>
      <c r="W959" s="86" t="n"/>
      <c r="X959" s="87" t="n"/>
      <c r="Z959" s="92">
        <f>IF($A959="","",DATE(YEAR($A959),MONTH($A959),1))</f>
        <v/>
      </c>
    </row>
    <row r="960">
      <c r="A960" s="93" t="n"/>
      <c r="B960" s="94" t="n"/>
      <c r="C960" s="94" t="n"/>
      <c r="D960" s="95" t="n"/>
      <c r="E960" s="95" t="n"/>
      <c r="F960" s="95" t="n"/>
      <c r="G960" s="95" t="n"/>
      <c r="H960" s="96" t="n"/>
      <c r="I960" s="89">
        <f>IF($G960="","",IF($F960="",IFERROR(INDEX(Setup!$C$21:$C$60,MATCH("|"&amp;UPPER(TRIM($G960)),Setup!$Q$21:$Q$60,0)),"NO RATE"),IFERROR(INDEX(Setup!$C$21:$C$60,MATCH(UPPER(TRIM($F960))&amp;"|"&amp;UPPER(TRIM($G960)),Setup!$P$21:$P$60,0)),IFERROR(INDEX(Setup!$C$21:$C$60,MATCH(UPPER(TRIM($G960))&amp;"|"&amp;UPPER(TRIM($F960)),Setup!$P$21:$P$60,0)),"NO RATE"))))</f>
        <v/>
      </c>
      <c r="J960" s="97" t="n"/>
      <c r="K960" s="89">
        <f>IF(OR($G960="",$H960="",NOT(ISNUMBER($I960))),"",ROUND($H960*$I960*(1+IF($J960="",Setup!$B$16,$J960)),2))</f>
        <v/>
      </c>
      <c r="L960" s="89">
        <f>IF($K960="","",ROUND($K960*Setup!$B$13,2))</f>
        <v/>
      </c>
      <c r="M960" s="89">
        <f>IF($K960="","",$K960-$L960)</f>
        <v/>
      </c>
      <c r="N960" s="89">
        <f>IF(OR($M960="",$D960=""),"",ROUND($M960*IFERROR(IF(VLOOKUP($D960,Setup!$A$76:$C$87,3,FALSE)="",Setup!$B$14,VLOOKUP($D960,Setup!$A$76:$C$87,3,FALSE)),Setup!$B$14),2))</f>
        <v/>
      </c>
      <c r="O960" s="89">
        <f>IF(OR($M960="",$E960=""),"",ROUND($M960*IFERROR(IF(VLOOKUP($E960,Setup!$A$76:$C$87,3,FALSE)="",Setup!$B$15,VLOOKUP($E960,Setup!$A$76:$C$87,3,FALSE)),Setup!$B$15),2))</f>
        <v/>
      </c>
      <c r="P960" s="98" t="n"/>
      <c r="Q960" s="98" t="n"/>
      <c r="R960" s="98" t="n"/>
      <c r="S960" s="98" t="n"/>
      <c r="T960" s="98" t="n"/>
      <c r="U960" s="89">
        <f>IF($K960="","",SUM($R960:$T960))</f>
        <v/>
      </c>
      <c r="V960" s="89">
        <f>IF($K960="","",$M960-(N($N960)+N($O960)+IF($P960="",Setup!$B$17,$P960)+N($Q960))-N($U960))</f>
        <v/>
      </c>
      <c r="W960" s="94" t="n"/>
      <c r="X960" s="95" t="n"/>
      <c r="Z960" s="92">
        <f>IF($A960="","",DATE(YEAR($A960),MONTH($A960),1))</f>
        <v/>
      </c>
    </row>
    <row r="961">
      <c r="A961" s="85" t="n"/>
      <c r="B961" s="86" t="n"/>
      <c r="C961" s="86" t="n"/>
      <c r="D961" s="87" t="n"/>
      <c r="E961" s="87" t="n"/>
      <c r="F961" s="87" t="n"/>
      <c r="G961" s="87" t="n"/>
      <c r="H961" s="88" t="n"/>
      <c r="I961" s="89">
        <f>IF($G961="","",IF($F961="",IFERROR(INDEX(Setup!$C$21:$C$60,MATCH("|"&amp;UPPER(TRIM($G961)),Setup!$Q$21:$Q$60,0)),"NO RATE"),IFERROR(INDEX(Setup!$C$21:$C$60,MATCH(UPPER(TRIM($F961))&amp;"|"&amp;UPPER(TRIM($G961)),Setup!$P$21:$P$60,0)),IFERROR(INDEX(Setup!$C$21:$C$60,MATCH(UPPER(TRIM($G961))&amp;"|"&amp;UPPER(TRIM($F961)),Setup!$P$21:$P$60,0)),"NO RATE"))))</f>
        <v/>
      </c>
      <c r="J961" s="90" t="n"/>
      <c r="K961" s="89">
        <f>IF(OR($G961="",$H961="",NOT(ISNUMBER($I961))),"",ROUND($H961*$I961*(1+IF($J961="",Setup!$B$16,$J961)),2))</f>
        <v/>
      </c>
      <c r="L961" s="89">
        <f>IF($K961="","",ROUND($K961*Setup!$B$13,2))</f>
        <v/>
      </c>
      <c r="M961" s="89">
        <f>IF($K961="","",$K961-$L961)</f>
        <v/>
      </c>
      <c r="N961" s="89">
        <f>IF(OR($M961="",$D961=""),"",ROUND($M961*IFERROR(IF(VLOOKUP($D961,Setup!$A$76:$C$87,3,FALSE)="",Setup!$B$14,VLOOKUP($D961,Setup!$A$76:$C$87,3,FALSE)),Setup!$B$14),2))</f>
        <v/>
      </c>
      <c r="O961" s="89">
        <f>IF(OR($M961="",$E961=""),"",ROUND($M961*IFERROR(IF(VLOOKUP($E961,Setup!$A$76:$C$87,3,FALSE)="",Setup!$B$15,VLOOKUP($E961,Setup!$A$76:$C$87,3,FALSE)),Setup!$B$15),2))</f>
        <v/>
      </c>
      <c r="P961" s="91" t="n"/>
      <c r="Q961" s="91" t="n"/>
      <c r="R961" s="91" t="n"/>
      <c r="S961" s="91" t="n"/>
      <c r="T961" s="91" t="n"/>
      <c r="U961" s="89">
        <f>IF($K961="","",SUM($R961:$T961))</f>
        <v/>
      </c>
      <c r="V961" s="89">
        <f>IF($K961="","",$M961-(N($N961)+N($O961)+IF($P961="",Setup!$B$17,$P961)+N($Q961))-N($U961))</f>
        <v/>
      </c>
      <c r="W961" s="86" t="n"/>
      <c r="X961" s="87" t="n"/>
      <c r="Z961" s="92">
        <f>IF($A961="","",DATE(YEAR($A961),MONTH($A961),1))</f>
        <v/>
      </c>
    </row>
    <row r="962">
      <c r="A962" s="93" t="n"/>
      <c r="B962" s="94" t="n"/>
      <c r="C962" s="94" t="n"/>
      <c r="D962" s="95" t="n"/>
      <c r="E962" s="95" t="n"/>
      <c r="F962" s="95" t="n"/>
      <c r="G962" s="95" t="n"/>
      <c r="H962" s="96" t="n"/>
      <c r="I962" s="89">
        <f>IF($G962="","",IF($F962="",IFERROR(INDEX(Setup!$C$21:$C$60,MATCH("|"&amp;UPPER(TRIM($G962)),Setup!$Q$21:$Q$60,0)),"NO RATE"),IFERROR(INDEX(Setup!$C$21:$C$60,MATCH(UPPER(TRIM($F962))&amp;"|"&amp;UPPER(TRIM($G962)),Setup!$P$21:$P$60,0)),IFERROR(INDEX(Setup!$C$21:$C$60,MATCH(UPPER(TRIM($G962))&amp;"|"&amp;UPPER(TRIM($F962)),Setup!$P$21:$P$60,0)),"NO RATE"))))</f>
        <v/>
      </c>
      <c r="J962" s="97" t="n"/>
      <c r="K962" s="89">
        <f>IF(OR($G962="",$H962="",NOT(ISNUMBER($I962))),"",ROUND($H962*$I962*(1+IF($J962="",Setup!$B$16,$J962)),2))</f>
        <v/>
      </c>
      <c r="L962" s="89">
        <f>IF($K962="","",ROUND($K962*Setup!$B$13,2))</f>
        <v/>
      </c>
      <c r="M962" s="89">
        <f>IF($K962="","",$K962-$L962)</f>
        <v/>
      </c>
      <c r="N962" s="89">
        <f>IF(OR($M962="",$D962=""),"",ROUND($M962*IFERROR(IF(VLOOKUP($D962,Setup!$A$76:$C$87,3,FALSE)="",Setup!$B$14,VLOOKUP($D962,Setup!$A$76:$C$87,3,FALSE)),Setup!$B$14),2))</f>
        <v/>
      </c>
      <c r="O962" s="89">
        <f>IF(OR($M962="",$E962=""),"",ROUND($M962*IFERROR(IF(VLOOKUP($E962,Setup!$A$76:$C$87,3,FALSE)="",Setup!$B$15,VLOOKUP($E962,Setup!$A$76:$C$87,3,FALSE)),Setup!$B$15),2))</f>
        <v/>
      </c>
      <c r="P962" s="98" t="n"/>
      <c r="Q962" s="98" t="n"/>
      <c r="R962" s="98" t="n"/>
      <c r="S962" s="98" t="n"/>
      <c r="T962" s="98" t="n"/>
      <c r="U962" s="89">
        <f>IF($K962="","",SUM($R962:$T962))</f>
        <v/>
      </c>
      <c r="V962" s="89">
        <f>IF($K962="","",$M962-(N($N962)+N($O962)+IF($P962="",Setup!$B$17,$P962)+N($Q962))-N($U962))</f>
        <v/>
      </c>
      <c r="W962" s="94" t="n"/>
      <c r="X962" s="95" t="n"/>
      <c r="Z962" s="92">
        <f>IF($A962="","",DATE(YEAR($A962),MONTH($A962),1))</f>
        <v/>
      </c>
    </row>
    <row r="963">
      <c r="A963" s="85" t="n"/>
      <c r="B963" s="86" t="n"/>
      <c r="C963" s="86" t="n"/>
      <c r="D963" s="87" t="n"/>
      <c r="E963" s="87" t="n"/>
      <c r="F963" s="87" t="n"/>
      <c r="G963" s="87" t="n"/>
      <c r="H963" s="88" t="n"/>
      <c r="I963" s="89">
        <f>IF($G963="","",IF($F963="",IFERROR(INDEX(Setup!$C$21:$C$60,MATCH("|"&amp;UPPER(TRIM($G963)),Setup!$Q$21:$Q$60,0)),"NO RATE"),IFERROR(INDEX(Setup!$C$21:$C$60,MATCH(UPPER(TRIM($F963))&amp;"|"&amp;UPPER(TRIM($G963)),Setup!$P$21:$P$60,0)),IFERROR(INDEX(Setup!$C$21:$C$60,MATCH(UPPER(TRIM($G963))&amp;"|"&amp;UPPER(TRIM($F963)),Setup!$P$21:$P$60,0)),"NO RATE"))))</f>
        <v/>
      </c>
      <c r="J963" s="90" t="n"/>
      <c r="K963" s="89">
        <f>IF(OR($G963="",$H963="",NOT(ISNUMBER($I963))),"",ROUND($H963*$I963*(1+IF($J963="",Setup!$B$16,$J963)),2))</f>
        <v/>
      </c>
      <c r="L963" s="89">
        <f>IF($K963="","",ROUND($K963*Setup!$B$13,2))</f>
        <v/>
      </c>
      <c r="M963" s="89">
        <f>IF($K963="","",$K963-$L963)</f>
        <v/>
      </c>
      <c r="N963" s="89">
        <f>IF(OR($M963="",$D963=""),"",ROUND($M963*IFERROR(IF(VLOOKUP($D963,Setup!$A$76:$C$87,3,FALSE)="",Setup!$B$14,VLOOKUP($D963,Setup!$A$76:$C$87,3,FALSE)),Setup!$B$14),2))</f>
        <v/>
      </c>
      <c r="O963" s="89">
        <f>IF(OR($M963="",$E963=""),"",ROUND($M963*IFERROR(IF(VLOOKUP($E963,Setup!$A$76:$C$87,3,FALSE)="",Setup!$B$15,VLOOKUP($E963,Setup!$A$76:$C$87,3,FALSE)),Setup!$B$15),2))</f>
        <v/>
      </c>
      <c r="P963" s="91" t="n"/>
      <c r="Q963" s="91" t="n"/>
      <c r="R963" s="91" t="n"/>
      <c r="S963" s="91" t="n"/>
      <c r="T963" s="91" t="n"/>
      <c r="U963" s="89">
        <f>IF($K963="","",SUM($R963:$T963))</f>
        <v/>
      </c>
      <c r="V963" s="89">
        <f>IF($K963="","",$M963-(N($N963)+N($O963)+IF($P963="",Setup!$B$17,$P963)+N($Q963))-N($U963))</f>
        <v/>
      </c>
      <c r="W963" s="86" t="n"/>
      <c r="X963" s="87" t="n"/>
      <c r="Z963" s="92">
        <f>IF($A963="","",DATE(YEAR($A963),MONTH($A963),1))</f>
        <v/>
      </c>
    </row>
    <row r="964">
      <c r="A964" s="93" t="n"/>
      <c r="B964" s="94" t="n"/>
      <c r="C964" s="94" t="n"/>
      <c r="D964" s="95" t="n"/>
      <c r="E964" s="95" t="n"/>
      <c r="F964" s="95" t="n"/>
      <c r="G964" s="95" t="n"/>
      <c r="H964" s="96" t="n"/>
      <c r="I964" s="89">
        <f>IF($G964="","",IF($F964="",IFERROR(INDEX(Setup!$C$21:$C$60,MATCH("|"&amp;UPPER(TRIM($G964)),Setup!$Q$21:$Q$60,0)),"NO RATE"),IFERROR(INDEX(Setup!$C$21:$C$60,MATCH(UPPER(TRIM($F964))&amp;"|"&amp;UPPER(TRIM($G964)),Setup!$P$21:$P$60,0)),IFERROR(INDEX(Setup!$C$21:$C$60,MATCH(UPPER(TRIM($G964))&amp;"|"&amp;UPPER(TRIM($F964)),Setup!$P$21:$P$60,0)),"NO RATE"))))</f>
        <v/>
      </c>
      <c r="J964" s="97" t="n"/>
      <c r="K964" s="89">
        <f>IF(OR($G964="",$H964="",NOT(ISNUMBER($I964))),"",ROUND($H964*$I964*(1+IF($J964="",Setup!$B$16,$J964)),2))</f>
        <v/>
      </c>
      <c r="L964" s="89">
        <f>IF($K964="","",ROUND($K964*Setup!$B$13,2))</f>
        <v/>
      </c>
      <c r="M964" s="89">
        <f>IF($K964="","",$K964-$L964)</f>
        <v/>
      </c>
      <c r="N964" s="89">
        <f>IF(OR($M964="",$D964=""),"",ROUND($M964*IFERROR(IF(VLOOKUP($D964,Setup!$A$76:$C$87,3,FALSE)="",Setup!$B$14,VLOOKUP($D964,Setup!$A$76:$C$87,3,FALSE)),Setup!$B$14),2))</f>
        <v/>
      </c>
      <c r="O964" s="89">
        <f>IF(OR($M964="",$E964=""),"",ROUND($M964*IFERROR(IF(VLOOKUP($E964,Setup!$A$76:$C$87,3,FALSE)="",Setup!$B$15,VLOOKUP($E964,Setup!$A$76:$C$87,3,FALSE)),Setup!$B$15),2))</f>
        <v/>
      </c>
      <c r="P964" s="98" t="n"/>
      <c r="Q964" s="98" t="n"/>
      <c r="R964" s="98" t="n"/>
      <c r="S964" s="98" t="n"/>
      <c r="T964" s="98" t="n"/>
      <c r="U964" s="89">
        <f>IF($K964="","",SUM($R964:$T964))</f>
        <v/>
      </c>
      <c r="V964" s="89">
        <f>IF($K964="","",$M964-(N($N964)+N($O964)+IF($P964="",Setup!$B$17,$P964)+N($Q964))-N($U964))</f>
        <v/>
      </c>
      <c r="W964" s="94" t="n"/>
      <c r="X964" s="95" t="n"/>
      <c r="Z964" s="92">
        <f>IF($A964="","",DATE(YEAR($A964),MONTH($A964),1))</f>
        <v/>
      </c>
    </row>
    <row r="965">
      <c r="A965" s="85" t="n"/>
      <c r="B965" s="86" t="n"/>
      <c r="C965" s="86" t="n"/>
      <c r="D965" s="87" t="n"/>
      <c r="E965" s="87" t="n"/>
      <c r="F965" s="87" t="n"/>
      <c r="G965" s="87" t="n"/>
      <c r="H965" s="88" t="n"/>
      <c r="I965" s="89">
        <f>IF($G965="","",IF($F965="",IFERROR(INDEX(Setup!$C$21:$C$60,MATCH("|"&amp;UPPER(TRIM($G965)),Setup!$Q$21:$Q$60,0)),"NO RATE"),IFERROR(INDEX(Setup!$C$21:$C$60,MATCH(UPPER(TRIM($F965))&amp;"|"&amp;UPPER(TRIM($G965)),Setup!$P$21:$P$60,0)),IFERROR(INDEX(Setup!$C$21:$C$60,MATCH(UPPER(TRIM($G965))&amp;"|"&amp;UPPER(TRIM($F965)),Setup!$P$21:$P$60,0)),"NO RATE"))))</f>
        <v/>
      </c>
      <c r="J965" s="90" t="n"/>
      <c r="K965" s="89">
        <f>IF(OR($G965="",$H965="",NOT(ISNUMBER($I965))),"",ROUND($H965*$I965*(1+IF($J965="",Setup!$B$16,$J965)),2))</f>
        <v/>
      </c>
      <c r="L965" s="89">
        <f>IF($K965="","",ROUND($K965*Setup!$B$13,2))</f>
        <v/>
      </c>
      <c r="M965" s="89">
        <f>IF($K965="","",$K965-$L965)</f>
        <v/>
      </c>
      <c r="N965" s="89">
        <f>IF(OR($M965="",$D965=""),"",ROUND($M965*IFERROR(IF(VLOOKUP($D965,Setup!$A$76:$C$87,3,FALSE)="",Setup!$B$14,VLOOKUP($D965,Setup!$A$76:$C$87,3,FALSE)),Setup!$B$14),2))</f>
        <v/>
      </c>
      <c r="O965" s="89">
        <f>IF(OR($M965="",$E965=""),"",ROUND($M965*IFERROR(IF(VLOOKUP($E965,Setup!$A$76:$C$87,3,FALSE)="",Setup!$B$15,VLOOKUP($E965,Setup!$A$76:$C$87,3,FALSE)),Setup!$B$15),2))</f>
        <v/>
      </c>
      <c r="P965" s="91" t="n"/>
      <c r="Q965" s="91" t="n"/>
      <c r="R965" s="91" t="n"/>
      <c r="S965" s="91" t="n"/>
      <c r="T965" s="91" t="n"/>
      <c r="U965" s="89">
        <f>IF($K965="","",SUM($R965:$T965))</f>
        <v/>
      </c>
      <c r="V965" s="89">
        <f>IF($K965="","",$M965-(N($N965)+N($O965)+IF($P965="",Setup!$B$17,$P965)+N($Q965))-N($U965))</f>
        <v/>
      </c>
      <c r="W965" s="86" t="n"/>
      <c r="X965" s="87" t="n"/>
      <c r="Z965" s="92">
        <f>IF($A965="","",DATE(YEAR($A965),MONTH($A965),1))</f>
        <v/>
      </c>
    </row>
    <row r="966">
      <c r="A966" s="93" t="n"/>
      <c r="B966" s="94" t="n"/>
      <c r="C966" s="94" t="n"/>
      <c r="D966" s="95" t="n"/>
      <c r="E966" s="95" t="n"/>
      <c r="F966" s="95" t="n"/>
      <c r="G966" s="95" t="n"/>
      <c r="H966" s="96" t="n"/>
      <c r="I966" s="89">
        <f>IF($G966="","",IF($F966="",IFERROR(INDEX(Setup!$C$21:$C$60,MATCH("|"&amp;UPPER(TRIM($G966)),Setup!$Q$21:$Q$60,0)),"NO RATE"),IFERROR(INDEX(Setup!$C$21:$C$60,MATCH(UPPER(TRIM($F966))&amp;"|"&amp;UPPER(TRIM($G966)),Setup!$P$21:$P$60,0)),IFERROR(INDEX(Setup!$C$21:$C$60,MATCH(UPPER(TRIM($G966))&amp;"|"&amp;UPPER(TRIM($F966)),Setup!$P$21:$P$60,0)),"NO RATE"))))</f>
        <v/>
      </c>
      <c r="J966" s="97" t="n"/>
      <c r="K966" s="89">
        <f>IF(OR($G966="",$H966="",NOT(ISNUMBER($I966))),"",ROUND($H966*$I966*(1+IF($J966="",Setup!$B$16,$J966)),2))</f>
        <v/>
      </c>
      <c r="L966" s="89">
        <f>IF($K966="","",ROUND($K966*Setup!$B$13,2))</f>
        <v/>
      </c>
      <c r="M966" s="89">
        <f>IF($K966="","",$K966-$L966)</f>
        <v/>
      </c>
      <c r="N966" s="89">
        <f>IF(OR($M966="",$D966=""),"",ROUND($M966*IFERROR(IF(VLOOKUP($D966,Setup!$A$76:$C$87,3,FALSE)="",Setup!$B$14,VLOOKUP($D966,Setup!$A$76:$C$87,3,FALSE)),Setup!$B$14),2))</f>
        <v/>
      </c>
      <c r="O966" s="89">
        <f>IF(OR($M966="",$E966=""),"",ROUND($M966*IFERROR(IF(VLOOKUP($E966,Setup!$A$76:$C$87,3,FALSE)="",Setup!$B$15,VLOOKUP($E966,Setup!$A$76:$C$87,3,FALSE)),Setup!$B$15),2))</f>
        <v/>
      </c>
      <c r="P966" s="98" t="n"/>
      <c r="Q966" s="98" t="n"/>
      <c r="R966" s="98" t="n"/>
      <c r="S966" s="98" t="n"/>
      <c r="T966" s="98" t="n"/>
      <c r="U966" s="89">
        <f>IF($K966="","",SUM($R966:$T966))</f>
        <v/>
      </c>
      <c r="V966" s="89">
        <f>IF($K966="","",$M966-(N($N966)+N($O966)+IF($P966="",Setup!$B$17,$P966)+N($Q966))-N($U966))</f>
        <v/>
      </c>
      <c r="W966" s="94" t="n"/>
      <c r="X966" s="95" t="n"/>
      <c r="Z966" s="92">
        <f>IF($A966="","",DATE(YEAR($A966),MONTH($A966),1))</f>
        <v/>
      </c>
    </row>
    <row r="967">
      <c r="A967" s="85" t="n"/>
      <c r="B967" s="86" t="n"/>
      <c r="C967" s="86" t="n"/>
      <c r="D967" s="87" t="n"/>
      <c r="E967" s="87" t="n"/>
      <c r="F967" s="87" t="n"/>
      <c r="G967" s="87" t="n"/>
      <c r="H967" s="88" t="n"/>
      <c r="I967" s="89">
        <f>IF($G967="","",IF($F967="",IFERROR(INDEX(Setup!$C$21:$C$60,MATCH("|"&amp;UPPER(TRIM($G967)),Setup!$Q$21:$Q$60,0)),"NO RATE"),IFERROR(INDEX(Setup!$C$21:$C$60,MATCH(UPPER(TRIM($F967))&amp;"|"&amp;UPPER(TRIM($G967)),Setup!$P$21:$P$60,0)),IFERROR(INDEX(Setup!$C$21:$C$60,MATCH(UPPER(TRIM($G967))&amp;"|"&amp;UPPER(TRIM($F967)),Setup!$P$21:$P$60,0)),"NO RATE"))))</f>
        <v/>
      </c>
      <c r="J967" s="90" t="n"/>
      <c r="K967" s="89">
        <f>IF(OR($G967="",$H967="",NOT(ISNUMBER($I967))),"",ROUND($H967*$I967*(1+IF($J967="",Setup!$B$16,$J967)),2))</f>
        <v/>
      </c>
      <c r="L967" s="89">
        <f>IF($K967="","",ROUND($K967*Setup!$B$13,2))</f>
        <v/>
      </c>
      <c r="M967" s="89">
        <f>IF($K967="","",$K967-$L967)</f>
        <v/>
      </c>
      <c r="N967" s="89">
        <f>IF(OR($M967="",$D967=""),"",ROUND($M967*IFERROR(IF(VLOOKUP($D967,Setup!$A$76:$C$87,3,FALSE)="",Setup!$B$14,VLOOKUP($D967,Setup!$A$76:$C$87,3,FALSE)),Setup!$B$14),2))</f>
        <v/>
      </c>
      <c r="O967" s="89">
        <f>IF(OR($M967="",$E967=""),"",ROUND($M967*IFERROR(IF(VLOOKUP($E967,Setup!$A$76:$C$87,3,FALSE)="",Setup!$B$15,VLOOKUP($E967,Setup!$A$76:$C$87,3,FALSE)),Setup!$B$15),2))</f>
        <v/>
      </c>
      <c r="P967" s="91" t="n"/>
      <c r="Q967" s="91" t="n"/>
      <c r="R967" s="91" t="n"/>
      <c r="S967" s="91" t="n"/>
      <c r="T967" s="91" t="n"/>
      <c r="U967" s="89">
        <f>IF($K967="","",SUM($R967:$T967))</f>
        <v/>
      </c>
      <c r="V967" s="89">
        <f>IF($K967="","",$M967-(N($N967)+N($O967)+IF($P967="",Setup!$B$17,$P967)+N($Q967))-N($U967))</f>
        <v/>
      </c>
      <c r="W967" s="86" t="n"/>
      <c r="X967" s="87" t="n"/>
      <c r="Z967" s="92">
        <f>IF($A967="","",DATE(YEAR($A967),MONTH($A967),1))</f>
        <v/>
      </c>
    </row>
    <row r="968">
      <c r="A968" s="93" t="n"/>
      <c r="B968" s="94" t="n"/>
      <c r="C968" s="94" t="n"/>
      <c r="D968" s="95" t="n"/>
      <c r="E968" s="95" t="n"/>
      <c r="F968" s="95" t="n"/>
      <c r="G968" s="95" t="n"/>
      <c r="H968" s="96" t="n"/>
      <c r="I968" s="89">
        <f>IF($G968="","",IF($F968="",IFERROR(INDEX(Setup!$C$21:$C$60,MATCH("|"&amp;UPPER(TRIM($G968)),Setup!$Q$21:$Q$60,0)),"NO RATE"),IFERROR(INDEX(Setup!$C$21:$C$60,MATCH(UPPER(TRIM($F968))&amp;"|"&amp;UPPER(TRIM($G968)),Setup!$P$21:$P$60,0)),IFERROR(INDEX(Setup!$C$21:$C$60,MATCH(UPPER(TRIM($G968))&amp;"|"&amp;UPPER(TRIM($F968)),Setup!$P$21:$P$60,0)),"NO RATE"))))</f>
        <v/>
      </c>
      <c r="J968" s="97" t="n"/>
      <c r="K968" s="89">
        <f>IF(OR($G968="",$H968="",NOT(ISNUMBER($I968))),"",ROUND($H968*$I968*(1+IF($J968="",Setup!$B$16,$J968)),2))</f>
        <v/>
      </c>
      <c r="L968" s="89">
        <f>IF($K968="","",ROUND($K968*Setup!$B$13,2))</f>
        <v/>
      </c>
      <c r="M968" s="89">
        <f>IF($K968="","",$K968-$L968)</f>
        <v/>
      </c>
      <c r="N968" s="89">
        <f>IF(OR($M968="",$D968=""),"",ROUND($M968*IFERROR(IF(VLOOKUP($D968,Setup!$A$76:$C$87,3,FALSE)="",Setup!$B$14,VLOOKUP($D968,Setup!$A$76:$C$87,3,FALSE)),Setup!$B$14),2))</f>
        <v/>
      </c>
      <c r="O968" s="89">
        <f>IF(OR($M968="",$E968=""),"",ROUND($M968*IFERROR(IF(VLOOKUP($E968,Setup!$A$76:$C$87,3,FALSE)="",Setup!$B$15,VLOOKUP($E968,Setup!$A$76:$C$87,3,FALSE)),Setup!$B$15),2))</f>
        <v/>
      </c>
      <c r="P968" s="98" t="n"/>
      <c r="Q968" s="98" t="n"/>
      <c r="R968" s="98" t="n"/>
      <c r="S968" s="98" t="n"/>
      <c r="T968" s="98" t="n"/>
      <c r="U968" s="89">
        <f>IF($K968="","",SUM($R968:$T968))</f>
        <v/>
      </c>
      <c r="V968" s="89">
        <f>IF($K968="","",$M968-(N($N968)+N($O968)+IF($P968="",Setup!$B$17,$P968)+N($Q968))-N($U968))</f>
        <v/>
      </c>
      <c r="W968" s="94" t="n"/>
      <c r="X968" s="95" t="n"/>
      <c r="Z968" s="92">
        <f>IF($A968="","",DATE(YEAR($A968),MONTH($A968),1))</f>
        <v/>
      </c>
    </row>
    <row r="969">
      <c r="A969" s="85" t="n"/>
      <c r="B969" s="86" t="n"/>
      <c r="C969" s="86" t="n"/>
      <c r="D969" s="87" t="n"/>
      <c r="E969" s="87" t="n"/>
      <c r="F969" s="87" t="n"/>
      <c r="G969" s="87" t="n"/>
      <c r="H969" s="88" t="n"/>
      <c r="I969" s="89">
        <f>IF($G969="","",IF($F969="",IFERROR(INDEX(Setup!$C$21:$C$60,MATCH("|"&amp;UPPER(TRIM($G969)),Setup!$Q$21:$Q$60,0)),"NO RATE"),IFERROR(INDEX(Setup!$C$21:$C$60,MATCH(UPPER(TRIM($F969))&amp;"|"&amp;UPPER(TRIM($G969)),Setup!$P$21:$P$60,0)),IFERROR(INDEX(Setup!$C$21:$C$60,MATCH(UPPER(TRIM($G969))&amp;"|"&amp;UPPER(TRIM($F969)),Setup!$P$21:$P$60,0)),"NO RATE"))))</f>
        <v/>
      </c>
      <c r="J969" s="90" t="n"/>
      <c r="K969" s="89">
        <f>IF(OR($G969="",$H969="",NOT(ISNUMBER($I969))),"",ROUND($H969*$I969*(1+IF($J969="",Setup!$B$16,$J969)),2))</f>
        <v/>
      </c>
      <c r="L969" s="89">
        <f>IF($K969="","",ROUND($K969*Setup!$B$13,2))</f>
        <v/>
      </c>
      <c r="M969" s="89">
        <f>IF($K969="","",$K969-$L969)</f>
        <v/>
      </c>
      <c r="N969" s="89">
        <f>IF(OR($M969="",$D969=""),"",ROUND($M969*IFERROR(IF(VLOOKUP($D969,Setup!$A$76:$C$87,3,FALSE)="",Setup!$B$14,VLOOKUP($D969,Setup!$A$76:$C$87,3,FALSE)),Setup!$B$14),2))</f>
        <v/>
      </c>
      <c r="O969" s="89">
        <f>IF(OR($M969="",$E969=""),"",ROUND($M969*IFERROR(IF(VLOOKUP($E969,Setup!$A$76:$C$87,3,FALSE)="",Setup!$B$15,VLOOKUP($E969,Setup!$A$76:$C$87,3,FALSE)),Setup!$B$15),2))</f>
        <v/>
      </c>
      <c r="P969" s="91" t="n"/>
      <c r="Q969" s="91" t="n"/>
      <c r="R969" s="91" t="n"/>
      <c r="S969" s="91" t="n"/>
      <c r="T969" s="91" t="n"/>
      <c r="U969" s="89">
        <f>IF($K969="","",SUM($R969:$T969))</f>
        <v/>
      </c>
      <c r="V969" s="89">
        <f>IF($K969="","",$M969-(N($N969)+N($O969)+IF($P969="",Setup!$B$17,$P969)+N($Q969))-N($U969))</f>
        <v/>
      </c>
      <c r="W969" s="86" t="n"/>
      <c r="X969" s="87" t="n"/>
      <c r="Z969" s="92">
        <f>IF($A969="","",DATE(YEAR($A969),MONTH($A969),1))</f>
        <v/>
      </c>
    </row>
    <row r="970">
      <c r="A970" s="93" t="n"/>
      <c r="B970" s="94" t="n"/>
      <c r="C970" s="94" t="n"/>
      <c r="D970" s="95" t="n"/>
      <c r="E970" s="95" t="n"/>
      <c r="F970" s="95" t="n"/>
      <c r="G970" s="95" t="n"/>
      <c r="H970" s="96" t="n"/>
      <c r="I970" s="89">
        <f>IF($G970="","",IF($F970="",IFERROR(INDEX(Setup!$C$21:$C$60,MATCH("|"&amp;UPPER(TRIM($G970)),Setup!$Q$21:$Q$60,0)),"NO RATE"),IFERROR(INDEX(Setup!$C$21:$C$60,MATCH(UPPER(TRIM($F970))&amp;"|"&amp;UPPER(TRIM($G970)),Setup!$P$21:$P$60,0)),IFERROR(INDEX(Setup!$C$21:$C$60,MATCH(UPPER(TRIM($G970))&amp;"|"&amp;UPPER(TRIM($F970)),Setup!$P$21:$P$60,0)),"NO RATE"))))</f>
        <v/>
      </c>
      <c r="J970" s="97" t="n"/>
      <c r="K970" s="89">
        <f>IF(OR($G970="",$H970="",NOT(ISNUMBER($I970))),"",ROUND($H970*$I970*(1+IF($J970="",Setup!$B$16,$J970)),2))</f>
        <v/>
      </c>
      <c r="L970" s="89">
        <f>IF($K970="","",ROUND($K970*Setup!$B$13,2))</f>
        <v/>
      </c>
      <c r="M970" s="89">
        <f>IF($K970="","",$K970-$L970)</f>
        <v/>
      </c>
      <c r="N970" s="89">
        <f>IF(OR($M970="",$D970=""),"",ROUND($M970*IFERROR(IF(VLOOKUP($D970,Setup!$A$76:$C$87,3,FALSE)="",Setup!$B$14,VLOOKUP($D970,Setup!$A$76:$C$87,3,FALSE)),Setup!$B$14),2))</f>
        <v/>
      </c>
      <c r="O970" s="89">
        <f>IF(OR($M970="",$E970=""),"",ROUND($M970*IFERROR(IF(VLOOKUP($E970,Setup!$A$76:$C$87,3,FALSE)="",Setup!$B$15,VLOOKUP($E970,Setup!$A$76:$C$87,3,FALSE)),Setup!$B$15),2))</f>
        <v/>
      </c>
      <c r="P970" s="98" t="n"/>
      <c r="Q970" s="98" t="n"/>
      <c r="R970" s="98" t="n"/>
      <c r="S970" s="98" t="n"/>
      <c r="T970" s="98" t="n"/>
      <c r="U970" s="89">
        <f>IF($K970="","",SUM($R970:$T970))</f>
        <v/>
      </c>
      <c r="V970" s="89">
        <f>IF($K970="","",$M970-(N($N970)+N($O970)+IF($P970="",Setup!$B$17,$P970)+N($Q970))-N($U970))</f>
        <v/>
      </c>
      <c r="W970" s="94" t="n"/>
      <c r="X970" s="95" t="n"/>
      <c r="Z970" s="92">
        <f>IF($A970="","",DATE(YEAR($A970),MONTH($A970),1))</f>
        <v/>
      </c>
    </row>
    <row r="971">
      <c r="A971" s="85" t="n"/>
      <c r="B971" s="86" t="n"/>
      <c r="C971" s="86" t="n"/>
      <c r="D971" s="87" t="n"/>
      <c r="E971" s="87" t="n"/>
      <c r="F971" s="87" t="n"/>
      <c r="G971" s="87" t="n"/>
      <c r="H971" s="88" t="n"/>
      <c r="I971" s="89">
        <f>IF($G971="","",IF($F971="",IFERROR(INDEX(Setup!$C$21:$C$60,MATCH("|"&amp;UPPER(TRIM($G971)),Setup!$Q$21:$Q$60,0)),"NO RATE"),IFERROR(INDEX(Setup!$C$21:$C$60,MATCH(UPPER(TRIM($F971))&amp;"|"&amp;UPPER(TRIM($G971)),Setup!$P$21:$P$60,0)),IFERROR(INDEX(Setup!$C$21:$C$60,MATCH(UPPER(TRIM($G971))&amp;"|"&amp;UPPER(TRIM($F971)),Setup!$P$21:$P$60,0)),"NO RATE"))))</f>
        <v/>
      </c>
      <c r="J971" s="90" t="n"/>
      <c r="K971" s="89">
        <f>IF(OR($G971="",$H971="",NOT(ISNUMBER($I971))),"",ROUND($H971*$I971*(1+IF($J971="",Setup!$B$16,$J971)),2))</f>
        <v/>
      </c>
      <c r="L971" s="89">
        <f>IF($K971="","",ROUND($K971*Setup!$B$13,2))</f>
        <v/>
      </c>
      <c r="M971" s="89">
        <f>IF($K971="","",$K971-$L971)</f>
        <v/>
      </c>
      <c r="N971" s="89">
        <f>IF(OR($M971="",$D971=""),"",ROUND($M971*IFERROR(IF(VLOOKUP($D971,Setup!$A$76:$C$87,3,FALSE)="",Setup!$B$14,VLOOKUP($D971,Setup!$A$76:$C$87,3,FALSE)),Setup!$B$14),2))</f>
        <v/>
      </c>
      <c r="O971" s="89">
        <f>IF(OR($M971="",$E971=""),"",ROUND($M971*IFERROR(IF(VLOOKUP($E971,Setup!$A$76:$C$87,3,FALSE)="",Setup!$B$15,VLOOKUP($E971,Setup!$A$76:$C$87,3,FALSE)),Setup!$B$15),2))</f>
        <v/>
      </c>
      <c r="P971" s="91" t="n"/>
      <c r="Q971" s="91" t="n"/>
      <c r="R971" s="91" t="n"/>
      <c r="S971" s="91" t="n"/>
      <c r="T971" s="91" t="n"/>
      <c r="U971" s="89">
        <f>IF($K971="","",SUM($R971:$T971))</f>
        <v/>
      </c>
      <c r="V971" s="89">
        <f>IF($K971="","",$M971-(N($N971)+N($O971)+IF($P971="",Setup!$B$17,$P971)+N($Q971))-N($U971))</f>
        <v/>
      </c>
      <c r="W971" s="86" t="n"/>
      <c r="X971" s="87" t="n"/>
      <c r="Z971" s="92">
        <f>IF($A971="","",DATE(YEAR($A971),MONTH($A971),1))</f>
        <v/>
      </c>
    </row>
    <row r="972">
      <c r="A972" s="93" t="n"/>
      <c r="B972" s="94" t="n"/>
      <c r="C972" s="94" t="n"/>
      <c r="D972" s="95" t="n"/>
      <c r="E972" s="95" t="n"/>
      <c r="F972" s="95" t="n"/>
      <c r="G972" s="95" t="n"/>
      <c r="H972" s="96" t="n"/>
      <c r="I972" s="89">
        <f>IF($G972="","",IF($F972="",IFERROR(INDEX(Setup!$C$21:$C$60,MATCH("|"&amp;UPPER(TRIM($G972)),Setup!$Q$21:$Q$60,0)),"NO RATE"),IFERROR(INDEX(Setup!$C$21:$C$60,MATCH(UPPER(TRIM($F972))&amp;"|"&amp;UPPER(TRIM($G972)),Setup!$P$21:$P$60,0)),IFERROR(INDEX(Setup!$C$21:$C$60,MATCH(UPPER(TRIM($G972))&amp;"|"&amp;UPPER(TRIM($F972)),Setup!$P$21:$P$60,0)),"NO RATE"))))</f>
        <v/>
      </c>
      <c r="J972" s="97" t="n"/>
      <c r="K972" s="89">
        <f>IF(OR($G972="",$H972="",NOT(ISNUMBER($I972))),"",ROUND($H972*$I972*(1+IF($J972="",Setup!$B$16,$J972)),2))</f>
        <v/>
      </c>
      <c r="L972" s="89">
        <f>IF($K972="","",ROUND($K972*Setup!$B$13,2))</f>
        <v/>
      </c>
      <c r="M972" s="89">
        <f>IF($K972="","",$K972-$L972)</f>
        <v/>
      </c>
      <c r="N972" s="89">
        <f>IF(OR($M972="",$D972=""),"",ROUND($M972*IFERROR(IF(VLOOKUP($D972,Setup!$A$76:$C$87,3,FALSE)="",Setup!$B$14,VLOOKUP($D972,Setup!$A$76:$C$87,3,FALSE)),Setup!$B$14),2))</f>
        <v/>
      </c>
      <c r="O972" s="89">
        <f>IF(OR($M972="",$E972=""),"",ROUND($M972*IFERROR(IF(VLOOKUP($E972,Setup!$A$76:$C$87,3,FALSE)="",Setup!$B$15,VLOOKUP($E972,Setup!$A$76:$C$87,3,FALSE)),Setup!$B$15),2))</f>
        <v/>
      </c>
      <c r="P972" s="98" t="n"/>
      <c r="Q972" s="98" t="n"/>
      <c r="R972" s="98" t="n"/>
      <c r="S972" s="98" t="n"/>
      <c r="T972" s="98" t="n"/>
      <c r="U972" s="89">
        <f>IF($K972="","",SUM($R972:$T972))</f>
        <v/>
      </c>
      <c r="V972" s="89">
        <f>IF($K972="","",$M972-(N($N972)+N($O972)+IF($P972="",Setup!$B$17,$P972)+N($Q972))-N($U972))</f>
        <v/>
      </c>
      <c r="W972" s="94" t="n"/>
      <c r="X972" s="95" t="n"/>
      <c r="Z972" s="92">
        <f>IF($A972="","",DATE(YEAR($A972),MONTH($A972),1))</f>
        <v/>
      </c>
    </row>
    <row r="973">
      <c r="A973" s="85" t="n"/>
      <c r="B973" s="86" t="n"/>
      <c r="C973" s="86" t="n"/>
      <c r="D973" s="87" t="n"/>
      <c r="E973" s="87" t="n"/>
      <c r="F973" s="87" t="n"/>
      <c r="G973" s="87" t="n"/>
      <c r="H973" s="88" t="n"/>
      <c r="I973" s="89">
        <f>IF($G973="","",IF($F973="",IFERROR(INDEX(Setup!$C$21:$C$60,MATCH("|"&amp;UPPER(TRIM($G973)),Setup!$Q$21:$Q$60,0)),"NO RATE"),IFERROR(INDEX(Setup!$C$21:$C$60,MATCH(UPPER(TRIM($F973))&amp;"|"&amp;UPPER(TRIM($G973)),Setup!$P$21:$P$60,0)),IFERROR(INDEX(Setup!$C$21:$C$60,MATCH(UPPER(TRIM($G973))&amp;"|"&amp;UPPER(TRIM($F973)),Setup!$P$21:$P$60,0)),"NO RATE"))))</f>
        <v/>
      </c>
      <c r="J973" s="90" t="n"/>
      <c r="K973" s="89">
        <f>IF(OR($G973="",$H973="",NOT(ISNUMBER($I973))),"",ROUND($H973*$I973*(1+IF($J973="",Setup!$B$16,$J973)),2))</f>
        <v/>
      </c>
      <c r="L973" s="89">
        <f>IF($K973="","",ROUND($K973*Setup!$B$13,2))</f>
        <v/>
      </c>
      <c r="M973" s="89">
        <f>IF($K973="","",$K973-$L973)</f>
        <v/>
      </c>
      <c r="N973" s="89">
        <f>IF(OR($M973="",$D973=""),"",ROUND($M973*IFERROR(IF(VLOOKUP($D973,Setup!$A$76:$C$87,3,FALSE)="",Setup!$B$14,VLOOKUP($D973,Setup!$A$76:$C$87,3,FALSE)),Setup!$B$14),2))</f>
        <v/>
      </c>
      <c r="O973" s="89">
        <f>IF(OR($M973="",$E973=""),"",ROUND($M973*IFERROR(IF(VLOOKUP($E973,Setup!$A$76:$C$87,3,FALSE)="",Setup!$B$15,VLOOKUP($E973,Setup!$A$76:$C$87,3,FALSE)),Setup!$B$15),2))</f>
        <v/>
      </c>
      <c r="P973" s="91" t="n"/>
      <c r="Q973" s="91" t="n"/>
      <c r="R973" s="91" t="n"/>
      <c r="S973" s="91" t="n"/>
      <c r="T973" s="91" t="n"/>
      <c r="U973" s="89">
        <f>IF($K973="","",SUM($R973:$T973))</f>
        <v/>
      </c>
      <c r="V973" s="89">
        <f>IF($K973="","",$M973-(N($N973)+N($O973)+IF($P973="",Setup!$B$17,$P973)+N($Q973))-N($U973))</f>
        <v/>
      </c>
      <c r="W973" s="86" t="n"/>
      <c r="X973" s="87" t="n"/>
      <c r="Z973" s="92">
        <f>IF($A973="","",DATE(YEAR($A973),MONTH($A973),1))</f>
        <v/>
      </c>
    </row>
    <row r="974">
      <c r="A974" s="93" t="n"/>
      <c r="B974" s="94" t="n"/>
      <c r="C974" s="94" t="n"/>
      <c r="D974" s="95" t="n"/>
      <c r="E974" s="95" t="n"/>
      <c r="F974" s="95" t="n"/>
      <c r="G974" s="95" t="n"/>
      <c r="H974" s="96" t="n"/>
      <c r="I974" s="89">
        <f>IF($G974="","",IF($F974="",IFERROR(INDEX(Setup!$C$21:$C$60,MATCH("|"&amp;UPPER(TRIM($G974)),Setup!$Q$21:$Q$60,0)),"NO RATE"),IFERROR(INDEX(Setup!$C$21:$C$60,MATCH(UPPER(TRIM($F974))&amp;"|"&amp;UPPER(TRIM($G974)),Setup!$P$21:$P$60,0)),IFERROR(INDEX(Setup!$C$21:$C$60,MATCH(UPPER(TRIM($G974))&amp;"|"&amp;UPPER(TRIM($F974)),Setup!$P$21:$P$60,0)),"NO RATE"))))</f>
        <v/>
      </c>
      <c r="J974" s="97" t="n"/>
      <c r="K974" s="89">
        <f>IF(OR($G974="",$H974="",NOT(ISNUMBER($I974))),"",ROUND($H974*$I974*(1+IF($J974="",Setup!$B$16,$J974)),2))</f>
        <v/>
      </c>
      <c r="L974" s="89">
        <f>IF($K974="","",ROUND($K974*Setup!$B$13,2))</f>
        <v/>
      </c>
      <c r="M974" s="89">
        <f>IF($K974="","",$K974-$L974)</f>
        <v/>
      </c>
      <c r="N974" s="89">
        <f>IF(OR($M974="",$D974=""),"",ROUND($M974*IFERROR(IF(VLOOKUP($D974,Setup!$A$76:$C$87,3,FALSE)="",Setup!$B$14,VLOOKUP($D974,Setup!$A$76:$C$87,3,FALSE)),Setup!$B$14),2))</f>
        <v/>
      </c>
      <c r="O974" s="89">
        <f>IF(OR($M974="",$E974=""),"",ROUND($M974*IFERROR(IF(VLOOKUP($E974,Setup!$A$76:$C$87,3,FALSE)="",Setup!$B$15,VLOOKUP($E974,Setup!$A$76:$C$87,3,FALSE)),Setup!$B$15),2))</f>
        <v/>
      </c>
      <c r="P974" s="98" t="n"/>
      <c r="Q974" s="98" t="n"/>
      <c r="R974" s="98" t="n"/>
      <c r="S974" s="98" t="n"/>
      <c r="T974" s="98" t="n"/>
      <c r="U974" s="89">
        <f>IF($K974="","",SUM($R974:$T974))</f>
        <v/>
      </c>
      <c r="V974" s="89">
        <f>IF($K974="","",$M974-(N($N974)+N($O974)+IF($P974="",Setup!$B$17,$P974)+N($Q974))-N($U974))</f>
        <v/>
      </c>
      <c r="W974" s="94" t="n"/>
      <c r="X974" s="95" t="n"/>
      <c r="Z974" s="92">
        <f>IF($A974="","",DATE(YEAR($A974),MONTH($A974),1))</f>
        <v/>
      </c>
    </row>
    <row r="975">
      <c r="A975" s="85" t="n"/>
      <c r="B975" s="86" t="n"/>
      <c r="C975" s="86" t="n"/>
      <c r="D975" s="87" t="n"/>
      <c r="E975" s="87" t="n"/>
      <c r="F975" s="87" t="n"/>
      <c r="G975" s="87" t="n"/>
      <c r="H975" s="88" t="n"/>
      <c r="I975" s="89">
        <f>IF($G975="","",IF($F975="",IFERROR(INDEX(Setup!$C$21:$C$60,MATCH("|"&amp;UPPER(TRIM($G975)),Setup!$Q$21:$Q$60,0)),"NO RATE"),IFERROR(INDEX(Setup!$C$21:$C$60,MATCH(UPPER(TRIM($F975))&amp;"|"&amp;UPPER(TRIM($G975)),Setup!$P$21:$P$60,0)),IFERROR(INDEX(Setup!$C$21:$C$60,MATCH(UPPER(TRIM($G975))&amp;"|"&amp;UPPER(TRIM($F975)),Setup!$P$21:$P$60,0)),"NO RATE"))))</f>
        <v/>
      </c>
      <c r="J975" s="90" t="n"/>
      <c r="K975" s="89">
        <f>IF(OR($G975="",$H975="",NOT(ISNUMBER($I975))),"",ROUND($H975*$I975*(1+IF($J975="",Setup!$B$16,$J975)),2))</f>
        <v/>
      </c>
      <c r="L975" s="89">
        <f>IF($K975="","",ROUND($K975*Setup!$B$13,2))</f>
        <v/>
      </c>
      <c r="M975" s="89">
        <f>IF($K975="","",$K975-$L975)</f>
        <v/>
      </c>
      <c r="N975" s="89">
        <f>IF(OR($M975="",$D975=""),"",ROUND($M975*IFERROR(IF(VLOOKUP($D975,Setup!$A$76:$C$87,3,FALSE)="",Setup!$B$14,VLOOKUP($D975,Setup!$A$76:$C$87,3,FALSE)),Setup!$B$14),2))</f>
        <v/>
      </c>
      <c r="O975" s="89">
        <f>IF(OR($M975="",$E975=""),"",ROUND($M975*IFERROR(IF(VLOOKUP($E975,Setup!$A$76:$C$87,3,FALSE)="",Setup!$B$15,VLOOKUP($E975,Setup!$A$76:$C$87,3,FALSE)),Setup!$B$15),2))</f>
        <v/>
      </c>
      <c r="P975" s="91" t="n"/>
      <c r="Q975" s="91" t="n"/>
      <c r="R975" s="91" t="n"/>
      <c r="S975" s="91" t="n"/>
      <c r="T975" s="91" t="n"/>
      <c r="U975" s="89">
        <f>IF($K975="","",SUM($R975:$T975))</f>
        <v/>
      </c>
      <c r="V975" s="89">
        <f>IF($K975="","",$M975-(N($N975)+N($O975)+IF($P975="",Setup!$B$17,$P975)+N($Q975))-N($U975))</f>
        <v/>
      </c>
      <c r="W975" s="86" t="n"/>
      <c r="X975" s="87" t="n"/>
      <c r="Z975" s="92">
        <f>IF($A975="","",DATE(YEAR($A975),MONTH($A975),1))</f>
        <v/>
      </c>
    </row>
    <row r="976">
      <c r="A976" s="93" t="n"/>
      <c r="B976" s="94" t="n"/>
      <c r="C976" s="94" t="n"/>
      <c r="D976" s="95" t="n"/>
      <c r="E976" s="95" t="n"/>
      <c r="F976" s="95" t="n"/>
      <c r="G976" s="95" t="n"/>
      <c r="H976" s="96" t="n"/>
      <c r="I976" s="89">
        <f>IF($G976="","",IF($F976="",IFERROR(INDEX(Setup!$C$21:$C$60,MATCH("|"&amp;UPPER(TRIM($G976)),Setup!$Q$21:$Q$60,0)),"NO RATE"),IFERROR(INDEX(Setup!$C$21:$C$60,MATCH(UPPER(TRIM($F976))&amp;"|"&amp;UPPER(TRIM($G976)),Setup!$P$21:$P$60,0)),IFERROR(INDEX(Setup!$C$21:$C$60,MATCH(UPPER(TRIM($G976))&amp;"|"&amp;UPPER(TRIM($F976)),Setup!$P$21:$P$60,0)),"NO RATE"))))</f>
        <v/>
      </c>
      <c r="J976" s="97" t="n"/>
      <c r="K976" s="89">
        <f>IF(OR($G976="",$H976="",NOT(ISNUMBER($I976))),"",ROUND($H976*$I976*(1+IF($J976="",Setup!$B$16,$J976)),2))</f>
        <v/>
      </c>
      <c r="L976" s="89">
        <f>IF($K976="","",ROUND($K976*Setup!$B$13,2))</f>
        <v/>
      </c>
      <c r="M976" s="89">
        <f>IF($K976="","",$K976-$L976)</f>
        <v/>
      </c>
      <c r="N976" s="89">
        <f>IF(OR($M976="",$D976=""),"",ROUND($M976*IFERROR(IF(VLOOKUP($D976,Setup!$A$76:$C$87,3,FALSE)="",Setup!$B$14,VLOOKUP($D976,Setup!$A$76:$C$87,3,FALSE)),Setup!$B$14),2))</f>
        <v/>
      </c>
      <c r="O976" s="89">
        <f>IF(OR($M976="",$E976=""),"",ROUND($M976*IFERROR(IF(VLOOKUP($E976,Setup!$A$76:$C$87,3,FALSE)="",Setup!$B$15,VLOOKUP($E976,Setup!$A$76:$C$87,3,FALSE)),Setup!$B$15),2))</f>
        <v/>
      </c>
      <c r="P976" s="98" t="n"/>
      <c r="Q976" s="98" t="n"/>
      <c r="R976" s="98" t="n"/>
      <c r="S976" s="98" t="n"/>
      <c r="T976" s="98" t="n"/>
      <c r="U976" s="89">
        <f>IF($K976="","",SUM($R976:$T976))</f>
        <v/>
      </c>
      <c r="V976" s="89">
        <f>IF($K976="","",$M976-(N($N976)+N($O976)+IF($P976="",Setup!$B$17,$P976)+N($Q976))-N($U976))</f>
        <v/>
      </c>
      <c r="W976" s="94" t="n"/>
      <c r="X976" s="95" t="n"/>
      <c r="Z976" s="92">
        <f>IF($A976="","",DATE(YEAR($A976),MONTH($A976),1))</f>
        <v/>
      </c>
    </row>
    <row r="977">
      <c r="A977" s="85" t="n"/>
      <c r="B977" s="86" t="n"/>
      <c r="C977" s="86" t="n"/>
      <c r="D977" s="87" t="n"/>
      <c r="E977" s="87" t="n"/>
      <c r="F977" s="87" t="n"/>
      <c r="G977" s="87" t="n"/>
      <c r="H977" s="88" t="n"/>
      <c r="I977" s="89">
        <f>IF($G977="","",IF($F977="",IFERROR(INDEX(Setup!$C$21:$C$60,MATCH("|"&amp;UPPER(TRIM($G977)),Setup!$Q$21:$Q$60,0)),"NO RATE"),IFERROR(INDEX(Setup!$C$21:$C$60,MATCH(UPPER(TRIM($F977))&amp;"|"&amp;UPPER(TRIM($G977)),Setup!$P$21:$P$60,0)),IFERROR(INDEX(Setup!$C$21:$C$60,MATCH(UPPER(TRIM($G977))&amp;"|"&amp;UPPER(TRIM($F977)),Setup!$P$21:$P$60,0)),"NO RATE"))))</f>
        <v/>
      </c>
      <c r="J977" s="90" t="n"/>
      <c r="K977" s="89">
        <f>IF(OR($G977="",$H977="",NOT(ISNUMBER($I977))),"",ROUND($H977*$I977*(1+IF($J977="",Setup!$B$16,$J977)),2))</f>
        <v/>
      </c>
      <c r="L977" s="89">
        <f>IF($K977="","",ROUND($K977*Setup!$B$13,2))</f>
        <v/>
      </c>
      <c r="M977" s="89">
        <f>IF($K977="","",$K977-$L977)</f>
        <v/>
      </c>
      <c r="N977" s="89">
        <f>IF(OR($M977="",$D977=""),"",ROUND($M977*IFERROR(IF(VLOOKUP($D977,Setup!$A$76:$C$87,3,FALSE)="",Setup!$B$14,VLOOKUP($D977,Setup!$A$76:$C$87,3,FALSE)),Setup!$B$14),2))</f>
        <v/>
      </c>
      <c r="O977" s="89">
        <f>IF(OR($M977="",$E977=""),"",ROUND($M977*IFERROR(IF(VLOOKUP($E977,Setup!$A$76:$C$87,3,FALSE)="",Setup!$B$15,VLOOKUP($E977,Setup!$A$76:$C$87,3,FALSE)),Setup!$B$15),2))</f>
        <v/>
      </c>
      <c r="P977" s="91" t="n"/>
      <c r="Q977" s="91" t="n"/>
      <c r="R977" s="91" t="n"/>
      <c r="S977" s="91" t="n"/>
      <c r="T977" s="91" t="n"/>
      <c r="U977" s="89">
        <f>IF($K977="","",SUM($R977:$T977))</f>
        <v/>
      </c>
      <c r="V977" s="89">
        <f>IF($K977="","",$M977-(N($N977)+N($O977)+IF($P977="",Setup!$B$17,$P977)+N($Q977))-N($U977))</f>
        <v/>
      </c>
      <c r="W977" s="86" t="n"/>
      <c r="X977" s="87" t="n"/>
      <c r="Z977" s="92">
        <f>IF($A977="","",DATE(YEAR($A977),MONTH($A977),1))</f>
        <v/>
      </c>
    </row>
    <row r="978">
      <c r="A978" s="93" t="n"/>
      <c r="B978" s="94" t="n"/>
      <c r="C978" s="94" t="n"/>
      <c r="D978" s="95" t="n"/>
      <c r="E978" s="95" t="n"/>
      <c r="F978" s="95" t="n"/>
      <c r="G978" s="95" t="n"/>
      <c r="H978" s="96" t="n"/>
      <c r="I978" s="89">
        <f>IF($G978="","",IF($F978="",IFERROR(INDEX(Setup!$C$21:$C$60,MATCH("|"&amp;UPPER(TRIM($G978)),Setup!$Q$21:$Q$60,0)),"NO RATE"),IFERROR(INDEX(Setup!$C$21:$C$60,MATCH(UPPER(TRIM($F978))&amp;"|"&amp;UPPER(TRIM($G978)),Setup!$P$21:$P$60,0)),IFERROR(INDEX(Setup!$C$21:$C$60,MATCH(UPPER(TRIM($G978))&amp;"|"&amp;UPPER(TRIM($F978)),Setup!$P$21:$P$60,0)),"NO RATE"))))</f>
        <v/>
      </c>
      <c r="J978" s="97" t="n"/>
      <c r="K978" s="89">
        <f>IF(OR($G978="",$H978="",NOT(ISNUMBER($I978))),"",ROUND($H978*$I978*(1+IF($J978="",Setup!$B$16,$J978)),2))</f>
        <v/>
      </c>
      <c r="L978" s="89">
        <f>IF($K978="","",ROUND($K978*Setup!$B$13,2))</f>
        <v/>
      </c>
      <c r="M978" s="89">
        <f>IF($K978="","",$K978-$L978)</f>
        <v/>
      </c>
      <c r="N978" s="89">
        <f>IF(OR($M978="",$D978=""),"",ROUND($M978*IFERROR(IF(VLOOKUP($D978,Setup!$A$76:$C$87,3,FALSE)="",Setup!$B$14,VLOOKUP($D978,Setup!$A$76:$C$87,3,FALSE)),Setup!$B$14),2))</f>
        <v/>
      </c>
      <c r="O978" s="89">
        <f>IF(OR($M978="",$E978=""),"",ROUND($M978*IFERROR(IF(VLOOKUP($E978,Setup!$A$76:$C$87,3,FALSE)="",Setup!$B$15,VLOOKUP($E978,Setup!$A$76:$C$87,3,FALSE)),Setup!$B$15),2))</f>
        <v/>
      </c>
      <c r="P978" s="98" t="n"/>
      <c r="Q978" s="98" t="n"/>
      <c r="R978" s="98" t="n"/>
      <c r="S978" s="98" t="n"/>
      <c r="T978" s="98" t="n"/>
      <c r="U978" s="89">
        <f>IF($K978="","",SUM($R978:$T978))</f>
        <v/>
      </c>
      <c r="V978" s="89">
        <f>IF($K978="","",$M978-(N($N978)+N($O978)+IF($P978="",Setup!$B$17,$P978)+N($Q978))-N($U978))</f>
        <v/>
      </c>
      <c r="W978" s="94" t="n"/>
      <c r="X978" s="95" t="n"/>
      <c r="Z978" s="92">
        <f>IF($A978="","",DATE(YEAR($A978),MONTH($A978),1))</f>
        <v/>
      </c>
    </row>
    <row r="979">
      <c r="A979" s="85" t="n"/>
      <c r="B979" s="86" t="n"/>
      <c r="C979" s="86" t="n"/>
      <c r="D979" s="87" t="n"/>
      <c r="E979" s="87" t="n"/>
      <c r="F979" s="87" t="n"/>
      <c r="G979" s="87" t="n"/>
      <c r="H979" s="88" t="n"/>
      <c r="I979" s="89">
        <f>IF($G979="","",IF($F979="",IFERROR(INDEX(Setup!$C$21:$C$60,MATCH("|"&amp;UPPER(TRIM($G979)),Setup!$Q$21:$Q$60,0)),"NO RATE"),IFERROR(INDEX(Setup!$C$21:$C$60,MATCH(UPPER(TRIM($F979))&amp;"|"&amp;UPPER(TRIM($G979)),Setup!$P$21:$P$60,0)),IFERROR(INDEX(Setup!$C$21:$C$60,MATCH(UPPER(TRIM($G979))&amp;"|"&amp;UPPER(TRIM($F979)),Setup!$P$21:$P$60,0)),"NO RATE"))))</f>
        <v/>
      </c>
      <c r="J979" s="90" t="n"/>
      <c r="K979" s="89">
        <f>IF(OR($G979="",$H979="",NOT(ISNUMBER($I979))),"",ROUND($H979*$I979*(1+IF($J979="",Setup!$B$16,$J979)),2))</f>
        <v/>
      </c>
      <c r="L979" s="89">
        <f>IF($K979="","",ROUND($K979*Setup!$B$13,2))</f>
        <v/>
      </c>
      <c r="M979" s="89">
        <f>IF($K979="","",$K979-$L979)</f>
        <v/>
      </c>
      <c r="N979" s="89">
        <f>IF(OR($M979="",$D979=""),"",ROUND($M979*IFERROR(IF(VLOOKUP($D979,Setup!$A$76:$C$87,3,FALSE)="",Setup!$B$14,VLOOKUP($D979,Setup!$A$76:$C$87,3,FALSE)),Setup!$B$14),2))</f>
        <v/>
      </c>
      <c r="O979" s="89">
        <f>IF(OR($M979="",$E979=""),"",ROUND($M979*IFERROR(IF(VLOOKUP($E979,Setup!$A$76:$C$87,3,FALSE)="",Setup!$B$15,VLOOKUP($E979,Setup!$A$76:$C$87,3,FALSE)),Setup!$B$15),2))</f>
        <v/>
      </c>
      <c r="P979" s="91" t="n"/>
      <c r="Q979" s="91" t="n"/>
      <c r="R979" s="91" t="n"/>
      <c r="S979" s="91" t="n"/>
      <c r="T979" s="91" t="n"/>
      <c r="U979" s="89">
        <f>IF($K979="","",SUM($R979:$T979))</f>
        <v/>
      </c>
      <c r="V979" s="89">
        <f>IF($K979="","",$M979-(N($N979)+N($O979)+IF($P979="",Setup!$B$17,$P979)+N($Q979))-N($U979))</f>
        <v/>
      </c>
      <c r="W979" s="86" t="n"/>
      <c r="X979" s="87" t="n"/>
      <c r="Z979" s="92">
        <f>IF($A979="","",DATE(YEAR($A979),MONTH($A979),1))</f>
        <v/>
      </c>
    </row>
    <row r="980">
      <c r="A980" s="93" t="n"/>
      <c r="B980" s="94" t="n"/>
      <c r="C980" s="94" t="n"/>
      <c r="D980" s="95" t="n"/>
      <c r="E980" s="95" t="n"/>
      <c r="F980" s="95" t="n"/>
      <c r="G980" s="95" t="n"/>
      <c r="H980" s="96" t="n"/>
      <c r="I980" s="89">
        <f>IF($G980="","",IF($F980="",IFERROR(INDEX(Setup!$C$21:$C$60,MATCH("|"&amp;UPPER(TRIM($G980)),Setup!$Q$21:$Q$60,0)),"NO RATE"),IFERROR(INDEX(Setup!$C$21:$C$60,MATCH(UPPER(TRIM($F980))&amp;"|"&amp;UPPER(TRIM($G980)),Setup!$P$21:$P$60,0)),IFERROR(INDEX(Setup!$C$21:$C$60,MATCH(UPPER(TRIM($G980))&amp;"|"&amp;UPPER(TRIM($F980)),Setup!$P$21:$P$60,0)),"NO RATE"))))</f>
        <v/>
      </c>
      <c r="J980" s="97" t="n"/>
      <c r="K980" s="89">
        <f>IF(OR($G980="",$H980="",NOT(ISNUMBER($I980))),"",ROUND($H980*$I980*(1+IF($J980="",Setup!$B$16,$J980)),2))</f>
        <v/>
      </c>
      <c r="L980" s="89">
        <f>IF($K980="","",ROUND($K980*Setup!$B$13,2))</f>
        <v/>
      </c>
      <c r="M980" s="89">
        <f>IF($K980="","",$K980-$L980)</f>
        <v/>
      </c>
      <c r="N980" s="89">
        <f>IF(OR($M980="",$D980=""),"",ROUND($M980*IFERROR(IF(VLOOKUP($D980,Setup!$A$76:$C$87,3,FALSE)="",Setup!$B$14,VLOOKUP($D980,Setup!$A$76:$C$87,3,FALSE)),Setup!$B$14),2))</f>
        <v/>
      </c>
      <c r="O980" s="89">
        <f>IF(OR($M980="",$E980=""),"",ROUND($M980*IFERROR(IF(VLOOKUP($E980,Setup!$A$76:$C$87,3,FALSE)="",Setup!$B$15,VLOOKUP($E980,Setup!$A$76:$C$87,3,FALSE)),Setup!$B$15),2))</f>
        <v/>
      </c>
      <c r="P980" s="98" t="n"/>
      <c r="Q980" s="98" t="n"/>
      <c r="R980" s="98" t="n"/>
      <c r="S980" s="98" t="n"/>
      <c r="T980" s="98" t="n"/>
      <c r="U980" s="89">
        <f>IF($K980="","",SUM($R980:$T980))</f>
        <v/>
      </c>
      <c r="V980" s="89">
        <f>IF($K980="","",$M980-(N($N980)+N($O980)+IF($P980="",Setup!$B$17,$P980)+N($Q980))-N($U980))</f>
        <v/>
      </c>
      <c r="W980" s="94" t="n"/>
      <c r="X980" s="95" t="n"/>
      <c r="Z980" s="92">
        <f>IF($A980="","",DATE(YEAR($A980),MONTH($A980),1))</f>
        <v/>
      </c>
    </row>
    <row r="981">
      <c r="A981" s="85" t="n"/>
      <c r="B981" s="86" t="n"/>
      <c r="C981" s="86" t="n"/>
      <c r="D981" s="87" t="n"/>
      <c r="E981" s="87" t="n"/>
      <c r="F981" s="87" t="n"/>
      <c r="G981" s="87" t="n"/>
      <c r="H981" s="88" t="n"/>
      <c r="I981" s="89">
        <f>IF($G981="","",IF($F981="",IFERROR(INDEX(Setup!$C$21:$C$60,MATCH("|"&amp;UPPER(TRIM($G981)),Setup!$Q$21:$Q$60,0)),"NO RATE"),IFERROR(INDEX(Setup!$C$21:$C$60,MATCH(UPPER(TRIM($F981))&amp;"|"&amp;UPPER(TRIM($G981)),Setup!$P$21:$P$60,0)),IFERROR(INDEX(Setup!$C$21:$C$60,MATCH(UPPER(TRIM($G981))&amp;"|"&amp;UPPER(TRIM($F981)),Setup!$P$21:$P$60,0)),"NO RATE"))))</f>
        <v/>
      </c>
      <c r="J981" s="90" t="n"/>
      <c r="K981" s="89">
        <f>IF(OR($G981="",$H981="",NOT(ISNUMBER($I981))),"",ROUND($H981*$I981*(1+IF($J981="",Setup!$B$16,$J981)),2))</f>
        <v/>
      </c>
      <c r="L981" s="89">
        <f>IF($K981="","",ROUND($K981*Setup!$B$13,2))</f>
        <v/>
      </c>
      <c r="M981" s="89">
        <f>IF($K981="","",$K981-$L981)</f>
        <v/>
      </c>
      <c r="N981" s="89">
        <f>IF(OR($M981="",$D981=""),"",ROUND($M981*IFERROR(IF(VLOOKUP($D981,Setup!$A$76:$C$87,3,FALSE)="",Setup!$B$14,VLOOKUP($D981,Setup!$A$76:$C$87,3,FALSE)),Setup!$B$14),2))</f>
        <v/>
      </c>
      <c r="O981" s="89">
        <f>IF(OR($M981="",$E981=""),"",ROUND($M981*IFERROR(IF(VLOOKUP($E981,Setup!$A$76:$C$87,3,FALSE)="",Setup!$B$15,VLOOKUP($E981,Setup!$A$76:$C$87,3,FALSE)),Setup!$B$15),2))</f>
        <v/>
      </c>
      <c r="P981" s="91" t="n"/>
      <c r="Q981" s="91" t="n"/>
      <c r="R981" s="91" t="n"/>
      <c r="S981" s="91" t="n"/>
      <c r="T981" s="91" t="n"/>
      <c r="U981" s="89">
        <f>IF($K981="","",SUM($R981:$T981))</f>
        <v/>
      </c>
      <c r="V981" s="89">
        <f>IF($K981="","",$M981-(N($N981)+N($O981)+IF($P981="",Setup!$B$17,$P981)+N($Q981))-N($U981))</f>
        <v/>
      </c>
      <c r="W981" s="86" t="n"/>
      <c r="X981" s="87" t="n"/>
      <c r="Z981" s="92">
        <f>IF($A981="","",DATE(YEAR($A981),MONTH($A981),1))</f>
        <v/>
      </c>
    </row>
    <row r="982">
      <c r="A982" s="93" t="n"/>
      <c r="B982" s="94" t="n"/>
      <c r="C982" s="94" t="n"/>
      <c r="D982" s="95" t="n"/>
      <c r="E982" s="95" t="n"/>
      <c r="F982" s="95" t="n"/>
      <c r="G982" s="95" t="n"/>
      <c r="H982" s="96" t="n"/>
      <c r="I982" s="89">
        <f>IF($G982="","",IF($F982="",IFERROR(INDEX(Setup!$C$21:$C$60,MATCH("|"&amp;UPPER(TRIM($G982)),Setup!$Q$21:$Q$60,0)),"NO RATE"),IFERROR(INDEX(Setup!$C$21:$C$60,MATCH(UPPER(TRIM($F982))&amp;"|"&amp;UPPER(TRIM($G982)),Setup!$P$21:$P$60,0)),IFERROR(INDEX(Setup!$C$21:$C$60,MATCH(UPPER(TRIM($G982))&amp;"|"&amp;UPPER(TRIM($F982)),Setup!$P$21:$P$60,0)),"NO RATE"))))</f>
        <v/>
      </c>
      <c r="J982" s="97" t="n"/>
      <c r="K982" s="89">
        <f>IF(OR($G982="",$H982="",NOT(ISNUMBER($I982))),"",ROUND($H982*$I982*(1+IF($J982="",Setup!$B$16,$J982)),2))</f>
        <v/>
      </c>
      <c r="L982" s="89">
        <f>IF($K982="","",ROUND($K982*Setup!$B$13,2))</f>
        <v/>
      </c>
      <c r="M982" s="89">
        <f>IF($K982="","",$K982-$L982)</f>
        <v/>
      </c>
      <c r="N982" s="89">
        <f>IF(OR($M982="",$D982=""),"",ROUND($M982*IFERROR(IF(VLOOKUP($D982,Setup!$A$76:$C$87,3,FALSE)="",Setup!$B$14,VLOOKUP($D982,Setup!$A$76:$C$87,3,FALSE)),Setup!$B$14),2))</f>
        <v/>
      </c>
      <c r="O982" s="89">
        <f>IF(OR($M982="",$E982=""),"",ROUND($M982*IFERROR(IF(VLOOKUP($E982,Setup!$A$76:$C$87,3,FALSE)="",Setup!$B$15,VLOOKUP($E982,Setup!$A$76:$C$87,3,FALSE)),Setup!$B$15),2))</f>
        <v/>
      </c>
      <c r="P982" s="98" t="n"/>
      <c r="Q982" s="98" t="n"/>
      <c r="R982" s="98" t="n"/>
      <c r="S982" s="98" t="n"/>
      <c r="T982" s="98" t="n"/>
      <c r="U982" s="89">
        <f>IF($K982="","",SUM($R982:$T982))</f>
        <v/>
      </c>
      <c r="V982" s="89">
        <f>IF($K982="","",$M982-(N($N982)+N($O982)+IF($P982="",Setup!$B$17,$P982)+N($Q982))-N($U982))</f>
        <v/>
      </c>
      <c r="W982" s="94" t="n"/>
      <c r="X982" s="95" t="n"/>
      <c r="Z982" s="92">
        <f>IF($A982="","",DATE(YEAR($A982),MONTH($A982),1))</f>
        <v/>
      </c>
    </row>
    <row r="983">
      <c r="A983" s="85" t="n"/>
      <c r="B983" s="86" t="n"/>
      <c r="C983" s="86" t="n"/>
      <c r="D983" s="87" t="n"/>
      <c r="E983" s="87" t="n"/>
      <c r="F983" s="87" t="n"/>
      <c r="G983" s="87" t="n"/>
      <c r="H983" s="88" t="n"/>
      <c r="I983" s="89">
        <f>IF($G983="","",IF($F983="",IFERROR(INDEX(Setup!$C$21:$C$60,MATCH("|"&amp;UPPER(TRIM($G983)),Setup!$Q$21:$Q$60,0)),"NO RATE"),IFERROR(INDEX(Setup!$C$21:$C$60,MATCH(UPPER(TRIM($F983))&amp;"|"&amp;UPPER(TRIM($G983)),Setup!$P$21:$P$60,0)),IFERROR(INDEX(Setup!$C$21:$C$60,MATCH(UPPER(TRIM($G983))&amp;"|"&amp;UPPER(TRIM($F983)),Setup!$P$21:$P$60,0)),"NO RATE"))))</f>
        <v/>
      </c>
      <c r="J983" s="90" t="n"/>
      <c r="K983" s="89">
        <f>IF(OR($G983="",$H983="",NOT(ISNUMBER($I983))),"",ROUND($H983*$I983*(1+IF($J983="",Setup!$B$16,$J983)),2))</f>
        <v/>
      </c>
      <c r="L983" s="89">
        <f>IF($K983="","",ROUND($K983*Setup!$B$13,2))</f>
        <v/>
      </c>
      <c r="M983" s="89">
        <f>IF($K983="","",$K983-$L983)</f>
        <v/>
      </c>
      <c r="N983" s="89">
        <f>IF(OR($M983="",$D983=""),"",ROUND($M983*IFERROR(IF(VLOOKUP($D983,Setup!$A$76:$C$87,3,FALSE)="",Setup!$B$14,VLOOKUP($D983,Setup!$A$76:$C$87,3,FALSE)),Setup!$B$14),2))</f>
        <v/>
      </c>
      <c r="O983" s="89">
        <f>IF(OR($M983="",$E983=""),"",ROUND($M983*IFERROR(IF(VLOOKUP($E983,Setup!$A$76:$C$87,3,FALSE)="",Setup!$B$15,VLOOKUP($E983,Setup!$A$76:$C$87,3,FALSE)),Setup!$B$15),2))</f>
        <v/>
      </c>
      <c r="P983" s="91" t="n"/>
      <c r="Q983" s="91" t="n"/>
      <c r="R983" s="91" t="n"/>
      <c r="S983" s="91" t="n"/>
      <c r="T983" s="91" t="n"/>
      <c r="U983" s="89">
        <f>IF($K983="","",SUM($R983:$T983))</f>
        <v/>
      </c>
      <c r="V983" s="89">
        <f>IF($K983="","",$M983-(N($N983)+N($O983)+IF($P983="",Setup!$B$17,$P983)+N($Q983))-N($U983))</f>
        <v/>
      </c>
      <c r="W983" s="86" t="n"/>
      <c r="X983" s="87" t="n"/>
      <c r="Z983" s="92">
        <f>IF($A983="","",DATE(YEAR($A983),MONTH($A983),1))</f>
        <v/>
      </c>
    </row>
    <row r="984">
      <c r="A984" s="93" t="n"/>
      <c r="B984" s="94" t="n"/>
      <c r="C984" s="94" t="n"/>
      <c r="D984" s="95" t="n"/>
      <c r="E984" s="95" t="n"/>
      <c r="F984" s="95" t="n"/>
      <c r="G984" s="95" t="n"/>
      <c r="H984" s="96" t="n"/>
      <c r="I984" s="89">
        <f>IF($G984="","",IF($F984="",IFERROR(INDEX(Setup!$C$21:$C$60,MATCH("|"&amp;UPPER(TRIM($G984)),Setup!$Q$21:$Q$60,0)),"NO RATE"),IFERROR(INDEX(Setup!$C$21:$C$60,MATCH(UPPER(TRIM($F984))&amp;"|"&amp;UPPER(TRIM($G984)),Setup!$P$21:$P$60,0)),IFERROR(INDEX(Setup!$C$21:$C$60,MATCH(UPPER(TRIM($G984))&amp;"|"&amp;UPPER(TRIM($F984)),Setup!$P$21:$P$60,0)),"NO RATE"))))</f>
        <v/>
      </c>
      <c r="J984" s="97" t="n"/>
      <c r="K984" s="89">
        <f>IF(OR($G984="",$H984="",NOT(ISNUMBER($I984))),"",ROUND($H984*$I984*(1+IF($J984="",Setup!$B$16,$J984)),2))</f>
        <v/>
      </c>
      <c r="L984" s="89">
        <f>IF($K984="","",ROUND($K984*Setup!$B$13,2))</f>
        <v/>
      </c>
      <c r="M984" s="89">
        <f>IF($K984="","",$K984-$L984)</f>
        <v/>
      </c>
      <c r="N984" s="89">
        <f>IF(OR($M984="",$D984=""),"",ROUND($M984*IFERROR(IF(VLOOKUP($D984,Setup!$A$76:$C$87,3,FALSE)="",Setup!$B$14,VLOOKUP($D984,Setup!$A$76:$C$87,3,FALSE)),Setup!$B$14),2))</f>
        <v/>
      </c>
      <c r="O984" s="89">
        <f>IF(OR($M984="",$E984=""),"",ROUND($M984*IFERROR(IF(VLOOKUP($E984,Setup!$A$76:$C$87,3,FALSE)="",Setup!$B$15,VLOOKUP($E984,Setup!$A$76:$C$87,3,FALSE)),Setup!$B$15),2))</f>
        <v/>
      </c>
      <c r="P984" s="98" t="n"/>
      <c r="Q984" s="98" t="n"/>
      <c r="R984" s="98" t="n"/>
      <c r="S984" s="98" t="n"/>
      <c r="T984" s="98" t="n"/>
      <c r="U984" s="89">
        <f>IF($K984="","",SUM($R984:$T984))</f>
        <v/>
      </c>
      <c r="V984" s="89">
        <f>IF($K984="","",$M984-(N($N984)+N($O984)+IF($P984="",Setup!$B$17,$P984)+N($Q984))-N($U984))</f>
        <v/>
      </c>
      <c r="W984" s="94" t="n"/>
      <c r="X984" s="95" t="n"/>
      <c r="Z984" s="92">
        <f>IF($A984="","",DATE(YEAR($A984),MONTH($A984),1))</f>
        <v/>
      </c>
    </row>
    <row r="985">
      <c r="A985" s="85" t="n"/>
      <c r="B985" s="86" t="n"/>
      <c r="C985" s="86" t="n"/>
      <c r="D985" s="87" t="n"/>
      <c r="E985" s="87" t="n"/>
      <c r="F985" s="87" t="n"/>
      <c r="G985" s="87" t="n"/>
      <c r="H985" s="88" t="n"/>
      <c r="I985" s="89">
        <f>IF($G985="","",IF($F985="",IFERROR(INDEX(Setup!$C$21:$C$60,MATCH("|"&amp;UPPER(TRIM($G985)),Setup!$Q$21:$Q$60,0)),"NO RATE"),IFERROR(INDEX(Setup!$C$21:$C$60,MATCH(UPPER(TRIM($F985))&amp;"|"&amp;UPPER(TRIM($G985)),Setup!$P$21:$P$60,0)),IFERROR(INDEX(Setup!$C$21:$C$60,MATCH(UPPER(TRIM($G985))&amp;"|"&amp;UPPER(TRIM($F985)),Setup!$P$21:$P$60,0)),"NO RATE"))))</f>
        <v/>
      </c>
      <c r="J985" s="90" t="n"/>
      <c r="K985" s="89">
        <f>IF(OR($G985="",$H985="",NOT(ISNUMBER($I985))),"",ROUND($H985*$I985*(1+IF($J985="",Setup!$B$16,$J985)),2))</f>
        <v/>
      </c>
      <c r="L985" s="89">
        <f>IF($K985="","",ROUND($K985*Setup!$B$13,2))</f>
        <v/>
      </c>
      <c r="M985" s="89">
        <f>IF($K985="","",$K985-$L985)</f>
        <v/>
      </c>
      <c r="N985" s="89">
        <f>IF(OR($M985="",$D985=""),"",ROUND($M985*IFERROR(IF(VLOOKUP($D985,Setup!$A$76:$C$87,3,FALSE)="",Setup!$B$14,VLOOKUP($D985,Setup!$A$76:$C$87,3,FALSE)),Setup!$B$14),2))</f>
        <v/>
      </c>
      <c r="O985" s="89">
        <f>IF(OR($M985="",$E985=""),"",ROUND($M985*IFERROR(IF(VLOOKUP($E985,Setup!$A$76:$C$87,3,FALSE)="",Setup!$B$15,VLOOKUP($E985,Setup!$A$76:$C$87,3,FALSE)),Setup!$B$15),2))</f>
        <v/>
      </c>
      <c r="P985" s="91" t="n"/>
      <c r="Q985" s="91" t="n"/>
      <c r="R985" s="91" t="n"/>
      <c r="S985" s="91" t="n"/>
      <c r="T985" s="91" t="n"/>
      <c r="U985" s="89">
        <f>IF($K985="","",SUM($R985:$T985))</f>
        <v/>
      </c>
      <c r="V985" s="89">
        <f>IF($K985="","",$M985-(N($N985)+N($O985)+IF($P985="",Setup!$B$17,$P985)+N($Q985))-N($U985))</f>
        <v/>
      </c>
      <c r="W985" s="86" t="n"/>
      <c r="X985" s="87" t="n"/>
      <c r="Z985" s="92">
        <f>IF($A985="","",DATE(YEAR($A985),MONTH($A985),1))</f>
        <v/>
      </c>
    </row>
    <row r="986">
      <c r="A986" s="93" t="n"/>
      <c r="B986" s="94" t="n"/>
      <c r="C986" s="94" t="n"/>
      <c r="D986" s="95" t="n"/>
      <c r="E986" s="95" t="n"/>
      <c r="F986" s="95" t="n"/>
      <c r="G986" s="95" t="n"/>
      <c r="H986" s="96" t="n"/>
      <c r="I986" s="89">
        <f>IF($G986="","",IF($F986="",IFERROR(INDEX(Setup!$C$21:$C$60,MATCH("|"&amp;UPPER(TRIM($G986)),Setup!$Q$21:$Q$60,0)),"NO RATE"),IFERROR(INDEX(Setup!$C$21:$C$60,MATCH(UPPER(TRIM($F986))&amp;"|"&amp;UPPER(TRIM($G986)),Setup!$P$21:$P$60,0)),IFERROR(INDEX(Setup!$C$21:$C$60,MATCH(UPPER(TRIM($G986))&amp;"|"&amp;UPPER(TRIM($F986)),Setup!$P$21:$P$60,0)),"NO RATE"))))</f>
        <v/>
      </c>
      <c r="J986" s="97" t="n"/>
      <c r="K986" s="89">
        <f>IF(OR($G986="",$H986="",NOT(ISNUMBER($I986))),"",ROUND($H986*$I986*(1+IF($J986="",Setup!$B$16,$J986)),2))</f>
        <v/>
      </c>
      <c r="L986" s="89">
        <f>IF($K986="","",ROUND($K986*Setup!$B$13,2))</f>
        <v/>
      </c>
      <c r="M986" s="89">
        <f>IF($K986="","",$K986-$L986)</f>
        <v/>
      </c>
      <c r="N986" s="89">
        <f>IF(OR($M986="",$D986=""),"",ROUND($M986*IFERROR(IF(VLOOKUP($D986,Setup!$A$76:$C$87,3,FALSE)="",Setup!$B$14,VLOOKUP($D986,Setup!$A$76:$C$87,3,FALSE)),Setup!$B$14),2))</f>
        <v/>
      </c>
      <c r="O986" s="89">
        <f>IF(OR($M986="",$E986=""),"",ROUND($M986*IFERROR(IF(VLOOKUP($E986,Setup!$A$76:$C$87,3,FALSE)="",Setup!$B$15,VLOOKUP($E986,Setup!$A$76:$C$87,3,FALSE)),Setup!$B$15),2))</f>
        <v/>
      </c>
      <c r="P986" s="98" t="n"/>
      <c r="Q986" s="98" t="n"/>
      <c r="R986" s="98" t="n"/>
      <c r="S986" s="98" t="n"/>
      <c r="T986" s="98" t="n"/>
      <c r="U986" s="89">
        <f>IF($K986="","",SUM($R986:$T986))</f>
        <v/>
      </c>
      <c r="V986" s="89">
        <f>IF($K986="","",$M986-(N($N986)+N($O986)+IF($P986="",Setup!$B$17,$P986)+N($Q986))-N($U986))</f>
        <v/>
      </c>
      <c r="W986" s="94" t="n"/>
      <c r="X986" s="95" t="n"/>
      <c r="Z986" s="92">
        <f>IF($A986="","",DATE(YEAR($A986),MONTH($A986),1))</f>
        <v/>
      </c>
    </row>
    <row r="987">
      <c r="A987" s="85" t="n"/>
      <c r="B987" s="86" t="n"/>
      <c r="C987" s="86" t="n"/>
      <c r="D987" s="87" t="n"/>
      <c r="E987" s="87" t="n"/>
      <c r="F987" s="87" t="n"/>
      <c r="G987" s="87" t="n"/>
      <c r="H987" s="88" t="n"/>
      <c r="I987" s="89">
        <f>IF($G987="","",IF($F987="",IFERROR(INDEX(Setup!$C$21:$C$60,MATCH("|"&amp;UPPER(TRIM($G987)),Setup!$Q$21:$Q$60,0)),"NO RATE"),IFERROR(INDEX(Setup!$C$21:$C$60,MATCH(UPPER(TRIM($F987))&amp;"|"&amp;UPPER(TRIM($G987)),Setup!$P$21:$P$60,0)),IFERROR(INDEX(Setup!$C$21:$C$60,MATCH(UPPER(TRIM($G987))&amp;"|"&amp;UPPER(TRIM($F987)),Setup!$P$21:$P$60,0)),"NO RATE"))))</f>
        <v/>
      </c>
      <c r="J987" s="90" t="n"/>
      <c r="K987" s="89">
        <f>IF(OR($G987="",$H987="",NOT(ISNUMBER($I987))),"",ROUND($H987*$I987*(1+IF($J987="",Setup!$B$16,$J987)),2))</f>
        <v/>
      </c>
      <c r="L987" s="89">
        <f>IF($K987="","",ROUND($K987*Setup!$B$13,2))</f>
        <v/>
      </c>
      <c r="M987" s="89">
        <f>IF($K987="","",$K987-$L987)</f>
        <v/>
      </c>
      <c r="N987" s="89">
        <f>IF(OR($M987="",$D987=""),"",ROUND($M987*IFERROR(IF(VLOOKUP($D987,Setup!$A$76:$C$87,3,FALSE)="",Setup!$B$14,VLOOKUP($D987,Setup!$A$76:$C$87,3,FALSE)),Setup!$B$14),2))</f>
        <v/>
      </c>
      <c r="O987" s="89">
        <f>IF(OR($M987="",$E987=""),"",ROUND($M987*IFERROR(IF(VLOOKUP($E987,Setup!$A$76:$C$87,3,FALSE)="",Setup!$B$15,VLOOKUP($E987,Setup!$A$76:$C$87,3,FALSE)),Setup!$B$15),2))</f>
        <v/>
      </c>
      <c r="P987" s="91" t="n"/>
      <c r="Q987" s="91" t="n"/>
      <c r="R987" s="91" t="n"/>
      <c r="S987" s="91" t="n"/>
      <c r="T987" s="91" t="n"/>
      <c r="U987" s="89">
        <f>IF($K987="","",SUM($R987:$T987))</f>
        <v/>
      </c>
      <c r="V987" s="89">
        <f>IF($K987="","",$M987-(N($N987)+N($O987)+IF($P987="",Setup!$B$17,$P987)+N($Q987))-N($U987))</f>
        <v/>
      </c>
      <c r="W987" s="86" t="n"/>
      <c r="X987" s="87" t="n"/>
      <c r="Z987" s="92">
        <f>IF($A987="","",DATE(YEAR($A987),MONTH($A987),1))</f>
        <v/>
      </c>
    </row>
    <row r="988">
      <c r="A988" s="93" t="n"/>
      <c r="B988" s="94" t="n"/>
      <c r="C988" s="94" t="n"/>
      <c r="D988" s="95" t="n"/>
      <c r="E988" s="95" t="n"/>
      <c r="F988" s="95" t="n"/>
      <c r="G988" s="95" t="n"/>
      <c r="H988" s="96" t="n"/>
      <c r="I988" s="89">
        <f>IF($G988="","",IF($F988="",IFERROR(INDEX(Setup!$C$21:$C$60,MATCH("|"&amp;UPPER(TRIM($G988)),Setup!$Q$21:$Q$60,0)),"NO RATE"),IFERROR(INDEX(Setup!$C$21:$C$60,MATCH(UPPER(TRIM($F988))&amp;"|"&amp;UPPER(TRIM($G988)),Setup!$P$21:$P$60,0)),IFERROR(INDEX(Setup!$C$21:$C$60,MATCH(UPPER(TRIM($G988))&amp;"|"&amp;UPPER(TRIM($F988)),Setup!$P$21:$P$60,0)),"NO RATE"))))</f>
        <v/>
      </c>
      <c r="J988" s="97" t="n"/>
      <c r="K988" s="89">
        <f>IF(OR($G988="",$H988="",NOT(ISNUMBER($I988))),"",ROUND($H988*$I988*(1+IF($J988="",Setup!$B$16,$J988)),2))</f>
        <v/>
      </c>
      <c r="L988" s="89">
        <f>IF($K988="","",ROUND($K988*Setup!$B$13,2))</f>
        <v/>
      </c>
      <c r="M988" s="89">
        <f>IF($K988="","",$K988-$L988)</f>
        <v/>
      </c>
      <c r="N988" s="89">
        <f>IF(OR($M988="",$D988=""),"",ROUND($M988*IFERROR(IF(VLOOKUP($D988,Setup!$A$76:$C$87,3,FALSE)="",Setup!$B$14,VLOOKUP($D988,Setup!$A$76:$C$87,3,FALSE)),Setup!$B$14),2))</f>
        <v/>
      </c>
      <c r="O988" s="89">
        <f>IF(OR($M988="",$E988=""),"",ROUND($M988*IFERROR(IF(VLOOKUP($E988,Setup!$A$76:$C$87,3,FALSE)="",Setup!$B$15,VLOOKUP($E988,Setup!$A$76:$C$87,3,FALSE)),Setup!$B$15),2))</f>
        <v/>
      </c>
      <c r="P988" s="98" t="n"/>
      <c r="Q988" s="98" t="n"/>
      <c r="R988" s="98" t="n"/>
      <c r="S988" s="98" t="n"/>
      <c r="T988" s="98" t="n"/>
      <c r="U988" s="89">
        <f>IF($K988="","",SUM($R988:$T988))</f>
        <v/>
      </c>
      <c r="V988" s="89">
        <f>IF($K988="","",$M988-(N($N988)+N($O988)+IF($P988="",Setup!$B$17,$P988)+N($Q988))-N($U988))</f>
        <v/>
      </c>
      <c r="W988" s="94" t="n"/>
      <c r="X988" s="95" t="n"/>
      <c r="Z988" s="92">
        <f>IF($A988="","",DATE(YEAR($A988),MONTH($A988),1))</f>
        <v/>
      </c>
    </row>
    <row r="989">
      <c r="A989" s="85" t="n"/>
      <c r="B989" s="86" t="n"/>
      <c r="C989" s="86" t="n"/>
      <c r="D989" s="87" t="n"/>
      <c r="E989" s="87" t="n"/>
      <c r="F989" s="87" t="n"/>
      <c r="G989" s="87" t="n"/>
      <c r="H989" s="88" t="n"/>
      <c r="I989" s="89">
        <f>IF($G989="","",IF($F989="",IFERROR(INDEX(Setup!$C$21:$C$60,MATCH("|"&amp;UPPER(TRIM($G989)),Setup!$Q$21:$Q$60,0)),"NO RATE"),IFERROR(INDEX(Setup!$C$21:$C$60,MATCH(UPPER(TRIM($F989))&amp;"|"&amp;UPPER(TRIM($G989)),Setup!$P$21:$P$60,0)),IFERROR(INDEX(Setup!$C$21:$C$60,MATCH(UPPER(TRIM($G989))&amp;"|"&amp;UPPER(TRIM($F989)),Setup!$P$21:$P$60,0)),"NO RATE"))))</f>
        <v/>
      </c>
      <c r="J989" s="90" t="n"/>
      <c r="K989" s="89">
        <f>IF(OR($G989="",$H989="",NOT(ISNUMBER($I989))),"",ROUND($H989*$I989*(1+IF($J989="",Setup!$B$16,$J989)),2))</f>
        <v/>
      </c>
      <c r="L989" s="89">
        <f>IF($K989="","",ROUND($K989*Setup!$B$13,2))</f>
        <v/>
      </c>
      <c r="M989" s="89">
        <f>IF($K989="","",$K989-$L989)</f>
        <v/>
      </c>
      <c r="N989" s="89">
        <f>IF(OR($M989="",$D989=""),"",ROUND($M989*IFERROR(IF(VLOOKUP($D989,Setup!$A$76:$C$87,3,FALSE)="",Setup!$B$14,VLOOKUP($D989,Setup!$A$76:$C$87,3,FALSE)),Setup!$B$14),2))</f>
        <v/>
      </c>
      <c r="O989" s="89">
        <f>IF(OR($M989="",$E989=""),"",ROUND($M989*IFERROR(IF(VLOOKUP($E989,Setup!$A$76:$C$87,3,FALSE)="",Setup!$B$15,VLOOKUP($E989,Setup!$A$76:$C$87,3,FALSE)),Setup!$B$15),2))</f>
        <v/>
      </c>
      <c r="P989" s="91" t="n"/>
      <c r="Q989" s="91" t="n"/>
      <c r="R989" s="91" t="n"/>
      <c r="S989" s="91" t="n"/>
      <c r="T989" s="91" t="n"/>
      <c r="U989" s="89">
        <f>IF($K989="","",SUM($R989:$T989))</f>
        <v/>
      </c>
      <c r="V989" s="89">
        <f>IF($K989="","",$M989-(N($N989)+N($O989)+IF($P989="",Setup!$B$17,$P989)+N($Q989))-N($U989))</f>
        <v/>
      </c>
      <c r="W989" s="86" t="n"/>
      <c r="X989" s="87" t="n"/>
      <c r="Z989" s="92">
        <f>IF($A989="","",DATE(YEAR($A989),MONTH($A989),1))</f>
        <v/>
      </c>
    </row>
    <row r="990">
      <c r="A990" s="93" t="n"/>
      <c r="B990" s="94" t="n"/>
      <c r="C990" s="94" t="n"/>
      <c r="D990" s="95" t="n"/>
      <c r="E990" s="95" t="n"/>
      <c r="F990" s="95" t="n"/>
      <c r="G990" s="95" t="n"/>
      <c r="H990" s="96" t="n"/>
      <c r="I990" s="89">
        <f>IF($G990="","",IF($F990="",IFERROR(INDEX(Setup!$C$21:$C$60,MATCH("|"&amp;UPPER(TRIM($G990)),Setup!$Q$21:$Q$60,0)),"NO RATE"),IFERROR(INDEX(Setup!$C$21:$C$60,MATCH(UPPER(TRIM($F990))&amp;"|"&amp;UPPER(TRIM($G990)),Setup!$P$21:$P$60,0)),IFERROR(INDEX(Setup!$C$21:$C$60,MATCH(UPPER(TRIM($G990))&amp;"|"&amp;UPPER(TRIM($F990)),Setup!$P$21:$P$60,0)),"NO RATE"))))</f>
        <v/>
      </c>
      <c r="J990" s="97" t="n"/>
      <c r="K990" s="89">
        <f>IF(OR($G990="",$H990="",NOT(ISNUMBER($I990))),"",ROUND($H990*$I990*(1+IF($J990="",Setup!$B$16,$J990)),2))</f>
        <v/>
      </c>
      <c r="L990" s="89">
        <f>IF($K990="","",ROUND($K990*Setup!$B$13,2))</f>
        <v/>
      </c>
      <c r="M990" s="89">
        <f>IF($K990="","",$K990-$L990)</f>
        <v/>
      </c>
      <c r="N990" s="89">
        <f>IF(OR($M990="",$D990=""),"",ROUND($M990*IFERROR(IF(VLOOKUP($D990,Setup!$A$76:$C$87,3,FALSE)="",Setup!$B$14,VLOOKUP($D990,Setup!$A$76:$C$87,3,FALSE)),Setup!$B$14),2))</f>
        <v/>
      </c>
      <c r="O990" s="89">
        <f>IF(OR($M990="",$E990=""),"",ROUND($M990*IFERROR(IF(VLOOKUP($E990,Setup!$A$76:$C$87,3,FALSE)="",Setup!$B$15,VLOOKUP($E990,Setup!$A$76:$C$87,3,FALSE)),Setup!$B$15),2))</f>
        <v/>
      </c>
      <c r="P990" s="98" t="n"/>
      <c r="Q990" s="98" t="n"/>
      <c r="R990" s="98" t="n"/>
      <c r="S990" s="98" t="n"/>
      <c r="T990" s="98" t="n"/>
      <c r="U990" s="89">
        <f>IF($K990="","",SUM($R990:$T990))</f>
        <v/>
      </c>
      <c r="V990" s="89">
        <f>IF($K990="","",$M990-(N($N990)+N($O990)+IF($P990="",Setup!$B$17,$P990)+N($Q990))-N($U990))</f>
        <v/>
      </c>
      <c r="W990" s="94" t="n"/>
      <c r="X990" s="95" t="n"/>
      <c r="Z990" s="92">
        <f>IF($A990="","",DATE(YEAR($A990),MONTH($A990),1))</f>
        <v/>
      </c>
    </row>
    <row r="991">
      <c r="A991" s="85" t="n"/>
      <c r="B991" s="86" t="n"/>
      <c r="C991" s="86" t="n"/>
      <c r="D991" s="87" t="n"/>
      <c r="E991" s="87" t="n"/>
      <c r="F991" s="87" t="n"/>
      <c r="G991" s="87" t="n"/>
      <c r="H991" s="88" t="n"/>
      <c r="I991" s="89">
        <f>IF($G991="","",IF($F991="",IFERROR(INDEX(Setup!$C$21:$C$60,MATCH("|"&amp;UPPER(TRIM($G991)),Setup!$Q$21:$Q$60,0)),"NO RATE"),IFERROR(INDEX(Setup!$C$21:$C$60,MATCH(UPPER(TRIM($F991))&amp;"|"&amp;UPPER(TRIM($G991)),Setup!$P$21:$P$60,0)),IFERROR(INDEX(Setup!$C$21:$C$60,MATCH(UPPER(TRIM($G991))&amp;"|"&amp;UPPER(TRIM($F991)),Setup!$P$21:$P$60,0)),"NO RATE"))))</f>
        <v/>
      </c>
      <c r="J991" s="90" t="n"/>
      <c r="K991" s="89">
        <f>IF(OR($G991="",$H991="",NOT(ISNUMBER($I991))),"",ROUND($H991*$I991*(1+IF($J991="",Setup!$B$16,$J991)),2))</f>
        <v/>
      </c>
      <c r="L991" s="89">
        <f>IF($K991="","",ROUND($K991*Setup!$B$13,2))</f>
        <v/>
      </c>
      <c r="M991" s="89">
        <f>IF($K991="","",$K991-$L991)</f>
        <v/>
      </c>
      <c r="N991" s="89">
        <f>IF(OR($M991="",$D991=""),"",ROUND($M991*IFERROR(IF(VLOOKUP($D991,Setup!$A$76:$C$87,3,FALSE)="",Setup!$B$14,VLOOKUP($D991,Setup!$A$76:$C$87,3,FALSE)),Setup!$B$14),2))</f>
        <v/>
      </c>
      <c r="O991" s="89">
        <f>IF(OR($M991="",$E991=""),"",ROUND($M991*IFERROR(IF(VLOOKUP($E991,Setup!$A$76:$C$87,3,FALSE)="",Setup!$B$15,VLOOKUP($E991,Setup!$A$76:$C$87,3,FALSE)),Setup!$B$15),2))</f>
        <v/>
      </c>
      <c r="P991" s="91" t="n"/>
      <c r="Q991" s="91" t="n"/>
      <c r="R991" s="91" t="n"/>
      <c r="S991" s="91" t="n"/>
      <c r="T991" s="91" t="n"/>
      <c r="U991" s="89">
        <f>IF($K991="","",SUM($R991:$T991))</f>
        <v/>
      </c>
      <c r="V991" s="89">
        <f>IF($K991="","",$M991-(N($N991)+N($O991)+IF($P991="",Setup!$B$17,$P991)+N($Q991))-N($U991))</f>
        <v/>
      </c>
      <c r="W991" s="86" t="n"/>
      <c r="X991" s="87" t="n"/>
      <c r="Z991" s="92">
        <f>IF($A991="","",DATE(YEAR($A991),MONTH($A991),1))</f>
        <v/>
      </c>
    </row>
    <row r="992">
      <c r="A992" s="93" t="n"/>
      <c r="B992" s="94" t="n"/>
      <c r="C992" s="94" t="n"/>
      <c r="D992" s="95" t="n"/>
      <c r="E992" s="95" t="n"/>
      <c r="F992" s="95" t="n"/>
      <c r="G992" s="95" t="n"/>
      <c r="H992" s="96" t="n"/>
      <c r="I992" s="89">
        <f>IF($G992="","",IF($F992="",IFERROR(INDEX(Setup!$C$21:$C$60,MATCH("|"&amp;UPPER(TRIM($G992)),Setup!$Q$21:$Q$60,0)),"NO RATE"),IFERROR(INDEX(Setup!$C$21:$C$60,MATCH(UPPER(TRIM($F992))&amp;"|"&amp;UPPER(TRIM($G992)),Setup!$P$21:$P$60,0)),IFERROR(INDEX(Setup!$C$21:$C$60,MATCH(UPPER(TRIM($G992))&amp;"|"&amp;UPPER(TRIM($F992)),Setup!$P$21:$P$60,0)),"NO RATE"))))</f>
        <v/>
      </c>
      <c r="J992" s="97" t="n"/>
      <c r="K992" s="89">
        <f>IF(OR($G992="",$H992="",NOT(ISNUMBER($I992))),"",ROUND($H992*$I992*(1+IF($J992="",Setup!$B$16,$J992)),2))</f>
        <v/>
      </c>
      <c r="L992" s="89">
        <f>IF($K992="","",ROUND($K992*Setup!$B$13,2))</f>
        <v/>
      </c>
      <c r="M992" s="89">
        <f>IF($K992="","",$K992-$L992)</f>
        <v/>
      </c>
      <c r="N992" s="89">
        <f>IF(OR($M992="",$D992=""),"",ROUND($M992*IFERROR(IF(VLOOKUP($D992,Setup!$A$76:$C$87,3,FALSE)="",Setup!$B$14,VLOOKUP($D992,Setup!$A$76:$C$87,3,FALSE)),Setup!$B$14),2))</f>
        <v/>
      </c>
      <c r="O992" s="89">
        <f>IF(OR($M992="",$E992=""),"",ROUND($M992*IFERROR(IF(VLOOKUP($E992,Setup!$A$76:$C$87,3,FALSE)="",Setup!$B$15,VLOOKUP($E992,Setup!$A$76:$C$87,3,FALSE)),Setup!$B$15),2))</f>
        <v/>
      </c>
      <c r="P992" s="98" t="n"/>
      <c r="Q992" s="98" t="n"/>
      <c r="R992" s="98" t="n"/>
      <c r="S992" s="98" t="n"/>
      <c r="T992" s="98" t="n"/>
      <c r="U992" s="89">
        <f>IF($K992="","",SUM($R992:$T992))</f>
        <v/>
      </c>
      <c r="V992" s="89">
        <f>IF($K992="","",$M992-(N($N992)+N($O992)+IF($P992="",Setup!$B$17,$P992)+N($Q992))-N($U992))</f>
        <v/>
      </c>
      <c r="W992" s="94" t="n"/>
      <c r="X992" s="95" t="n"/>
      <c r="Z992" s="92">
        <f>IF($A992="","",DATE(YEAR($A992),MONTH($A992),1))</f>
        <v/>
      </c>
    </row>
    <row r="993">
      <c r="A993" s="85" t="n"/>
      <c r="B993" s="86" t="n"/>
      <c r="C993" s="86" t="n"/>
      <c r="D993" s="87" t="n"/>
      <c r="E993" s="87" t="n"/>
      <c r="F993" s="87" t="n"/>
      <c r="G993" s="87" t="n"/>
      <c r="H993" s="88" t="n"/>
      <c r="I993" s="89">
        <f>IF($G993="","",IF($F993="",IFERROR(INDEX(Setup!$C$21:$C$60,MATCH("|"&amp;UPPER(TRIM($G993)),Setup!$Q$21:$Q$60,0)),"NO RATE"),IFERROR(INDEX(Setup!$C$21:$C$60,MATCH(UPPER(TRIM($F993))&amp;"|"&amp;UPPER(TRIM($G993)),Setup!$P$21:$P$60,0)),IFERROR(INDEX(Setup!$C$21:$C$60,MATCH(UPPER(TRIM($G993))&amp;"|"&amp;UPPER(TRIM($F993)),Setup!$P$21:$P$60,0)),"NO RATE"))))</f>
        <v/>
      </c>
      <c r="J993" s="90" t="n"/>
      <c r="K993" s="89">
        <f>IF(OR($G993="",$H993="",NOT(ISNUMBER($I993))),"",ROUND($H993*$I993*(1+IF($J993="",Setup!$B$16,$J993)),2))</f>
        <v/>
      </c>
      <c r="L993" s="89">
        <f>IF($K993="","",ROUND($K993*Setup!$B$13,2))</f>
        <v/>
      </c>
      <c r="M993" s="89">
        <f>IF($K993="","",$K993-$L993)</f>
        <v/>
      </c>
      <c r="N993" s="89">
        <f>IF(OR($M993="",$D993=""),"",ROUND($M993*IFERROR(IF(VLOOKUP($D993,Setup!$A$76:$C$87,3,FALSE)="",Setup!$B$14,VLOOKUP($D993,Setup!$A$76:$C$87,3,FALSE)),Setup!$B$14),2))</f>
        <v/>
      </c>
      <c r="O993" s="89">
        <f>IF(OR($M993="",$E993=""),"",ROUND($M993*IFERROR(IF(VLOOKUP($E993,Setup!$A$76:$C$87,3,FALSE)="",Setup!$B$15,VLOOKUP($E993,Setup!$A$76:$C$87,3,FALSE)),Setup!$B$15),2))</f>
        <v/>
      </c>
      <c r="P993" s="91" t="n"/>
      <c r="Q993" s="91" t="n"/>
      <c r="R993" s="91" t="n"/>
      <c r="S993" s="91" t="n"/>
      <c r="T993" s="91" t="n"/>
      <c r="U993" s="89">
        <f>IF($K993="","",SUM($R993:$T993))</f>
        <v/>
      </c>
      <c r="V993" s="89">
        <f>IF($K993="","",$M993-(N($N993)+N($O993)+IF($P993="",Setup!$B$17,$P993)+N($Q993))-N($U993))</f>
        <v/>
      </c>
      <c r="W993" s="86" t="n"/>
      <c r="X993" s="87" t="n"/>
      <c r="Z993" s="92">
        <f>IF($A993="","",DATE(YEAR($A993),MONTH($A993),1))</f>
        <v/>
      </c>
    </row>
    <row r="994">
      <c r="A994" s="93" t="n"/>
      <c r="B994" s="94" t="n"/>
      <c r="C994" s="94" t="n"/>
      <c r="D994" s="95" t="n"/>
      <c r="E994" s="95" t="n"/>
      <c r="F994" s="95" t="n"/>
      <c r="G994" s="95" t="n"/>
      <c r="H994" s="96" t="n"/>
      <c r="I994" s="89">
        <f>IF($G994="","",IF($F994="",IFERROR(INDEX(Setup!$C$21:$C$60,MATCH("|"&amp;UPPER(TRIM($G994)),Setup!$Q$21:$Q$60,0)),"NO RATE"),IFERROR(INDEX(Setup!$C$21:$C$60,MATCH(UPPER(TRIM($F994))&amp;"|"&amp;UPPER(TRIM($G994)),Setup!$P$21:$P$60,0)),IFERROR(INDEX(Setup!$C$21:$C$60,MATCH(UPPER(TRIM($G994))&amp;"|"&amp;UPPER(TRIM($F994)),Setup!$P$21:$P$60,0)),"NO RATE"))))</f>
        <v/>
      </c>
      <c r="J994" s="97" t="n"/>
      <c r="K994" s="89">
        <f>IF(OR($G994="",$H994="",NOT(ISNUMBER($I994))),"",ROUND($H994*$I994*(1+IF($J994="",Setup!$B$16,$J994)),2))</f>
        <v/>
      </c>
      <c r="L994" s="89">
        <f>IF($K994="","",ROUND($K994*Setup!$B$13,2))</f>
        <v/>
      </c>
      <c r="M994" s="89">
        <f>IF($K994="","",$K994-$L994)</f>
        <v/>
      </c>
      <c r="N994" s="89">
        <f>IF(OR($M994="",$D994=""),"",ROUND($M994*IFERROR(IF(VLOOKUP($D994,Setup!$A$76:$C$87,3,FALSE)="",Setup!$B$14,VLOOKUP($D994,Setup!$A$76:$C$87,3,FALSE)),Setup!$B$14),2))</f>
        <v/>
      </c>
      <c r="O994" s="89">
        <f>IF(OR($M994="",$E994=""),"",ROUND($M994*IFERROR(IF(VLOOKUP($E994,Setup!$A$76:$C$87,3,FALSE)="",Setup!$B$15,VLOOKUP($E994,Setup!$A$76:$C$87,3,FALSE)),Setup!$B$15),2))</f>
        <v/>
      </c>
      <c r="P994" s="98" t="n"/>
      <c r="Q994" s="98" t="n"/>
      <c r="R994" s="98" t="n"/>
      <c r="S994" s="98" t="n"/>
      <c r="T994" s="98" t="n"/>
      <c r="U994" s="89">
        <f>IF($K994="","",SUM($R994:$T994))</f>
        <v/>
      </c>
      <c r="V994" s="89">
        <f>IF($K994="","",$M994-(N($N994)+N($O994)+IF($P994="",Setup!$B$17,$P994)+N($Q994))-N($U994))</f>
        <v/>
      </c>
      <c r="W994" s="94" t="n"/>
      <c r="X994" s="95" t="n"/>
      <c r="Z994" s="92">
        <f>IF($A994="","",DATE(YEAR($A994),MONTH($A994),1))</f>
        <v/>
      </c>
    </row>
    <row r="995">
      <c r="A995" s="85" t="n"/>
      <c r="B995" s="86" t="n"/>
      <c r="C995" s="86" t="n"/>
      <c r="D995" s="87" t="n"/>
      <c r="E995" s="87" t="n"/>
      <c r="F995" s="87" t="n"/>
      <c r="G995" s="87" t="n"/>
      <c r="H995" s="88" t="n"/>
      <c r="I995" s="89">
        <f>IF($G995="","",IF($F995="",IFERROR(INDEX(Setup!$C$21:$C$60,MATCH("|"&amp;UPPER(TRIM($G995)),Setup!$Q$21:$Q$60,0)),"NO RATE"),IFERROR(INDEX(Setup!$C$21:$C$60,MATCH(UPPER(TRIM($F995))&amp;"|"&amp;UPPER(TRIM($G995)),Setup!$P$21:$P$60,0)),IFERROR(INDEX(Setup!$C$21:$C$60,MATCH(UPPER(TRIM($G995))&amp;"|"&amp;UPPER(TRIM($F995)),Setup!$P$21:$P$60,0)),"NO RATE"))))</f>
        <v/>
      </c>
      <c r="J995" s="90" t="n"/>
      <c r="K995" s="89">
        <f>IF(OR($G995="",$H995="",NOT(ISNUMBER($I995))),"",ROUND($H995*$I995*(1+IF($J995="",Setup!$B$16,$J995)),2))</f>
        <v/>
      </c>
      <c r="L995" s="89">
        <f>IF($K995="","",ROUND($K995*Setup!$B$13,2))</f>
        <v/>
      </c>
      <c r="M995" s="89">
        <f>IF($K995="","",$K995-$L995)</f>
        <v/>
      </c>
      <c r="N995" s="89">
        <f>IF(OR($M995="",$D995=""),"",ROUND($M995*IFERROR(IF(VLOOKUP($D995,Setup!$A$76:$C$87,3,FALSE)="",Setup!$B$14,VLOOKUP($D995,Setup!$A$76:$C$87,3,FALSE)),Setup!$B$14),2))</f>
        <v/>
      </c>
      <c r="O995" s="89">
        <f>IF(OR($M995="",$E995=""),"",ROUND($M995*IFERROR(IF(VLOOKUP($E995,Setup!$A$76:$C$87,3,FALSE)="",Setup!$B$15,VLOOKUP($E995,Setup!$A$76:$C$87,3,FALSE)),Setup!$B$15),2))</f>
        <v/>
      </c>
      <c r="P995" s="91" t="n"/>
      <c r="Q995" s="91" t="n"/>
      <c r="R995" s="91" t="n"/>
      <c r="S995" s="91" t="n"/>
      <c r="T995" s="91" t="n"/>
      <c r="U995" s="89">
        <f>IF($K995="","",SUM($R995:$T995))</f>
        <v/>
      </c>
      <c r="V995" s="89">
        <f>IF($K995="","",$M995-(N($N995)+N($O995)+IF($P995="",Setup!$B$17,$P995)+N($Q995))-N($U995))</f>
        <v/>
      </c>
      <c r="W995" s="86" t="n"/>
      <c r="X995" s="87" t="n"/>
      <c r="Z995" s="92">
        <f>IF($A995="","",DATE(YEAR($A995),MONTH($A995),1))</f>
        <v/>
      </c>
    </row>
    <row r="996">
      <c r="A996" s="93" t="n"/>
      <c r="B996" s="94" t="n"/>
      <c r="C996" s="94" t="n"/>
      <c r="D996" s="95" t="n"/>
      <c r="E996" s="95" t="n"/>
      <c r="F996" s="95" t="n"/>
      <c r="G996" s="95" t="n"/>
      <c r="H996" s="96" t="n"/>
      <c r="I996" s="89">
        <f>IF($G996="","",IF($F996="",IFERROR(INDEX(Setup!$C$21:$C$60,MATCH("|"&amp;UPPER(TRIM($G996)),Setup!$Q$21:$Q$60,0)),"NO RATE"),IFERROR(INDEX(Setup!$C$21:$C$60,MATCH(UPPER(TRIM($F996))&amp;"|"&amp;UPPER(TRIM($G996)),Setup!$P$21:$P$60,0)),IFERROR(INDEX(Setup!$C$21:$C$60,MATCH(UPPER(TRIM($G996))&amp;"|"&amp;UPPER(TRIM($F996)),Setup!$P$21:$P$60,0)),"NO RATE"))))</f>
        <v/>
      </c>
      <c r="J996" s="97" t="n"/>
      <c r="K996" s="89">
        <f>IF(OR($G996="",$H996="",NOT(ISNUMBER($I996))),"",ROUND($H996*$I996*(1+IF($J996="",Setup!$B$16,$J996)),2))</f>
        <v/>
      </c>
      <c r="L996" s="89">
        <f>IF($K996="","",ROUND($K996*Setup!$B$13,2))</f>
        <v/>
      </c>
      <c r="M996" s="89">
        <f>IF($K996="","",$K996-$L996)</f>
        <v/>
      </c>
      <c r="N996" s="89">
        <f>IF(OR($M996="",$D996=""),"",ROUND($M996*IFERROR(IF(VLOOKUP($D996,Setup!$A$76:$C$87,3,FALSE)="",Setup!$B$14,VLOOKUP($D996,Setup!$A$76:$C$87,3,FALSE)),Setup!$B$14),2))</f>
        <v/>
      </c>
      <c r="O996" s="89">
        <f>IF(OR($M996="",$E996=""),"",ROUND($M996*IFERROR(IF(VLOOKUP($E996,Setup!$A$76:$C$87,3,FALSE)="",Setup!$B$15,VLOOKUP($E996,Setup!$A$76:$C$87,3,FALSE)),Setup!$B$15),2))</f>
        <v/>
      </c>
      <c r="P996" s="98" t="n"/>
      <c r="Q996" s="98" t="n"/>
      <c r="R996" s="98" t="n"/>
      <c r="S996" s="98" t="n"/>
      <c r="T996" s="98" t="n"/>
      <c r="U996" s="89">
        <f>IF($K996="","",SUM($R996:$T996))</f>
        <v/>
      </c>
      <c r="V996" s="89">
        <f>IF($K996="","",$M996-(N($N996)+N($O996)+IF($P996="",Setup!$B$17,$P996)+N($Q996))-N($U996))</f>
        <v/>
      </c>
      <c r="W996" s="94" t="n"/>
      <c r="X996" s="95" t="n"/>
      <c r="Z996" s="92">
        <f>IF($A996="","",DATE(YEAR($A996),MONTH($A996),1))</f>
        <v/>
      </c>
    </row>
    <row r="997">
      <c r="A997" s="85" t="n"/>
      <c r="B997" s="86" t="n"/>
      <c r="C997" s="86" t="n"/>
      <c r="D997" s="87" t="n"/>
      <c r="E997" s="87" t="n"/>
      <c r="F997" s="87" t="n"/>
      <c r="G997" s="87" t="n"/>
      <c r="H997" s="88" t="n"/>
      <c r="I997" s="89">
        <f>IF($G997="","",IF($F997="",IFERROR(INDEX(Setup!$C$21:$C$60,MATCH("|"&amp;UPPER(TRIM($G997)),Setup!$Q$21:$Q$60,0)),"NO RATE"),IFERROR(INDEX(Setup!$C$21:$C$60,MATCH(UPPER(TRIM($F997))&amp;"|"&amp;UPPER(TRIM($G997)),Setup!$P$21:$P$60,0)),IFERROR(INDEX(Setup!$C$21:$C$60,MATCH(UPPER(TRIM($G997))&amp;"|"&amp;UPPER(TRIM($F997)),Setup!$P$21:$P$60,0)),"NO RATE"))))</f>
        <v/>
      </c>
      <c r="J997" s="90" t="n"/>
      <c r="K997" s="89">
        <f>IF(OR($G997="",$H997="",NOT(ISNUMBER($I997))),"",ROUND($H997*$I997*(1+IF($J997="",Setup!$B$16,$J997)),2))</f>
        <v/>
      </c>
      <c r="L997" s="89">
        <f>IF($K997="","",ROUND($K997*Setup!$B$13,2))</f>
        <v/>
      </c>
      <c r="M997" s="89">
        <f>IF($K997="","",$K997-$L997)</f>
        <v/>
      </c>
      <c r="N997" s="89">
        <f>IF(OR($M997="",$D997=""),"",ROUND($M997*IFERROR(IF(VLOOKUP($D997,Setup!$A$76:$C$87,3,FALSE)="",Setup!$B$14,VLOOKUP($D997,Setup!$A$76:$C$87,3,FALSE)),Setup!$B$14),2))</f>
        <v/>
      </c>
      <c r="O997" s="89">
        <f>IF(OR($M997="",$E997=""),"",ROUND($M997*IFERROR(IF(VLOOKUP($E997,Setup!$A$76:$C$87,3,FALSE)="",Setup!$B$15,VLOOKUP($E997,Setup!$A$76:$C$87,3,FALSE)),Setup!$B$15),2))</f>
        <v/>
      </c>
      <c r="P997" s="91" t="n"/>
      <c r="Q997" s="91" t="n"/>
      <c r="R997" s="91" t="n"/>
      <c r="S997" s="91" t="n"/>
      <c r="T997" s="91" t="n"/>
      <c r="U997" s="89">
        <f>IF($K997="","",SUM($R997:$T997))</f>
        <v/>
      </c>
      <c r="V997" s="89">
        <f>IF($K997="","",$M997-(N($N997)+N($O997)+IF($P997="",Setup!$B$17,$P997)+N($Q997))-N($U997))</f>
        <v/>
      </c>
      <c r="W997" s="86" t="n"/>
      <c r="X997" s="87" t="n"/>
      <c r="Z997" s="92">
        <f>IF($A997="","",DATE(YEAR($A997),MONTH($A997),1))</f>
        <v/>
      </c>
    </row>
    <row r="998">
      <c r="A998" s="93" t="n"/>
      <c r="B998" s="94" t="n"/>
      <c r="C998" s="94" t="n"/>
      <c r="D998" s="95" t="n"/>
      <c r="E998" s="95" t="n"/>
      <c r="F998" s="95" t="n"/>
      <c r="G998" s="95" t="n"/>
      <c r="H998" s="96" t="n"/>
      <c r="I998" s="89">
        <f>IF($G998="","",IF($F998="",IFERROR(INDEX(Setup!$C$21:$C$60,MATCH("|"&amp;UPPER(TRIM($G998)),Setup!$Q$21:$Q$60,0)),"NO RATE"),IFERROR(INDEX(Setup!$C$21:$C$60,MATCH(UPPER(TRIM($F998))&amp;"|"&amp;UPPER(TRIM($G998)),Setup!$P$21:$P$60,0)),IFERROR(INDEX(Setup!$C$21:$C$60,MATCH(UPPER(TRIM($G998))&amp;"|"&amp;UPPER(TRIM($F998)),Setup!$P$21:$P$60,0)),"NO RATE"))))</f>
        <v/>
      </c>
      <c r="J998" s="97" t="n"/>
      <c r="K998" s="89">
        <f>IF(OR($G998="",$H998="",NOT(ISNUMBER($I998))),"",ROUND($H998*$I998*(1+IF($J998="",Setup!$B$16,$J998)),2))</f>
        <v/>
      </c>
      <c r="L998" s="89">
        <f>IF($K998="","",ROUND($K998*Setup!$B$13,2))</f>
        <v/>
      </c>
      <c r="M998" s="89">
        <f>IF($K998="","",$K998-$L998)</f>
        <v/>
      </c>
      <c r="N998" s="89">
        <f>IF(OR($M998="",$D998=""),"",ROUND($M998*IFERROR(IF(VLOOKUP($D998,Setup!$A$76:$C$87,3,FALSE)="",Setup!$B$14,VLOOKUP($D998,Setup!$A$76:$C$87,3,FALSE)),Setup!$B$14),2))</f>
        <v/>
      </c>
      <c r="O998" s="89">
        <f>IF(OR($M998="",$E998=""),"",ROUND($M998*IFERROR(IF(VLOOKUP($E998,Setup!$A$76:$C$87,3,FALSE)="",Setup!$B$15,VLOOKUP($E998,Setup!$A$76:$C$87,3,FALSE)),Setup!$B$15),2))</f>
        <v/>
      </c>
      <c r="P998" s="98" t="n"/>
      <c r="Q998" s="98" t="n"/>
      <c r="R998" s="98" t="n"/>
      <c r="S998" s="98" t="n"/>
      <c r="T998" s="98" t="n"/>
      <c r="U998" s="89">
        <f>IF($K998="","",SUM($R998:$T998))</f>
        <v/>
      </c>
      <c r="V998" s="89">
        <f>IF($K998="","",$M998-(N($N998)+N($O998)+IF($P998="",Setup!$B$17,$P998)+N($Q998))-N($U998))</f>
        <v/>
      </c>
      <c r="W998" s="94" t="n"/>
      <c r="X998" s="95" t="n"/>
      <c r="Z998" s="92">
        <f>IF($A998="","",DATE(YEAR($A998),MONTH($A998),1))</f>
        <v/>
      </c>
    </row>
    <row r="999">
      <c r="A999" s="85" t="n"/>
      <c r="B999" s="86" t="n"/>
      <c r="C999" s="86" t="n"/>
      <c r="D999" s="87" t="n"/>
      <c r="E999" s="87" t="n"/>
      <c r="F999" s="87" t="n"/>
      <c r="G999" s="87" t="n"/>
      <c r="H999" s="88" t="n"/>
      <c r="I999" s="89">
        <f>IF($G999="","",IF($F999="",IFERROR(INDEX(Setup!$C$21:$C$60,MATCH("|"&amp;UPPER(TRIM($G999)),Setup!$Q$21:$Q$60,0)),"NO RATE"),IFERROR(INDEX(Setup!$C$21:$C$60,MATCH(UPPER(TRIM($F999))&amp;"|"&amp;UPPER(TRIM($G999)),Setup!$P$21:$P$60,0)),IFERROR(INDEX(Setup!$C$21:$C$60,MATCH(UPPER(TRIM($G999))&amp;"|"&amp;UPPER(TRIM($F999)),Setup!$P$21:$P$60,0)),"NO RATE"))))</f>
        <v/>
      </c>
      <c r="J999" s="90" t="n"/>
      <c r="K999" s="89">
        <f>IF(OR($G999="",$H999="",NOT(ISNUMBER($I999))),"",ROUND($H999*$I999*(1+IF($J999="",Setup!$B$16,$J999)),2))</f>
        <v/>
      </c>
      <c r="L999" s="89">
        <f>IF($K999="","",ROUND($K999*Setup!$B$13,2))</f>
        <v/>
      </c>
      <c r="M999" s="89">
        <f>IF($K999="","",$K999-$L999)</f>
        <v/>
      </c>
      <c r="N999" s="89">
        <f>IF(OR($M999="",$D999=""),"",ROUND($M999*IFERROR(IF(VLOOKUP($D999,Setup!$A$76:$C$87,3,FALSE)="",Setup!$B$14,VLOOKUP($D999,Setup!$A$76:$C$87,3,FALSE)),Setup!$B$14),2))</f>
        <v/>
      </c>
      <c r="O999" s="89">
        <f>IF(OR($M999="",$E999=""),"",ROUND($M999*IFERROR(IF(VLOOKUP($E999,Setup!$A$76:$C$87,3,FALSE)="",Setup!$B$15,VLOOKUP($E999,Setup!$A$76:$C$87,3,FALSE)),Setup!$B$15),2))</f>
        <v/>
      </c>
      <c r="P999" s="91" t="n"/>
      <c r="Q999" s="91" t="n"/>
      <c r="R999" s="91" t="n"/>
      <c r="S999" s="91" t="n"/>
      <c r="T999" s="91" t="n"/>
      <c r="U999" s="89">
        <f>IF($K999="","",SUM($R999:$T999))</f>
        <v/>
      </c>
      <c r="V999" s="89">
        <f>IF($K999="","",$M999-(N($N999)+N($O999)+IF($P999="",Setup!$B$17,$P999)+N($Q999))-N($U999))</f>
        <v/>
      </c>
      <c r="W999" s="86" t="n"/>
      <c r="X999" s="87" t="n"/>
      <c r="Z999" s="92">
        <f>IF($A999="","",DATE(YEAR($A999),MONTH($A999),1))</f>
        <v/>
      </c>
    </row>
    <row r="1000">
      <c r="A1000" s="93" t="n"/>
      <c r="B1000" s="94" t="n"/>
      <c r="C1000" s="94" t="n"/>
      <c r="D1000" s="95" t="n"/>
      <c r="E1000" s="95" t="n"/>
      <c r="F1000" s="95" t="n"/>
      <c r="G1000" s="95" t="n"/>
      <c r="H1000" s="96" t="n"/>
      <c r="I1000" s="89">
        <f>IF($G1000="","",IF($F1000="",IFERROR(INDEX(Setup!$C$21:$C$60,MATCH("|"&amp;UPPER(TRIM($G1000)),Setup!$Q$21:$Q$60,0)),"NO RATE"),IFERROR(INDEX(Setup!$C$21:$C$60,MATCH(UPPER(TRIM($F1000))&amp;"|"&amp;UPPER(TRIM($G1000)),Setup!$P$21:$P$60,0)),IFERROR(INDEX(Setup!$C$21:$C$60,MATCH(UPPER(TRIM($G1000))&amp;"|"&amp;UPPER(TRIM($F1000)),Setup!$P$21:$P$60,0)),"NO RATE"))))</f>
        <v/>
      </c>
      <c r="J1000" s="97" t="n"/>
      <c r="K1000" s="89">
        <f>IF(OR($G1000="",$H1000="",NOT(ISNUMBER($I1000))),"",ROUND($H1000*$I1000*(1+IF($J1000="",Setup!$B$16,$J1000)),2))</f>
        <v/>
      </c>
      <c r="L1000" s="89">
        <f>IF($K1000="","",ROUND($K1000*Setup!$B$13,2))</f>
        <v/>
      </c>
      <c r="M1000" s="89">
        <f>IF($K1000="","",$K1000-$L1000)</f>
        <v/>
      </c>
      <c r="N1000" s="89">
        <f>IF(OR($M1000="",$D1000=""),"",ROUND($M1000*IFERROR(IF(VLOOKUP($D1000,Setup!$A$76:$C$87,3,FALSE)="",Setup!$B$14,VLOOKUP($D1000,Setup!$A$76:$C$87,3,FALSE)),Setup!$B$14),2))</f>
        <v/>
      </c>
      <c r="O1000" s="89">
        <f>IF(OR($M1000="",$E1000=""),"",ROUND($M1000*IFERROR(IF(VLOOKUP($E1000,Setup!$A$76:$C$87,3,FALSE)="",Setup!$B$15,VLOOKUP($E1000,Setup!$A$76:$C$87,3,FALSE)),Setup!$B$15),2))</f>
        <v/>
      </c>
      <c r="P1000" s="98" t="n"/>
      <c r="Q1000" s="98" t="n"/>
      <c r="R1000" s="98" t="n"/>
      <c r="S1000" s="98" t="n"/>
      <c r="T1000" s="98" t="n"/>
      <c r="U1000" s="89">
        <f>IF($K1000="","",SUM($R1000:$T1000))</f>
        <v/>
      </c>
      <c r="V1000" s="89">
        <f>IF($K1000="","",$M1000-(N($N1000)+N($O1000)+IF($P1000="",Setup!$B$17,$P1000)+N($Q1000))-N($U1000))</f>
        <v/>
      </c>
      <c r="W1000" s="94" t="n"/>
      <c r="X1000" s="95" t="n"/>
      <c r="Z1000" s="92">
        <f>IF($A1000="","",DATE(YEAR($A1000),MONTH($A1000),1))</f>
        <v/>
      </c>
    </row>
    <row r="1001">
      <c r="A1001" s="85" t="n"/>
      <c r="B1001" s="86" t="n"/>
      <c r="C1001" s="86" t="n"/>
      <c r="D1001" s="87" t="n"/>
      <c r="E1001" s="87" t="n"/>
      <c r="F1001" s="87" t="n"/>
      <c r="G1001" s="87" t="n"/>
      <c r="H1001" s="88" t="n"/>
      <c r="I1001" s="89">
        <f>IF($G1001="","",IF($F1001="",IFERROR(INDEX(Setup!$C$21:$C$60,MATCH("|"&amp;UPPER(TRIM($G1001)),Setup!$Q$21:$Q$60,0)),"NO RATE"),IFERROR(INDEX(Setup!$C$21:$C$60,MATCH(UPPER(TRIM($F1001))&amp;"|"&amp;UPPER(TRIM($G1001)),Setup!$P$21:$P$60,0)),IFERROR(INDEX(Setup!$C$21:$C$60,MATCH(UPPER(TRIM($G1001))&amp;"|"&amp;UPPER(TRIM($F1001)),Setup!$P$21:$P$60,0)),"NO RATE"))))</f>
        <v/>
      </c>
      <c r="J1001" s="90" t="n"/>
      <c r="K1001" s="89">
        <f>IF(OR($G1001="",$H1001="",NOT(ISNUMBER($I1001))),"",ROUND($H1001*$I1001*(1+IF($J1001="",Setup!$B$16,$J1001)),2))</f>
        <v/>
      </c>
      <c r="L1001" s="89">
        <f>IF($K1001="","",ROUND($K1001*Setup!$B$13,2))</f>
        <v/>
      </c>
      <c r="M1001" s="89">
        <f>IF($K1001="","",$K1001-$L1001)</f>
        <v/>
      </c>
      <c r="N1001" s="89">
        <f>IF(OR($M1001="",$D1001=""),"",ROUND($M1001*IFERROR(IF(VLOOKUP($D1001,Setup!$A$76:$C$87,3,FALSE)="",Setup!$B$14,VLOOKUP($D1001,Setup!$A$76:$C$87,3,FALSE)),Setup!$B$14),2))</f>
        <v/>
      </c>
      <c r="O1001" s="89">
        <f>IF(OR($M1001="",$E1001=""),"",ROUND($M1001*IFERROR(IF(VLOOKUP($E1001,Setup!$A$76:$C$87,3,FALSE)="",Setup!$B$15,VLOOKUP($E1001,Setup!$A$76:$C$87,3,FALSE)),Setup!$B$15),2))</f>
        <v/>
      </c>
      <c r="P1001" s="91" t="n"/>
      <c r="Q1001" s="91" t="n"/>
      <c r="R1001" s="91" t="n"/>
      <c r="S1001" s="91" t="n"/>
      <c r="T1001" s="91" t="n"/>
      <c r="U1001" s="89">
        <f>IF($K1001="","",SUM($R1001:$T1001))</f>
        <v/>
      </c>
      <c r="V1001" s="89">
        <f>IF($K1001="","",$M1001-(N($N1001)+N($O1001)+IF($P1001="",Setup!$B$17,$P1001)+N($Q1001))-N($U1001))</f>
        <v/>
      </c>
      <c r="W1001" s="86" t="n"/>
      <c r="X1001" s="87" t="n"/>
      <c r="Z1001" s="92">
        <f>IF($A1001="","",DATE(YEAR($A1001),MONTH($A1001),1))</f>
        <v/>
      </c>
    </row>
    <row r="1002">
      <c r="A1002" s="93" t="n"/>
      <c r="B1002" s="94" t="n"/>
      <c r="C1002" s="94" t="n"/>
      <c r="D1002" s="95" t="n"/>
      <c r="E1002" s="95" t="n"/>
      <c r="F1002" s="95" t="n"/>
      <c r="G1002" s="95" t="n"/>
      <c r="H1002" s="96" t="n"/>
      <c r="I1002" s="89">
        <f>IF($G1002="","",IF($F1002="",IFERROR(INDEX(Setup!$C$21:$C$60,MATCH("|"&amp;UPPER(TRIM($G1002)),Setup!$Q$21:$Q$60,0)),"NO RATE"),IFERROR(INDEX(Setup!$C$21:$C$60,MATCH(UPPER(TRIM($F1002))&amp;"|"&amp;UPPER(TRIM($G1002)),Setup!$P$21:$P$60,0)),IFERROR(INDEX(Setup!$C$21:$C$60,MATCH(UPPER(TRIM($G1002))&amp;"|"&amp;UPPER(TRIM($F1002)),Setup!$P$21:$P$60,0)),"NO RATE"))))</f>
        <v/>
      </c>
      <c r="J1002" s="97" t="n"/>
      <c r="K1002" s="89">
        <f>IF(OR($G1002="",$H1002="",NOT(ISNUMBER($I1002))),"",ROUND($H1002*$I1002*(1+IF($J1002="",Setup!$B$16,$J1002)),2))</f>
        <v/>
      </c>
      <c r="L1002" s="89">
        <f>IF($K1002="","",ROUND($K1002*Setup!$B$13,2))</f>
        <v/>
      </c>
      <c r="M1002" s="89">
        <f>IF($K1002="","",$K1002-$L1002)</f>
        <v/>
      </c>
      <c r="N1002" s="89">
        <f>IF(OR($M1002="",$D1002=""),"",ROUND($M1002*IFERROR(IF(VLOOKUP($D1002,Setup!$A$76:$C$87,3,FALSE)="",Setup!$B$14,VLOOKUP($D1002,Setup!$A$76:$C$87,3,FALSE)),Setup!$B$14),2))</f>
        <v/>
      </c>
      <c r="O1002" s="89">
        <f>IF(OR($M1002="",$E1002=""),"",ROUND($M1002*IFERROR(IF(VLOOKUP($E1002,Setup!$A$76:$C$87,3,FALSE)="",Setup!$B$15,VLOOKUP($E1002,Setup!$A$76:$C$87,3,FALSE)),Setup!$B$15),2))</f>
        <v/>
      </c>
      <c r="P1002" s="98" t="n"/>
      <c r="Q1002" s="98" t="n"/>
      <c r="R1002" s="98" t="n"/>
      <c r="S1002" s="98" t="n"/>
      <c r="T1002" s="98" t="n"/>
      <c r="U1002" s="89">
        <f>IF($K1002="","",SUM($R1002:$T1002))</f>
        <v/>
      </c>
      <c r="V1002" s="89">
        <f>IF($K1002="","",$M1002-(N($N1002)+N($O1002)+IF($P1002="",Setup!$B$17,$P1002)+N($Q1002))-N($U1002))</f>
        <v/>
      </c>
      <c r="W1002" s="94" t="n"/>
      <c r="X1002" s="95" t="n"/>
      <c r="Z1002" s="92">
        <f>IF($A1002="","",DATE(YEAR($A1002),MONTH($A1002),1))</f>
        <v/>
      </c>
    </row>
    <row r="1003">
      <c r="A1003" s="85" t="n"/>
      <c r="B1003" s="86" t="n"/>
      <c r="C1003" s="86" t="n"/>
      <c r="D1003" s="87" t="n"/>
      <c r="E1003" s="87" t="n"/>
      <c r="F1003" s="87" t="n"/>
      <c r="G1003" s="87" t="n"/>
      <c r="H1003" s="88" t="n"/>
      <c r="I1003" s="89">
        <f>IF($G1003="","",IF($F1003="",IFERROR(INDEX(Setup!$C$21:$C$60,MATCH("|"&amp;UPPER(TRIM($G1003)),Setup!$Q$21:$Q$60,0)),"NO RATE"),IFERROR(INDEX(Setup!$C$21:$C$60,MATCH(UPPER(TRIM($F1003))&amp;"|"&amp;UPPER(TRIM($G1003)),Setup!$P$21:$P$60,0)),IFERROR(INDEX(Setup!$C$21:$C$60,MATCH(UPPER(TRIM($G1003))&amp;"|"&amp;UPPER(TRIM($F1003)),Setup!$P$21:$P$60,0)),"NO RATE"))))</f>
        <v/>
      </c>
      <c r="J1003" s="90" t="n"/>
      <c r="K1003" s="89">
        <f>IF(OR($G1003="",$H1003="",NOT(ISNUMBER($I1003))),"",ROUND($H1003*$I1003*(1+IF($J1003="",Setup!$B$16,$J1003)),2))</f>
        <v/>
      </c>
      <c r="L1003" s="89">
        <f>IF($K1003="","",ROUND($K1003*Setup!$B$13,2))</f>
        <v/>
      </c>
      <c r="M1003" s="89">
        <f>IF($K1003="","",$K1003-$L1003)</f>
        <v/>
      </c>
      <c r="N1003" s="89">
        <f>IF(OR($M1003="",$D1003=""),"",ROUND($M1003*IFERROR(IF(VLOOKUP($D1003,Setup!$A$76:$C$87,3,FALSE)="",Setup!$B$14,VLOOKUP($D1003,Setup!$A$76:$C$87,3,FALSE)),Setup!$B$14),2))</f>
        <v/>
      </c>
      <c r="O1003" s="89">
        <f>IF(OR($M1003="",$E1003=""),"",ROUND($M1003*IFERROR(IF(VLOOKUP($E1003,Setup!$A$76:$C$87,3,FALSE)="",Setup!$B$15,VLOOKUP($E1003,Setup!$A$76:$C$87,3,FALSE)),Setup!$B$15),2))</f>
        <v/>
      </c>
      <c r="P1003" s="91" t="n"/>
      <c r="Q1003" s="91" t="n"/>
      <c r="R1003" s="91" t="n"/>
      <c r="S1003" s="91" t="n"/>
      <c r="T1003" s="91" t="n"/>
      <c r="U1003" s="89">
        <f>IF($K1003="","",SUM($R1003:$T1003))</f>
        <v/>
      </c>
      <c r="V1003" s="89">
        <f>IF($K1003="","",$M1003-(N($N1003)+N($O1003)+IF($P1003="",Setup!$B$17,$P1003)+N($Q1003))-N($U1003))</f>
        <v/>
      </c>
      <c r="W1003" s="86" t="n"/>
      <c r="X1003" s="87" t="n"/>
      <c r="Z1003" s="92">
        <f>IF($A1003="","",DATE(YEAR($A1003),MONTH($A1003),1))</f>
        <v/>
      </c>
    </row>
    <row r="1004">
      <c r="A1004" s="93" t="n"/>
      <c r="B1004" s="94" t="n"/>
      <c r="C1004" s="94" t="n"/>
      <c r="D1004" s="95" t="n"/>
      <c r="E1004" s="95" t="n"/>
      <c r="F1004" s="95" t="n"/>
      <c r="G1004" s="95" t="n"/>
      <c r="H1004" s="96" t="n"/>
      <c r="I1004" s="89">
        <f>IF($G1004="","",IF($F1004="",IFERROR(INDEX(Setup!$C$21:$C$60,MATCH("|"&amp;UPPER(TRIM($G1004)),Setup!$Q$21:$Q$60,0)),"NO RATE"),IFERROR(INDEX(Setup!$C$21:$C$60,MATCH(UPPER(TRIM($F1004))&amp;"|"&amp;UPPER(TRIM($G1004)),Setup!$P$21:$P$60,0)),IFERROR(INDEX(Setup!$C$21:$C$60,MATCH(UPPER(TRIM($G1004))&amp;"|"&amp;UPPER(TRIM($F1004)),Setup!$P$21:$P$60,0)),"NO RATE"))))</f>
        <v/>
      </c>
      <c r="J1004" s="97" t="n"/>
      <c r="K1004" s="89">
        <f>IF(OR($G1004="",$H1004="",NOT(ISNUMBER($I1004))),"",ROUND($H1004*$I1004*(1+IF($J1004="",Setup!$B$16,$J1004)),2))</f>
        <v/>
      </c>
      <c r="L1004" s="89">
        <f>IF($K1004="","",ROUND($K1004*Setup!$B$13,2))</f>
        <v/>
      </c>
      <c r="M1004" s="89">
        <f>IF($K1004="","",$K1004-$L1004)</f>
        <v/>
      </c>
      <c r="N1004" s="89">
        <f>IF(OR($M1004="",$D1004=""),"",ROUND($M1004*IFERROR(IF(VLOOKUP($D1004,Setup!$A$76:$C$87,3,FALSE)="",Setup!$B$14,VLOOKUP($D1004,Setup!$A$76:$C$87,3,FALSE)),Setup!$B$14),2))</f>
        <v/>
      </c>
      <c r="O1004" s="89">
        <f>IF(OR($M1004="",$E1004=""),"",ROUND($M1004*IFERROR(IF(VLOOKUP($E1004,Setup!$A$76:$C$87,3,FALSE)="",Setup!$B$15,VLOOKUP($E1004,Setup!$A$76:$C$87,3,FALSE)),Setup!$B$15),2))</f>
        <v/>
      </c>
      <c r="P1004" s="98" t="n"/>
      <c r="Q1004" s="98" t="n"/>
      <c r="R1004" s="98" t="n"/>
      <c r="S1004" s="98" t="n"/>
      <c r="T1004" s="98" t="n"/>
      <c r="U1004" s="89">
        <f>IF($K1004="","",SUM($R1004:$T1004))</f>
        <v/>
      </c>
      <c r="V1004" s="89">
        <f>IF($K1004="","",$M1004-(N($N1004)+N($O1004)+IF($P1004="",Setup!$B$17,$P1004)+N($Q1004))-N($U1004))</f>
        <v/>
      </c>
      <c r="W1004" s="94" t="n"/>
      <c r="X1004" s="95" t="n"/>
      <c r="Z1004" s="92">
        <f>IF($A1004="","",DATE(YEAR($A1004),MONTH($A1004),1))</f>
        <v/>
      </c>
    </row>
  </sheetData>
  <autoFilter ref="A4:X1004"/>
  <mergeCells count="2">
    <mergeCell ref="A2:X2"/>
    <mergeCell ref="A1:X1"/>
  </mergeCells>
  <conditionalFormatting sqref="A5:A1004">
    <cfRule type="expression" priority="1" dxfId="4">
      <formula>AND($A5&lt;&gt;"",$A5&gt;TODAY())</formula>
    </cfRule>
  </conditionalFormatting>
  <conditionalFormatting sqref="V5:V1004">
    <cfRule type="cellIs" priority="2" operator="lessThan" dxfId="5">
      <formula>0</formula>
    </cfRule>
    <cfRule type="cellIs" priority="3" operator="greaterThanOrEqual" dxfId="6">
      <formula>0</formula>
    </cfRule>
  </conditionalFormatting>
  <conditionalFormatting sqref="I5:I1004">
    <cfRule type="expression" priority="4" dxfId="5">
      <formula>$I5="NO RATE"</formula>
    </cfRule>
  </conditionalFormatting>
  <conditionalFormatting sqref="W5:W1004">
    <cfRule type="expression" priority="5" dxfId="7">
      <formula>$W5="Unpaid"</formula>
    </cfRule>
    <cfRule type="expression" priority="6" dxfId="8">
      <formula>$W5="Paid"</formula>
    </cfRule>
  </conditionalFormatting>
  <dataValidations count="8">
    <dataValidation sqref="C5:C1004" showDropDown="0" showInputMessage="1" showErrorMessage="1" allowBlank="1" errorTitle="Truck" error="Pick a truck from the Setup sheet." promptTitle="Truck" prompt="Pick a truck from the Setup sheet." type="list" errorStyle="warning">
      <formula1>=Setup!$A$63:$A$72</formula1>
    </dataValidation>
    <dataValidation sqref="D5:D1004" showDropDown="0" showInputMessage="1" showErrorMessage="1" allowBlank="1" errorTitle="Driver" error="Pick a driver from Setup → CREW." promptTitle="Driver" prompt="Pick a driver from Setup → CREW." type="list" errorStyle="warning">
      <formula1>=Setup!$A$76:$A$87</formula1>
    </dataValidation>
    <dataValidation sqref="E5:E1004" showDropDown="0" showInputMessage="1" showErrorMessage="1" allowBlank="1" errorTitle="Helper" error="Pick a helper from Setup → CREW." promptTitle="Helper" prompt="Pick a helper from Setup → CREW." type="list" errorStyle="warning">
      <formula1>=Setup!$A$76:$A$87</formula1>
    </dataValidation>
    <dataValidation sqref="F5:F1004" showDropDown="0" showInputMessage="1" showErrorMessage="1" allowBlank="1" errorTitle="Source" error="Pick an origin from Setup → SOURCE list." promptTitle="Source" prompt="Pick an origin from Setup → SOURCE list." type="list" errorStyle="warning">
      <formula1>=Setup!$C$168:$C$171</formula1>
    </dataValidation>
    <dataValidation sqref="G5:G1004" showDropDown="0" showInputMessage="1" showErrorMessage="1" allowBlank="1" errorTitle="Destination" error="Pick a destination from the Setup rate table." promptTitle="Destination" prompt="Pick a destination from the Setup rate table." type="list" errorStyle="warning">
      <formula1>=Setup!$A$145:$A$164</formula1>
    </dataValidation>
    <dataValidation sqref="W5:W1004" showDropDown="0" showInputMessage="1" showErrorMessage="1" allowBlank="1" errorTitle="Billing" error="Paid / Unpaid / Partial" promptTitle="Billing" prompt="Paid / Unpaid / Partial" type="list" errorStyle="warning">
      <formula1>"Paid,Unpaid,Partial"</formula1>
    </dataValidation>
    <dataValidation sqref="H5:H1004" showDropDown="0" showInputMessage="1" showErrorMessage="1" allowBlank="1" errorTitle="Tons" error="Enter the weight in tons (numbers only)." promptTitle="Tons" prompt="Enter the weight in tons (numbers only)." type="decimal" errorStyle="warning" operator="greaterThanOrEqual">
      <formula1>0</formula1>
    </dataValidation>
    <dataValidation sqref="J5:J1004" showDropDown="0" showInputMessage="1" showErrorMessage="1" allowBlank="1" errorTitle="Fuel surcharge" error="Enter a rate such as 18% or 0.18." promptTitle="Fuel surcharge" prompt="Enter a rate such as 18% or 0.18." type="decimal" errorStyle="warning" operator="greaterThanOrEqual">
      <formula1>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B7791F"/>
    <outlinePr summaryBelow="1" summaryRight="1"/>
    <pageSetUpPr fitToPage="1"/>
  </sheetPr>
  <dimension ref="A1:J1004"/>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38" customWidth="1" min="3" max="3"/>
    <col width="12" customWidth="1" min="4" max="4"/>
    <col width="20" customWidth="1" min="5" max="5"/>
    <col width="13" customWidth="1" min="6" max="6"/>
    <col width="15" customWidth="1" min="7" max="7"/>
    <col width="11" customWidth="1" min="8" max="8"/>
    <col width="15" customWidth="1" min="9" max="9"/>
    <col hidden="1" width="1" customWidth="1" min="10" max="10"/>
  </cols>
  <sheetData>
    <row r="1" ht="40" customHeight="1">
      <c r="A1" s="77" t="inlineStr">
        <is>
          <t>🚚  EXPENSES  —  one row per receipt  (fuel, repairs, toll, loans, rent, cash advances)</t>
        </is>
      </c>
    </row>
    <row r="2" ht="20" customHeight="1">
      <c r="A2" s="78" t="inlineStr">
        <is>
          <t>Do NOT log crew pay here — the Payroll sheet computes it from Trips. Cash advances and payroll releases are logged here so the Payroll sheet can clear them.</t>
        </is>
      </c>
    </row>
    <row r="3" ht="18" customHeight="1">
      <c r="A3" s="79" t="inlineStr">
        <is>
          <t>ALL-TIME TOTALS  →</t>
        </is>
      </c>
      <c r="B3" s="80">
        <f>COUNT(5:1004)&amp;" entries logged"</f>
        <v/>
      </c>
      <c r="F3" s="82">
        <f>SUM(F5:F1004)</f>
        <v/>
      </c>
    </row>
    <row r="4" ht="38" customHeight="1">
      <c r="A4" s="99" t="inlineStr">
        <is>
          <t>DATE</t>
        </is>
      </c>
      <c r="B4" s="99" t="inlineStr">
        <is>
          <t>EXPENSE TYPE</t>
        </is>
      </c>
      <c r="C4" s="99" t="inlineStr">
        <is>
          <t>DESCRIPTION</t>
        </is>
      </c>
      <c r="D4" s="99" t="inlineStr">
        <is>
          <t>TRUCK</t>
        </is>
      </c>
      <c r="E4" s="99" t="inlineStr">
        <is>
          <t>PAID TO /
LENDER</t>
        </is>
      </c>
      <c r="F4" s="99" t="inlineStr">
        <is>
          <t>AMOUNT</t>
        </is>
      </c>
      <c r="G4" s="99" t="inlineStr">
        <is>
          <t>PAYMENT
METHOD</t>
        </is>
      </c>
      <c r="H4" s="99" t="inlineStr">
        <is>
          <t>RECEIPT?</t>
        </is>
      </c>
      <c r="I4" s="84" t="inlineStr">
        <is>
          <t>COST GROUP</t>
        </is>
      </c>
    </row>
    <row r="5">
      <c r="A5" s="85" t="n">
        <v>46239</v>
      </c>
      <c r="B5" s="87" t="inlineStr">
        <is>
          <t>Repairs &amp; Maintenance</t>
        </is>
      </c>
      <c r="C5" s="87" t="inlineStr">
        <is>
          <t>PMS + brake adjustment</t>
        </is>
      </c>
      <c r="D5" s="86" t="inlineStr">
        <is>
          <t>TRUCK 1</t>
        </is>
      </c>
      <c r="E5" s="87" t="inlineStr">
        <is>
          <t>Casa Mechanic</t>
        </is>
      </c>
      <c r="F5" s="91" t="n">
        <v>8500</v>
      </c>
      <c r="G5" s="86" t="inlineStr">
        <is>
          <t>Cash</t>
        </is>
      </c>
      <c r="H5" s="86" t="inlineStr">
        <is>
          <t>Y</t>
        </is>
      </c>
      <c r="I5" s="100">
        <f>IF($B5="","",IFERROR(INDEX(Setup!$B$99:$B$128,MATCH($B5,Setup!$A$99:$A$128,0)),"CHECK TYPE"))</f>
        <v/>
      </c>
      <c r="J5">
        <f>IF($A5="","",DATE(YEAR($A5),MONTH($A5),1))</f>
        <v/>
      </c>
    </row>
    <row r="6">
      <c r="A6" s="93" t="n">
        <v>46246</v>
      </c>
      <c r="B6" s="95" t="inlineStr">
        <is>
          <t>Insurance</t>
        </is>
      </c>
      <c r="C6" s="95" t="inlineStr">
        <is>
          <t>Comprehensive premium (quarterly)</t>
        </is>
      </c>
      <c r="D6" s="94" t="inlineStr">
        <is>
          <t>TRUCK 1</t>
        </is>
      </c>
      <c r="E6" s="95" t="inlineStr">
        <is>
          <t>Fortune Insurance</t>
        </is>
      </c>
      <c r="F6" s="98" t="n">
        <v>18500</v>
      </c>
      <c r="G6" s="94" t="inlineStr">
        <is>
          <t>Bank Transfer</t>
        </is>
      </c>
      <c r="H6" s="94" t="inlineStr">
        <is>
          <t>Y</t>
        </is>
      </c>
      <c r="I6" s="100">
        <f>IF($B6="","",IFERROR(INDEX(Setup!$B$99:$B$128,MATCH($B6,Setup!$A$99:$A$128,0)),"CHECK TYPE"))</f>
        <v/>
      </c>
      <c r="J6">
        <f>IF($A6="","",DATE(YEAR($A6),MONTH($A6),1))</f>
        <v/>
      </c>
    </row>
    <row r="7">
      <c r="A7" s="85" t="n">
        <v>46265</v>
      </c>
      <c r="B7" s="87" t="inlineStr">
        <is>
          <t>Loan Payment</t>
        </is>
      </c>
      <c r="C7" s="87" t="inlineStr">
        <is>
          <t>August amortisation</t>
        </is>
      </c>
      <c r="D7" s="86" t="inlineStr">
        <is>
          <t>TRUCK 1</t>
        </is>
      </c>
      <c r="E7" s="87" t="inlineStr">
        <is>
          <t>BDO Leasing</t>
        </is>
      </c>
      <c r="F7" s="91" t="n">
        <v>32000</v>
      </c>
      <c r="G7" s="86" t="inlineStr">
        <is>
          <t>Bank Transfer</t>
        </is>
      </c>
      <c r="H7" s="86" t="inlineStr">
        <is>
          <t>Y</t>
        </is>
      </c>
      <c r="I7" s="100">
        <f>IF($B7="","",IFERROR(INDEX(Setup!$B$99:$B$128,MATCH($B7,Setup!$A$99:$A$128,0)),"CHECK TYPE"))</f>
        <v/>
      </c>
      <c r="J7">
        <f>IF($A7="","",DATE(YEAR($A7),MONTH($A7),1))</f>
        <v/>
      </c>
    </row>
    <row r="8">
      <c r="A8" s="93" t="n">
        <v>46265</v>
      </c>
      <c r="B8" s="95" t="inlineStr">
        <is>
          <t>Loan Payment</t>
        </is>
      </c>
      <c r="C8" s="95" t="inlineStr">
        <is>
          <t>August amortisation</t>
        </is>
      </c>
      <c r="D8" s="94" t="inlineStr">
        <is>
          <t>TRUCK 1</t>
        </is>
      </c>
      <c r="E8" s="95" t="inlineStr">
        <is>
          <t>Security Bank</t>
        </is>
      </c>
      <c r="F8" s="98" t="n">
        <v>18500</v>
      </c>
      <c r="G8" s="94" t="inlineStr">
        <is>
          <t>Bank Transfer</t>
        </is>
      </c>
      <c r="H8" s="94" t="inlineStr">
        <is>
          <t>Y</t>
        </is>
      </c>
      <c r="I8" s="100">
        <f>IF($B8="","",IFERROR(INDEX(Setup!$B$99:$B$128,MATCH($B8,Setup!$A$99:$A$128,0)),"CHECK TYPE"))</f>
        <v/>
      </c>
      <c r="J8">
        <f>IF($A8="","",DATE(YEAR($A8),MONTH($A8),1))</f>
        <v/>
      </c>
    </row>
    <row r="9">
      <c r="A9" s="85" t="n">
        <v>46265</v>
      </c>
      <c r="B9" s="87" t="inlineStr">
        <is>
          <t>Loan Payment</t>
        </is>
      </c>
      <c r="C9" s="87" t="inlineStr">
        <is>
          <t>August amortisation</t>
        </is>
      </c>
      <c r="D9" s="86" t="inlineStr">
        <is>
          <t>TRUCK 1</t>
        </is>
      </c>
      <c r="E9" s="87" t="inlineStr">
        <is>
          <t>Private Lender</t>
        </is>
      </c>
      <c r="F9" s="91" t="n">
        <v>12500</v>
      </c>
      <c r="G9" s="86" t="inlineStr">
        <is>
          <t>GCash</t>
        </is>
      </c>
      <c r="H9" s="86" t="inlineStr">
        <is>
          <t>N</t>
        </is>
      </c>
      <c r="I9" s="100">
        <f>IF($B9="","",IFERROR(INDEX(Setup!$B$99:$B$128,MATCH($B9,Setup!$A$99:$A$128,0)),"CHECK TYPE"))</f>
        <v/>
      </c>
      <c r="J9">
        <f>IF($A9="","",DATE(YEAR($A9),MONTH($A9),1))</f>
        <v/>
      </c>
    </row>
    <row r="10">
      <c r="A10" s="93" t="n">
        <v>46265</v>
      </c>
      <c r="B10" s="95" t="inlineStr">
        <is>
          <t>Rent</t>
        </is>
      </c>
      <c r="C10" s="95" t="inlineStr">
        <is>
          <t>Yard rent</t>
        </is>
      </c>
      <c r="D10" s="94" t="inlineStr"/>
      <c r="E10" s="95" t="inlineStr">
        <is>
          <t>Mrs. Lim</t>
        </is>
      </c>
      <c r="F10" s="98" t="n">
        <v>5000</v>
      </c>
      <c r="G10" s="94" t="inlineStr">
        <is>
          <t>Cash</t>
        </is>
      </c>
      <c r="H10" s="94" t="inlineStr">
        <is>
          <t>N</t>
        </is>
      </c>
      <c r="I10" s="100">
        <f>IF($B10="","",IFERROR(INDEX(Setup!$B$99:$B$128,MATCH($B10,Setup!$A$99:$A$128,0)),"CHECK TYPE"))</f>
        <v/>
      </c>
      <c r="J10">
        <f>IF($A10="","",DATE(YEAR($A10),MONTH($A10),1))</f>
        <v/>
      </c>
    </row>
    <row r="11">
      <c r="A11" s="85" t="n">
        <v>46265</v>
      </c>
      <c r="B11" s="87" t="inlineStr">
        <is>
          <t>Payroll Payout</t>
        </is>
      </c>
      <c r="C11" s="87" t="inlineStr">
        <is>
          <t>August release</t>
        </is>
      </c>
      <c r="D11" s="86" t="inlineStr"/>
      <c r="E11" s="87" t="inlineStr">
        <is>
          <t>R. Dela Cruz</t>
        </is>
      </c>
      <c r="F11" s="91" t="n">
        <v>13000</v>
      </c>
      <c r="G11" s="86" t="inlineStr">
        <is>
          <t>Cash</t>
        </is>
      </c>
      <c r="H11" s="86" t="inlineStr">
        <is>
          <t>N</t>
        </is>
      </c>
      <c r="I11" s="100">
        <f>IF($B11="","",IFERROR(INDEX(Setup!$B$99:$B$128,MATCH($B11,Setup!$A$99:$A$128,0)),"CHECK TYPE"))</f>
        <v/>
      </c>
      <c r="J11">
        <f>IF($A11="","",DATE(YEAR($A11),MONTH($A11),1))</f>
        <v/>
      </c>
    </row>
    <row r="12">
      <c r="A12" s="93" t="n">
        <v>46265</v>
      </c>
      <c r="B12" s="95" t="inlineStr">
        <is>
          <t>Payroll Payout</t>
        </is>
      </c>
      <c r="C12" s="95" t="inlineStr">
        <is>
          <t>August release</t>
        </is>
      </c>
      <c r="D12" s="94" t="inlineStr"/>
      <c r="E12" s="95" t="inlineStr">
        <is>
          <t>M. Reyes</t>
        </is>
      </c>
      <c r="F12" s="98" t="n">
        <v>13000</v>
      </c>
      <c r="G12" s="94" t="inlineStr">
        <is>
          <t>Cash</t>
        </is>
      </c>
      <c r="H12" s="94" t="inlineStr">
        <is>
          <t>N</t>
        </is>
      </c>
      <c r="I12" s="100">
        <f>IF($B12="","",IFERROR(INDEX(Setup!$B$99:$B$128,MATCH($B12,Setup!$A$99:$A$128,0)),"CHECK TYPE"))</f>
        <v/>
      </c>
      <c r="J12">
        <f>IF($A12="","",DATE(YEAR($A12),MONTH($A12),1))</f>
        <v/>
      </c>
    </row>
    <row r="13">
      <c r="A13" s="85" t="n">
        <v>46269</v>
      </c>
      <c r="B13" s="87" t="inlineStr">
        <is>
          <t>Tires &amp; Batteries</t>
        </is>
      </c>
      <c r="C13" s="87" t="inlineStr">
        <is>
          <t>2 pcs rear tires</t>
        </is>
      </c>
      <c r="D13" s="86" t="inlineStr">
        <is>
          <t>TRUCK 1</t>
        </is>
      </c>
      <c r="E13" s="87" t="inlineStr">
        <is>
          <t>Goodyear Dealer</t>
        </is>
      </c>
      <c r="F13" s="91" t="n">
        <v>21000</v>
      </c>
      <c r="G13" s="86" t="inlineStr">
        <is>
          <t>Bank Transfer</t>
        </is>
      </c>
      <c r="H13" s="86" t="inlineStr">
        <is>
          <t>Y</t>
        </is>
      </c>
      <c r="I13" s="100">
        <f>IF($B13="","",IFERROR(INDEX(Setup!$B$99:$B$128,MATCH($B13,Setup!$A$99:$A$128,0)),"CHECK TYPE"))</f>
        <v/>
      </c>
      <c r="J13">
        <f>IF($A13="","",DATE(YEAR($A13),MONTH($A13),1))</f>
        <v/>
      </c>
    </row>
    <row r="14">
      <c r="A14" s="93" t="n">
        <v>46274</v>
      </c>
      <c r="B14" s="95" t="inlineStr">
        <is>
          <t>Repairs &amp; Maintenance</t>
        </is>
      </c>
      <c r="C14" s="95" t="inlineStr">
        <is>
          <t>Clutch lining + labour</t>
        </is>
      </c>
      <c r="D14" s="94" t="inlineStr">
        <is>
          <t>TRUCK 1</t>
        </is>
      </c>
      <c r="E14" s="95" t="inlineStr">
        <is>
          <t>Diesel Works</t>
        </is>
      </c>
      <c r="F14" s="98" t="n">
        <v>6200</v>
      </c>
      <c r="G14" s="94" t="inlineStr">
        <is>
          <t>Cash</t>
        </is>
      </c>
      <c r="H14" s="94" t="inlineStr">
        <is>
          <t>Y</t>
        </is>
      </c>
      <c r="I14" s="100">
        <f>IF($B14="","",IFERROR(INDEX(Setup!$B$99:$B$128,MATCH($B14,Setup!$A$99:$A$128,0)),"CHECK TYPE"))</f>
        <v/>
      </c>
      <c r="J14">
        <f>IF($A14="","",DATE(YEAR($A14),MONTH($A14),1))</f>
        <v/>
      </c>
    </row>
    <row r="15">
      <c r="A15" s="85" t="n">
        <v>46275</v>
      </c>
      <c r="B15" s="87" t="inlineStr">
        <is>
          <t>LTO Registration</t>
        </is>
      </c>
      <c r="C15" s="87" t="inlineStr">
        <is>
          <t>Registration + emission test</t>
        </is>
      </c>
      <c r="D15" s="86" t="inlineStr">
        <is>
          <t>TRUCK 1</t>
        </is>
      </c>
      <c r="E15" s="87" t="inlineStr">
        <is>
          <t>LTO</t>
        </is>
      </c>
      <c r="F15" s="91" t="n">
        <v>4200</v>
      </c>
      <c r="G15" s="86" t="inlineStr">
        <is>
          <t>Cash</t>
        </is>
      </c>
      <c r="H15" s="86" t="inlineStr">
        <is>
          <t>Y</t>
        </is>
      </c>
      <c r="I15" s="100">
        <f>IF($B15="","",IFERROR(INDEX(Setup!$B$99:$B$128,MATCH($B15,Setup!$A$99:$A$128,0)),"CHECK TYPE"))</f>
        <v/>
      </c>
      <c r="J15">
        <f>IF($A15="","",DATE(YEAR($A15),MONTH($A15),1))</f>
        <v/>
      </c>
    </row>
    <row r="16">
      <c r="A16" s="93" t="n">
        <v>46280</v>
      </c>
      <c r="B16" s="95" t="inlineStr">
        <is>
          <t>Cash Advance</t>
        </is>
      </c>
      <c r="C16" s="95" t="inlineStr">
        <is>
          <t>Advance — family emergency</t>
        </is>
      </c>
      <c r="D16" s="94" t="inlineStr"/>
      <c r="E16" s="95" t="inlineStr">
        <is>
          <t>R. Dela Cruz</t>
        </is>
      </c>
      <c r="F16" s="98" t="n">
        <v>5000</v>
      </c>
      <c r="G16" s="94" t="inlineStr">
        <is>
          <t>Cash</t>
        </is>
      </c>
      <c r="H16" s="94" t="inlineStr">
        <is>
          <t>N</t>
        </is>
      </c>
      <c r="I16" s="100">
        <f>IF($B16="","",IFERROR(INDEX(Setup!$B$99:$B$128,MATCH($B16,Setup!$A$99:$A$128,0)),"CHECK TYPE"))</f>
        <v/>
      </c>
      <c r="J16">
        <f>IF($A16="","",DATE(YEAR($A16),MONTH($A16),1))</f>
        <v/>
      </c>
    </row>
    <row r="17">
      <c r="A17" s="85" t="n">
        <v>46285</v>
      </c>
      <c r="B17" s="87" t="inlineStr">
        <is>
          <t>Office / Staff Salary</t>
        </is>
      </c>
      <c r="C17" s="87" t="inlineStr">
        <is>
          <t>Dispatcher salary</t>
        </is>
      </c>
      <c r="D17" s="86" t="inlineStr"/>
      <c r="E17" s="87" t="inlineStr">
        <is>
          <t>L. Garcia</t>
        </is>
      </c>
      <c r="F17" s="91" t="n">
        <v>12000</v>
      </c>
      <c r="G17" s="86" t="inlineStr">
        <is>
          <t>Cash</t>
        </is>
      </c>
      <c r="H17" s="86" t="inlineStr">
        <is>
          <t>N</t>
        </is>
      </c>
      <c r="I17" s="100">
        <f>IF($B17="","",IFERROR(INDEX(Setup!$B$99:$B$128,MATCH($B17,Setup!$A$99:$A$128,0)),"CHECK TYPE"))</f>
        <v/>
      </c>
      <c r="J17">
        <f>IF($A17="","",DATE(YEAR($A17),MONTH($A17),1))</f>
        <v/>
      </c>
    </row>
    <row r="18">
      <c r="A18" s="93" t="n">
        <v>46295</v>
      </c>
      <c r="B18" s="95" t="inlineStr">
        <is>
          <t>Loan Payment</t>
        </is>
      </c>
      <c r="C18" s="95" t="inlineStr">
        <is>
          <t>September amortisation</t>
        </is>
      </c>
      <c r="D18" s="94" t="inlineStr">
        <is>
          <t>TRUCK 1</t>
        </is>
      </c>
      <c r="E18" s="95" t="inlineStr">
        <is>
          <t>BDO Leasing</t>
        </is>
      </c>
      <c r="F18" s="98" t="n">
        <v>32000</v>
      </c>
      <c r="G18" s="94" t="inlineStr">
        <is>
          <t>Bank Transfer</t>
        </is>
      </c>
      <c r="H18" s="94" t="inlineStr">
        <is>
          <t>Y</t>
        </is>
      </c>
      <c r="I18" s="100">
        <f>IF($B18="","",IFERROR(INDEX(Setup!$B$99:$B$128,MATCH($B18,Setup!$A$99:$A$128,0)),"CHECK TYPE"))</f>
        <v/>
      </c>
      <c r="J18">
        <f>IF($A18="","",DATE(YEAR($A18),MONTH($A18),1))</f>
        <v/>
      </c>
    </row>
    <row r="19">
      <c r="A19" s="85" t="n">
        <v>46295</v>
      </c>
      <c r="B19" s="87" t="inlineStr">
        <is>
          <t>Loan Payment</t>
        </is>
      </c>
      <c r="C19" s="87" t="inlineStr">
        <is>
          <t>September amortisation</t>
        </is>
      </c>
      <c r="D19" s="86" t="inlineStr">
        <is>
          <t>TRUCK 1</t>
        </is>
      </c>
      <c r="E19" s="87" t="inlineStr">
        <is>
          <t>Security Bank</t>
        </is>
      </c>
      <c r="F19" s="91" t="n">
        <v>18500</v>
      </c>
      <c r="G19" s="86" t="inlineStr">
        <is>
          <t>Bank Transfer</t>
        </is>
      </c>
      <c r="H19" s="86" t="inlineStr">
        <is>
          <t>Y</t>
        </is>
      </c>
      <c r="I19" s="100">
        <f>IF($B19="","",IFERROR(INDEX(Setup!$B$99:$B$128,MATCH($B19,Setup!$A$99:$A$128,0)),"CHECK TYPE"))</f>
        <v/>
      </c>
      <c r="J19">
        <f>IF($A19="","",DATE(YEAR($A19),MONTH($A19),1))</f>
        <v/>
      </c>
    </row>
    <row r="20">
      <c r="A20" s="93" t="n">
        <v>46295</v>
      </c>
      <c r="B20" s="95" t="inlineStr">
        <is>
          <t>Loan Payment</t>
        </is>
      </c>
      <c r="C20" s="95" t="inlineStr">
        <is>
          <t>September amortisation</t>
        </is>
      </c>
      <c r="D20" s="94" t="inlineStr">
        <is>
          <t>TRUCK 1</t>
        </is>
      </c>
      <c r="E20" s="95" t="inlineStr">
        <is>
          <t>Private Lender</t>
        </is>
      </c>
      <c r="F20" s="98" t="n">
        <v>12500</v>
      </c>
      <c r="G20" s="94" t="inlineStr">
        <is>
          <t>GCash</t>
        </is>
      </c>
      <c r="H20" s="94" t="inlineStr">
        <is>
          <t>N</t>
        </is>
      </c>
      <c r="I20" s="100">
        <f>IF($B20="","",IFERROR(INDEX(Setup!$B$99:$B$128,MATCH($B20,Setup!$A$99:$A$128,0)),"CHECK TYPE"))</f>
        <v/>
      </c>
      <c r="J20">
        <f>IF($A20="","",DATE(YEAR($A20),MONTH($A20),1))</f>
        <v/>
      </c>
    </row>
    <row r="21">
      <c r="A21" s="85" t="n">
        <v>46295</v>
      </c>
      <c r="B21" s="87" t="inlineStr">
        <is>
          <t>Rent</t>
        </is>
      </c>
      <c r="C21" s="87" t="inlineStr">
        <is>
          <t>Yard rent</t>
        </is>
      </c>
      <c r="D21" s="86" t="inlineStr"/>
      <c r="E21" s="87" t="inlineStr">
        <is>
          <t>Mrs. Lim</t>
        </is>
      </c>
      <c r="F21" s="91" t="n">
        <v>5000</v>
      </c>
      <c r="G21" s="86" t="inlineStr">
        <is>
          <t>Cash</t>
        </is>
      </c>
      <c r="H21" s="86" t="inlineStr">
        <is>
          <t>N</t>
        </is>
      </c>
      <c r="I21" s="100">
        <f>IF($B21="","",IFERROR(INDEX(Setup!$B$99:$B$128,MATCH($B21,Setup!$A$99:$A$128,0)),"CHECK TYPE"))</f>
        <v/>
      </c>
      <c r="J21">
        <f>IF($A21="","",DATE(YEAR($A21),MONTH($A21),1))</f>
        <v/>
      </c>
    </row>
    <row r="22">
      <c r="A22" s="93" t="n">
        <v>46295</v>
      </c>
      <c r="B22" s="95" t="inlineStr">
        <is>
          <t>Utilities</t>
        </is>
      </c>
      <c r="C22" s="95" t="inlineStr">
        <is>
          <t>Water + internet</t>
        </is>
      </c>
      <c r="D22" s="94" t="inlineStr"/>
      <c r="E22" s="95" t="inlineStr">
        <is>
          <t>Meralco / PLDT</t>
        </is>
      </c>
      <c r="F22" s="98" t="n">
        <v>2800</v>
      </c>
      <c r="G22" s="94" t="inlineStr">
        <is>
          <t>GCash</t>
        </is>
      </c>
      <c r="H22" s="94" t="inlineStr">
        <is>
          <t>Y</t>
        </is>
      </c>
      <c r="I22" s="100">
        <f>IF($B22="","",IFERROR(INDEX(Setup!$B$99:$B$128,MATCH($B22,Setup!$A$99:$A$128,0)),"CHECK TYPE"))</f>
        <v/>
      </c>
      <c r="J22">
        <f>IF($A22="","",DATE(YEAR($A22),MONTH($A22),1))</f>
        <v/>
      </c>
    </row>
    <row r="23">
      <c r="A23" s="85" t="n">
        <v>46295</v>
      </c>
      <c r="B23" s="87" t="inlineStr">
        <is>
          <t>Truck Washing</t>
        </is>
      </c>
      <c r="C23" s="87" t="inlineStr">
        <is>
          <t>Wash + greasing</t>
        </is>
      </c>
      <c r="D23" s="86" t="inlineStr">
        <is>
          <t>TRUCK 1</t>
        </is>
      </c>
      <c r="E23" s="87" t="inlineStr">
        <is>
          <t>Jomar Carwash</t>
        </is>
      </c>
      <c r="F23" s="91" t="n">
        <v>700</v>
      </c>
      <c r="G23" s="86" t="inlineStr">
        <is>
          <t>Cash</t>
        </is>
      </c>
      <c r="H23" s="86" t="inlineStr">
        <is>
          <t>N</t>
        </is>
      </c>
      <c r="I23" s="100">
        <f>IF($B23="","",IFERROR(INDEX(Setup!$B$99:$B$128,MATCH($B23,Setup!$A$99:$A$128,0)),"CHECK TYPE"))</f>
        <v/>
      </c>
      <c r="J23">
        <f>IF($A23="","",DATE(YEAR($A23),MONTH($A23),1))</f>
        <v/>
      </c>
    </row>
    <row r="24">
      <c r="A24" s="93" t="n">
        <v>46298</v>
      </c>
      <c r="B24" s="95" t="inlineStr">
        <is>
          <t>Cash Advance</t>
        </is>
      </c>
      <c r="C24" s="95" t="inlineStr">
        <is>
          <t>Trip pocket money</t>
        </is>
      </c>
      <c r="D24" s="94" t="inlineStr"/>
      <c r="E24" s="95" t="inlineStr">
        <is>
          <t>J. Santos</t>
        </is>
      </c>
      <c r="F24" s="98" t="n">
        <v>3000</v>
      </c>
      <c r="G24" s="94" t="inlineStr">
        <is>
          <t>Cash</t>
        </is>
      </c>
      <c r="H24" s="94" t="inlineStr">
        <is>
          <t>N</t>
        </is>
      </c>
      <c r="I24" s="100">
        <f>IF($B24="","",IFERROR(INDEX(Setup!$B$99:$B$128,MATCH($B24,Setup!$A$99:$A$128,0)),"CHECK TYPE"))</f>
        <v/>
      </c>
      <c r="J24">
        <f>IF($A24="","",DATE(YEAR($A24),MONTH($A24),1))</f>
        <v/>
      </c>
    </row>
    <row r="25">
      <c r="A25" s="85" t="n">
        <v>46303</v>
      </c>
      <c r="B25" s="87" t="inlineStr">
        <is>
          <t>Spare Parts &amp; Lubricants</t>
        </is>
      </c>
      <c r="C25" s="87" t="inlineStr">
        <is>
          <t>Oil filters + coolant</t>
        </is>
      </c>
      <c r="D25" s="86" t="inlineStr">
        <is>
          <t>TRUCK 1</t>
        </is>
      </c>
      <c r="E25" s="87" t="inlineStr">
        <is>
          <t>Truck Parts Center</t>
        </is>
      </c>
      <c r="F25" s="91" t="n">
        <v>3900</v>
      </c>
      <c r="G25" s="86" t="inlineStr">
        <is>
          <t>Cash</t>
        </is>
      </c>
      <c r="H25" s="86" t="inlineStr">
        <is>
          <t>Y</t>
        </is>
      </c>
      <c r="I25" s="100">
        <f>IF($B25="","",IFERROR(INDEX(Setup!$B$99:$B$128,MATCH($B25,Setup!$A$99:$A$128,0)),"CHECK TYPE"))</f>
        <v/>
      </c>
      <c r="J25">
        <f>IF($A25="","",DATE(YEAR($A25),MONTH($A25),1))</f>
        <v/>
      </c>
    </row>
    <row r="26">
      <c r="A26" s="93" t="n">
        <v>46305</v>
      </c>
      <c r="B26" s="95" t="inlineStr">
        <is>
          <t>Truck Washing</t>
        </is>
      </c>
      <c r="C26" s="95" t="inlineStr">
        <is>
          <t>Wash + greasing</t>
        </is>
      </c>
      <c r="D26" s="94" t="inlineStr">
        <is>
          <t>TRUCK 1</t>
        </is>
      </c>
      <c r="E26" s="95" t="inlineStr">
        <is>
          <t>Jomar Carwash</t>
        </is>
      </c>
      <c r="F26" s="98" t="n">
        <v>700</v>
      </c>
      <c r="G26" s="94" t="inlineStr">
        <is>
          <t>Cash</t>
        </is>
      </c>
      <c r="H26" s="94" t="inlineStr">
        <is>
          <t>N</t>
        </is>
      </c>
      <c r="I26" s="100">
        <f>IF($B26="","",IFERROR(INDEX(Setup!$B$99:$B$128,MATCH($B26,Setup!$A$99:$A$128,0)),"CHECK TYPE"))</f>
        <v/>
      </c>
      <c r="J26">
        <f>IF($A26="","",DATE(YEAR($A26),MONTH($A26),1))</f>
        <v/>
      </c>
    </row>
    <row r="27">
      <c r="A27" s="85" t="n">
        <v>46307</v>
      </c>
      <c r="B27" s="87" t="inlineStr">
        <is>
          <t>Owner's Draw</t>
        </is>
      </c>
      <c r="C27" s="87" t="inlineStr">
        <is>
          <t>Owner's personal withdrawal</t>
        </is>
      </c>
      <c r="D27" s="86" t="inlineStr"/>
      <c r="E27" s="87" t="inlineStr">
        <is>
          <t>Owner</t>
        </is>
      </c>
      <c r="F27" s="91" t="n">
        <v>15000</v>
      </c>
      <c r="G27" s="86" t="inlineStr">
        <is>
          <t>Cash</t>
        </is>
      </c>
      <c r="H27" s="86" t="inlineStr">
        <is>
          <t>N</t>
        </is>
      </c>
      <c r="I27" s="100">
        <f>IF($B27="","",IFERROR(INDEX(Setup!$B$99:$B$128,MATCH($B27,Setup!$A$99:$A$128,0)),"CHECK TYPE"))</f>
        <v/>
      </c>
      <c r="J27">
        <f>IF($A27="","",DATE(YEAR($A27),MONTH($A27),1))</f>
        <v/>
      </c>
    </row>
    <row r="28">
      <c r="A28" s="93" t="n">
        <v>46310</v>
      </c>
      <c r="B28" s="95" t="inlineStr">
        <is>
          <t>Loan Payment</t>
        </is>
      </c>
      <c r="C28" s="95" t="inlineStr">
        <is>
          <t>October amortisation</t>
        </is>
      </c>
      <c r="D28" s="94" t="inlineStr">
        <is>
          <t>TRUCK 1</t>
        </is>
      </c>
      <c r="E28" s="95" t="inlineStr">
        <is>
          <t>BDO Leasing</t>
        </is>
      </c>
      <c r="F28" s="98" t="n">
        <v>32000</v>
      </c>
      <c r="G28" s="94" t="inlineStr">
        <is>
          <t>Bank Transfer</t>
        </is>
      </c>
      <c r="H28" s="94" t="inlineStr">
        <is>
          <t>Y</t>
        </is>
      </c>
      <c r="I28" s="100">
        <f>IF($B28="","",IFERROR(INDEX(Setup!$B$99:$B$128,MATCH($B28,Setup!$A$99:$A$128,0)),"CHECK TYPE"))</f>
        <v/>
      </c>
      <c r="J28">
        <f>IF($A28="","",DATE(YEAR($A28),MONTH($A28),1))</f>
        <v/>
      </c>
    </row>
    <row r="29">
      <c r="A29" s="85" t="n">
        <v>46310</v>
      </c>
      <c r="B29" s="87" t="inlineStr">
        <is>
          <t>Loan Payment</t>
        </is>
      </c>
      <c r="C29" s="87" t="inlineStr">
        <is>
          <t>October amortisation</t>
        </is>
      </c>
      <c r="D29" s="86" t="inlineStr">
        <is>
          <t>TRUCK 1</t>
        </is>
      </c>
      <c r="E29" s="87" t="inlineStr">
        <is>
          <t>Security Bank</t>
        </is>
      </c>
      <c r="F29" s="91" t="n">
        <v>18500</v>
      </c>
      <c r="G29" s="86" t="inlineStr">
        <is>
          <t>Bank Transfer</t>
        </is>
      </c>
      <c r="H29" s="86" t="inlineStr">
        <is>
          <t>Y</t>
        </is>
      </c>
      <c r="I29" s="100">
        <f>IF($B29="","",IFERROR(INDEX(Setup!$B$99:$B$128,MATCH($B29,Setup!$A$99:$A$128,0)),"CHECK TYPE"))</f>
        <v/>
      </c>
      <c r="J29">
        <f>IF($A29="","",DATE(YEAR($A29),MONTH($A29),1))</f>
        <v/>
      </c>
    </row>
    <row r="30">
      <c r="A30" s="93" t="n">
        <v>46311</v>
      </c>
      <c r="B30" s="95" t="inlineStr">
        <is>
          <t>Rent</t>
        </is>
      </c>
      <c r="C30" s="95" t="inlineStr">
        <is>
          <t>Yard rent</t>
        </is>
      </c>
      <c r="D30" s="94" t="inlineStr"/>
      <c r="E30" s="95" t="inlineStr">
        <is>
          <t>Mrs. Lim</t>
        </is>
      </c>
      <c r="F30" s="98" t="n">
        <v>5000</v>
      </c>
      <c r="G30" s="94" t="inlineStr">
        <is>
          <t>Cash</t>
        </is>
      </c>
      <c r="H30" s="94" t="inlineStr">
        <is>
          <t>N</t>
        </is>
      </c>
      <c r="I30" s="100">
        <f>IF($B30="","",IFERROR(INDEX(Setup!$B$99:$B$128,MATCH($B30,Setup!$A$99:$A$128,0)),"CHECK TYPE"))</f>
        <v/>
      </c>
      <c r="J30">
        <f>IF($A30="","",DATE(YEAR($A30),MONTH($A30),1))</f>
        <v/>
      </c>
    </row>
    <row r="31">
      <c r="A31" s="85" t="n">
        <v>46312</v>
      </c>
      <c r="B31" s="87" t="inlineStr">
        <is>
          <t>Utilities</t>
        </is>
      </c>
      <c r="C31" s="87" t="inlineStr">
        <is>
          <t>Water + internet</t>
        </is>
      </c>
      <c r="D31" s="86" t="inlineStr"/>
      <c r="E31" s="87" t="inlineStr">
        <is>
          <t>Meralco / PLDT</t>
        </is>
      </c>
      <c r="F31" s="91" t="n">
        <v>2800</v>
      </c>
      <c r="G31" s="86" t="inlineStr">
        <is>
          <t>GCash</t>
        </is>
      </c>
      <c r="H31" s="86" t="inlineStr">
        <is>
          <t>Y</t>
        </is>
      </c>
      <c r="I31" s="100">
        <f>IF($B31="","",IFERROR(INDEX(Setup!$B$99:$B$128,MATCH($B31,Setup!$A$99:$A$128,0)),"CHECK TYPE"))</f>
        <v/>
      </c>
      <c r="J31">
        <f>IF($A31="","",DATE(YEAR($A31),MONTH($A31),1))</f>
        <v/>
      </c>
    </row>
    <row r="32">
      <c r="A32" s="93" t="n">
        <v>46314</v>
      </c>
      <c r="B32" s="95" t="inlineStr">
        <is>
          <t>Payroll Payout</t>
        </is>
      </c>
      <c r="C32" s="95" t="inlineStr">
        <is>
          <t>Mid-month release</t>
        </is>
      </c>
      <c r="D32" s="94" t="inlineStr"/>
      <c r="E32" s="95" t="inlineStr">
        <is>
          <t>R. Dela Cruz</t>
        </is>
      </c>
      <c r="F32" s="98" t="n">
        <v>10000</v>
      </c>
      <c r="G32" s="94" t="inlineStr">
        <is>
          <t>GCash</t>
        </is>
      </c>
      <c r="H32" s="94" t="inlineStr">
        <is>
          <t>N</t>
        </is>
      </c>
      <c r="I32" s="100">
        <f>IF($B32="","",IFERROR(INDEX(Setup!$B$99:$B$128,MATCH($B32,Setup!$A$99:$A$128,0)),"CHECK TYPE"))</f>
        <v/>
      </c>
      <c r="J32">
        <f>IF($A32="","",DATE(YEAR($A32),MONTH($A32),1))</f>
        <v/>
      </c>
    </row>
    <row r="33">
      <c r="A33" s="85" t="n">
        <v>46315</v>
      </c>
      <c r="B33" s="87" t="inlineStr">
        <is>
          <t>Bank Charges</t>
        </is>
      </c>
      <c r="C33" s="87" t="inlineStr">
        <is>
          <t>InstaPay transfers</t>
        </is>
      </c>
      <c r="D33" s="86" t="inlineStr"/>
      <c r="E33" s="87" t="inlineStr">
        <is>
          <t>BDO</t>
        </is>
      </c>
      <c r="F33" s="91" t="n">
        <v>350</v>
      </c>
      <c r="G33" s="86" t="inlineStr">
        <is>
          <t>Bank Transfer</t>
        </is>
      </c>
      <c r="H33" s="86" t="inlineStr">
        <is>
          <t>Y</t>
        </is>
      </c>
      <c r="I33" s="100">
        <f>IF($B33="","",IFERROR(INDEX(Setup!$B$99:$B$128,MATCH($B33,Setup!$A$99:$A$128,0)),"CHECK TYPE"))</f>
        <v/>
      </c>
      <c r="J33">
        <f>IF($A33="","",DATE(YEAR($A33),MONTH($A33),1))</f>
        <v/>
      </c>
    </row>
    <row r="34">
      <c r="A34" s="93" t="n"/>
      <c r="B34" s="95" t="n"/>
      <c r="C34" s="95" t="n"/>
      <c r="D34" s="94" t="n"/>
      <c r="E34" s="95" t="n"/>
      <c r="F34" s="98" t="n"/>
      <c r="G34" s="94" t="n"/>
      <c r="H34" s="94" t="n"/>
      <c r="I34" s="100">
        <f>IF($B34="","",IFERROR(INDEX(Setup!$B$99:$B$128,MATCH($B34,Setup!$A$99:$A$128,0)),"CHECK TYPE"))</f>
        <v/>
      </c>
      <c r="J34">
        <f>IF($A34="","",DATE(YEAR($A34),MONTH($A34),1))</f>
        <v/>
      </c>
    </row>
    <row r="35">
      <c r="A35" s="85" t="n"/>
      <c r="B35" s="87" t="n"/>
      <c r="C35" s="87" t="n"/>
      <c r="D35" s="86" t="n"/>
      <c r="E35" s="87" t="n"/>
      <c r="F35" s="91" t="n"/>
      <c r="G35" s="86" t="n"/>
      <c r="H35" s="86" t="n"/>
      <c r="I35" s="100">
        <f>IF($B35="","",IFERROR(INDEX(Setup!$B$99:$B$128,MATCH($B35,Setup!$A$99:$A$128,0)),"CHECK TYPE"))</f>
        <v/>
      </c>
      <c r="J35">
        <f>IF($A35="","",DATE(YEAR($A35),MONTH($A35),1))</f>
        <v/>
      </c>
    </row>
    <row r="36">
      <c r="A36" s="93" t="n"/>
      <c r="B36" s="95" t="n"/>
      <c r="C36" s="95" t="n"/>
      <c r="D36" s="94" t="n"/>
      <c r="E36" s="95" t="n"/>
      <c r="F36" s="98" t="n"/>
      <c r="G36" s="94" t="n"/>
      <c r="H36" s="94" t="n"/>
      <c r="I36" s="100">
        <f>IF($B36="","",IFERROR(INDEX(Setup!$B$99:$B$128,MATCH($B36,Setup!$A$99:$A$128,0)),"CHECK TYPE"))</f>
        <v/>
      </c>
      <c r="J36">
        <f>IF($A36="","",DATE(YEAR($A36),MONTH($A36),1))</f>
        <v/>
      </c>
    </row>
    <row r="37">
      <c r="A37" s="85" t="n"/>
      <c r="B37" s="87" t="n"/>
      <c r="C37" s="87" t="n"/>
      <c r="D37" s="86" t="n"/>
      <c r="E37" s="87" t="n"/>
      <c r="F37" s="91" t="n"/>
      <c r="G37" s="86" t="n"/>
      <c r="H37" s="86" t="n"/>
      <c r="I37" s="100">
        <f>IF($B37="","",IFERROR(INDEX(Setup!$B$99:$B$128,MATCH($B37,Setup!$A$99:$A$128,0)),"CHECK TYPE"))</f>
        <v/>
      </c>
      <c r="J37">
        <f>IF($A37="","",DATE(YEAR($A37),MONTH($A37),1))</f>
        <v/>
      </c>
    </row>
    <row r="38">
      <c r="A38" s="93" t="n"/>
      <c r="B38" s="95" t="n"/>
      <c r="C38" s="95" t="n"/>
      <c r="D38" s="94" t="n"/>
      <c r="E38" s="95" t="n"/>
      <c r="F38" s="98" t="n"/>
      <c r="G38" s="94" t="n"/>
      <c r="H38" s="94" t="n"/>
      <c r="I38" s="100">
        <f>IF($B38="","",IFERROR(INDEX(Setup!$B$99:$B$128,MATCH($B38,Setup!$A$99:$A$128,0)),"CHECK TYPE"))</f>
        <v/>
      </c>
      <c r="J38">
        <f>IF($A38="","",DATE(YEAR($A38),MONTH($A38),1))</f>
        <v/>
      </c>
    </row>
    <row r="39">
      <c r="A39" s="85" t="n"/>
      <c r="B39" s="87" t="n"/>
      <c r="C39" s="87" t="n"/>
      <c r="D39" s="86" t="n"/>
      <c r="E39" s="87" t="n"/>
      <c r="F39" s="91" t="n"/>
      <c r="G39" s="86" t="n"/>
      <c r="H39" s="86" t="n"/>
      <c r="I39" s="100">
        <f>IF($B39="","",IFERROR(INDEX(Setup!$B$99:$B$128,MATCH($B39,Setup!$A$99:$A$128,0)),"CHECK TYPE"))</f>
        <v/>
      </c>
      <c r="J39">
        <f>IF($A39="","",DATE(YEAR($A39),MONTH($A39),1))</f>
        <v/>
      </c>
    </row>
    <row r="40">
      <c r="A40" s="93" t="n"/>
      <c r="B40" s="95" t="n"/>
      <c r="C40" s="95" t="n"/>
      <c r="D40" s="94" t="n"/>
      <c r="E40" s="95" t="n"/>
      <c r="F40" s="98" t="n"/>
      <c r="G40" s="94" t="n"/>
      <c r="H40" s="94" t="n"/>
      <c r="I40" s="100">
        <f>IF($B40="","",IFERROR(INDEX(Setup!$B$99:$B$128,MATCH($B40,Setup!$A$99:$A$128,0)),"CHECK TYPE"))</f>
        <v/>
      </c>
      <c r="J40">
        <f>IF($A40="","",DATE(YEAR($A40),MONTH($A40),1))</f>
        <v/>
      </c>
    </row>
    <row r="41">
      <c r="A41" s="85" t="n"/>
      <c r="B41" s="87" t="n"/>
      <c r="C41" s="87" t="n"/>
      <c r="D41" s="86" t="n"/>
      <c r="E41" s="87" t="n"/>
      <c r="F41" s="91" t="n"/>
      <c r="G41" s="86" t="n"/>
      <c r="H41" s="86" t="n"/>
      <c r="I41" s="100">
        <f>IF($B41="","",IFERROR(INDEX(Setup!$B$99:$B$128,MATCH($B41,Setup!$A$99:$A$128,0)),"CHECK TYPE"))</f>
        <v/>
      </c>
      <c r="J41">
        <f>IF($A41="","",DATE(YEAR($A41),MONTH($A41),1))</f>
        <v/>
      </c>
    </row>
    <row r="42">
      <c r="A42" s="93" t="n"/>
      <c r="B42" s="95" t="n"/>
      <c r="C42" s="95" t="n"/>
      <c r="D42" s="94" t="n"/>
      <c r="E42" s="95" t="n"/>
      <c r="F42" s="98" t="n"/>
      <c r="G42" s="94" t="n"/>
      <c r="H42" s="94" t="n"/>
      <c r="I42" s="100">
        <f>IF($B42="","",IFERROR(INDEX(Setup!$B$99:$B$128,MATCH($B42,Setup!$A$99:$A$128,0)),"CHECK TYPE"))</f>
        <v/>
      </c>
      <c r="J42">
        <f>IF($A42="","",DATE(YEAR($A42),MONTH($A42),1))</f>
        <v/>
      </c>
    </row>
    <row r="43">
      <c r="A43" s="85" t="n"/>
      <c r="B43" s="87" t="n"/>
      <c r="C43" s="87" t="n"/>
      <c r="D43" s="86" t="n"/>
      <c r="E43" s="87" t="n"/>
      <c r="F43" s="91" t="n"/>
      <c r="G43" s="86" t="n"/>
      <c r="H43" s="86" t="n"/>
      <c r="I43" s="100">
        <f>IF($B43="","",IFERROR(INDEX(Setup!$B$99:$B$128,MATCH($B43,Setup!$A$99:$A$128,0)),"CHECK TYPE"))</f>
        <v/>
      </c>
      <c r="J43">
        <f>IF($A43="","",DATE(YEAR($A43),MONTH($A43),1))</f>
        <v/>
      </c>
    </row>
    <row r="44">
      <c r="A44" s="93" t="n"/>
      <c r="B44" s="95" t="n"/>
      <c r="C44" s="95" t="n"/>
      <c r="D44" s="94" t="n"/>
      <c r="E44" s="95" t="n"/>
      <c r="F44" s="98" t="n"/>
      <c r="G44" s="94" t="n"/>
      <c r="H44" s="94" t="n"/>
      <c r="I44" s="100">
        <f>IF($B44="","",IFERROR(INDEX(Setup!$B$99:$B$128,MATCH($B44,Setup!$A$99:$A$128,0)),"CHECK TYPE"))</f>
        <v/>
      </c>
      <c r="J44">
        <f>IF($A44="","",DATE(YEAR($A44),MONTH($A44),1))</f>
        <v/>
      </c>
    </row>
    <row r="45">
      <c r="A45" s="85" t="n"/>
      <c r="B45" s="87" t="n"/>
      <c r="C45" s="87" t="n"/>
      <c r="D45" s="86" t="n"/>
      <c r="E45" s="87" t="n"/>
      <c r="F45" s="91" t="n"/>
      <c r="G45" s="86" t="n"/>
      <c r="H45" s="86" t="n"/>
      <c r="I45" s="100">
        <f>IF($B45="","",IFERROR(INDEX(Setup!$B$99:$B$128,MATCH($B45,Setup!$A$99:$A$128,0)),"CHECK TYPE"))</f>
        <v/>
      </c>
      <c r="J45">
        <f>IF($A45="","",DATE(YEAR($A45),MONTH($A45),1))</f>
        <v/>
      </c>
    </row>
    <row r="46">
      <c r="A46" s="93" t="n"/>
      <c r="B46" s="95" t="n"/>
      <c r="C46" s="95" t="n"/>
      <c r="D46" s="94" t="n"/>
      <c r="E46" s="95" t="n"/>
      <c r="F46" s="98" t="n"/>
      <c r="G46" s="94" t="n"/>
      <c r="H46" s="94" t="n"/>
      <c r="I46" s="100">
        <f>IF($B46="","",IFERROR(INDEX(Setup!$B$99:$B$128,MATCH($B46,Setup!$A$99:$A$128,0)),"CHECK TYPE"))</f>
        <v/>
      </c>
      <c r="J46">
        <f>IF($A46="","",DATE(YEAR($A46),MONTH($A46),1))</f>
        <v/>
      </c>
    </row>
    <row r="47">
      <c r="A47" s="85" t="n"/>
      <c r="B47" s="87" t="n"/>
      <c r="C47" s="87" t="n"/>
      <c r="D47" s="86" t="n"/>
      <c r="E47" s="87" t="n"/>
      <c r="F47" s="91" t="n"/>
      <c r="G47" s="86" t="n"/>
      <c r="H47" s="86" t="n"/>
      <c r="I47" s="100">
        <f>IF($B47="","",IFERROR(INDEX(Setup!$B$99:$B$128,MATCH($B47,Setup!$A$99:$A$128,0)),"CHECK TYPE"))</f>
        <v/>
      </c>
      <c r="J47">
        <f>IF($A47="","",DATE(YEAR($A47),MONTH($A47),1))</f>
        <v/>
      </c>
    </row>
    <row r="48">
      <c r="A48" s="93" t="n"/>
      <c r="B48" s="95" t="n"/>
      <c r="C48" s="95" t="n"/>
      <c r="D48" s="94" t="n"/>
      <c r="E48" s="95" t="n"/>
      <c r="F48" s="98" t="n"/>
      <c r="G48" s="94" t="n"/>
      <c r="H48" s="94" t="n"/>
      <c r="I48" s="100">
        <f>IF($B48="","",IFERROR(INDEX(Setup!$B$99:$B$128,MATCH($B48,Setup!$A$99:$A$128,0)),"CHECK TYPE"))</f>
        <v/>
      </c>
      <c r="J48">
        <f>IF($A48="","",DATE(YEAR($A48),MONTH($A48),1))</f>
        <v/>
      </c>
    </row>
    <row r="49">
      <c r="A49" s="85" t="n"/>
      <c r="B49" s="87" t="n"/>
      <c r="C49" s="87" t="n"/>
      <c r="D49" s="86" t="n"/>
      <c r="E49" s="87" t="n"/>
      <c r="F49" s="91" t="n"/>
      <c r="G49" s="86" t="n"/>
      <c r="H49" s="86" t="n"/>
      <c r="I49" s="100">
        <f>IF($B49="","",IFERROR(INDEX(Setup!$B$99:$B$128,MATCH($B49,Setup!$A$99:$A$128,0)),"CHECK TYPE"))</f>
        <v/>
      </c>
      <c r="J49">
        <f>IF($A49="","",DATE(YEAR($A49),MONTH($A49),1))</f>
        <v/>
      </c>
    </row>
    <row r="50">
      <c r="A50" s="93" t="n"/>
      <c r="B50" s="95" t="n"/>
      <c r="C50" s="95" t="n"/>
      <c r="D50" s="94" t="n"/>
      <c r="E50" s="95" t="n"/>
      <c r="F50" s="98" t="n"/>
      <c r="G50" s="94" t="n"/>
      <c r="H50" s="94" t="n"/>
      <c r="I50" s="100">
        <f>IF($B50="","",IFERROR(INDEX(Setup!$B$99:$B$128,MATCH($B50,Setup!$A$99:$A$128,0)),"CHECK TYPE"))</f>
        <v/>
      </c>
      <c r="J50">
        <f>IF($A50="","",DATE(YEAR($A50),MONTH($A50),1))</f>
        <v/>
      </c>
    </row>
    <row r="51">
      <c r="A51" s="85" t="n"/>
      <c r="B51" s="87" t="n"/>
      <c r="C51" s="87" t="n"/>
      <c r="D51" s="86" t="n"/>
      <c r="E51" s="87" t="n"/>
      <c r="F51" s="91" t="n"/>
      <c r="G51" s="86" t="n"/>
      <c r="H51" s="86" t="n"/>
      <c r="I51" s="100">
        <f>IF($B51="","",IFERROR(INDEX(Setup!$B$99:$B$128,MATCH($B51,Setup!$A$99:$A$128,0)),"CHECK TYPE"))</f>
        <v/>
      </c>
      <c r="J51">
        <f>IF($A51="","",DATE(YEAR($A51),MONTH($A51),1))</f>
        <v/>
      </c>
    </row>
    <row r="52">
      <c r="A52" s="93" t="n"/>
      <c r="B52" s="95" t="n"/>
      <c r="C52" s="95" t="n"/>
      <c r="D52" s="94" t="n"/>
      <c r="E52" s="95" t="n"/>
      <c r="F52" s="98" t="n"/>
      <c r="G52" s="94" t="n"/>
      <c r="H52" s="94" t="n"/>
      <c r="I52" s="100">
        <f>IF($B52="","",IFERROR(INDEX(Setup!$B$99:$B$128,MATCH($B52,Setup!$A$99:$A$128,0)),"CHECK TYPE"))</f>
        <v/>
      </c>
      <c r="J52">
        <f>IF($A52="","",DATE(YEAR($A52),MONTH($A52),1))</f>
        <v/>
      </c>
    </row>
    <row r="53">
      <c r="A53" s="85" t="n"/>
      <c r="B53" s="87" t="n"/>
      <c r="C53" s="87" t="n"/>
      <c r="D53" s="86" t="n"/>
      <c r="E53" s="87" t="n"/>
      <c r="F53" s="91" t="n"/>
      <c r="G53" s="86" t="n"/>
      <c r="H53" s="86" t="n"/>
      <c r="I53" s="100">
        <f>IF($B53="","",IFERROR(INDEX(Setup!$B$99:$B$128,MATCH($B53,Setup!$A$99:$A$128,0)),"CHECK TYPE"))</f>
        <v/>
      </c>
      <c r="J53">
        <f>IF($A53="","",DATE(YEAR($A53),MONTH($A53),1))</f>
        <v/>
      </c>
    </row>
    <row r="54">
      <c r="A54" s="93" t="n"/>
      <c r="B54" s="95" t="n"/>
      <c r="C54" s="95" t="n"/>
      <c r="D54" s="94" t="n"/>
      <c r="E54" s="95" t="n"/>
      <c r="F54" s="98" t="n"/>
      <c r="G54" s="94" t="n"/>
      <c r="H54" s="94" t="n"/>
      <c r="I54" s="100">
        <f>IF($B54="","",IFERROR(INDEX(Setup!$B$99:$B$128,MATCH($B54,Setup!$A$99:$A$128,0)),"CHECK TYPE"))</f>
        <v/>
      </c>
      <c r="J54">
        <f>IF($A54="","",DATE(YEAR($A54),MONTH($A54),1))</f>
        <v/>
      </c>
    </row>
    <row r="55">
      <c r="A55" s="85" t="n"/>
      <c r="B55" s="87" t="n"/>
      <c r="C55" s="87" t="n"/>
      <c r="D55" s="86" t="n"/>
      <c r="E55" s="87" t="n"/>
      <c r="F55" s="91" t="n"/>
      <c r="G55" s="86" t="n"/>
      <c r="H55" s="86" t="n"/>
      <c r="I55" s="100">
        <f>IF($B55="","",IFERROR(INDEX(Setup!$B$99:$B$128,MATCH($B55,Setup!$A$99:$A$128,0)),"CHECK TYPE"))</f>
        <v/>
      </c>
      <c r="J55">
        <f>IF($A55="","",DATE(YEAR($A55),MONTH($A55),1))</f>
        <v/>
      </c>
    </row>
    <row r="56">
      <c r="A56" s="93" t="n"/>
      <c r="B56" s="95" t="n"/>
      <c r="C56" s="95" t="n"/>
      <c r="D56" s="94" t="n"/>
      <c r="E56" s="95" t="n"/>
      <c r="F56" s="98" t="n"/>
      <c r="G56" s="94" t="n"/>
      <c r="H56" s="94" t="n"/>
      <c r="I56" s="100">
        <f>IF($B56="","",IFERROR(INDEX(Setup!$B$99:$B$128,MATCH($B56,Setup!$A$99:$A$128,0)),"CHECK TYPE"))</f>
        <v/>
      </c>
      <c r="J56">
        <f>IF($A56="","",DATE(YEAR($A56),MONTH($A56),1))</f>
        <v/>
      </c>
    </row>
    <row r="57">
      <c r="A57" s="85" t="n"/>
      <c r="B57" s="87" t="n"/>
      <c r="C57" s="87" t="n"/>
      <c r="D57" s="86" t="n"/>
      <c r="E57" s="87" t="n"/>
      <c r="F57" s="91" t="n"/>
      <c r="G57" s="86" t="n"/>
      <c r="H57" s="86" t="n"/>
      <c r="I57" s="100">
        <f>IF($B57="","",IFERROR(INDEX(Setup!$B$99:$B$128,MATCH($B57,Setup!$A$99:$A$128,0)),"CHECK TYPE"))</f>
        <v/>
      </c>
      <c r="J57">
        <f>IF($A57="","",DATE(YEAR($A57),MONTH($A57),1))</f>
        <v/>
      </c>
    </row>
    <row r="58">
      <c r="A58" s="93" t="n"/>
      <c r="B58" s="95" t="n"/>
      <c r="C58" s="95" t="n"/>
      <c r="D58" s="94" t="n"/>
      <c r="E58" s="95" t="n"/>
      <c r="F58" s="98" t="n"/>
      <c r="G58" s="94" t="n"/>
      <c r="H58" s="94" t="n"/>
      <c r="I58" s="100">
        <f>IF($B58="","",IFERROR(INDEX(Setup!$B$99:$B$128,MATCH($B58,Setup!$A$99:$A$128,0)),"CHECK TYPE"))</f>
        <v/>
      </c>
      <c r="J58">
        <f>IF($A58="","",DATE(YEAR($A58),MONTH($A58),1))</f>
        <v/>
      </c>
    </row>
    <row r="59">
      <c r="A59" s="85" t="n"/>
      <c r="B59" s="87" t="n"/>
      <c r="C59" s="87" t="n"/>
      <c r="D59" s="86" t="n"/>
      <c r="E59" s="87" t="n"/>
      <c r="F59" s="91" t="n"/>
      <c r="G59" s="86" t="n"/>
      <c r="H59" s="86" t="n"/>
      <c r="I59" s="100">
        <f>IF($B59="","",IFERROR(INDEX(Setup!$B$99:$B$128,MATCH($B59,Setup!$A$99:$A$128,0)),"CHECK TYPE"))</f>
        <v/>
      </c>
      <c r="J59">
        <f>IF($A59="","",DATE(YEAR($A59),MONTH($A59),1))</f>
        <v/>
      </c>
    </row>
    <row r="60">
      <c r="A60" s="93" t="n"/>
      <c r="B60" s="95" t="n"/>
      <c r="C60" s="95" t="n"/>
      <c r="D60" s="94" t="n"/>
      <c r="E60" s="95" t="n"/>
      <c r="F60" s="98" t="n"/>
      <c r="G60" s="94" t="n"/>
      <c r="H60" s="94" t="n"/>
      <c r="I60" s="100">
        <f>IF($B60="","",IFERROR(INDEX(Setup!$B$99:$B$128,MATCH($B60,Setup!$A$99:$A$128,0)),"CHECK TYPE"))</f>
        <v/>
      </c>
      <c r="J60">
        <f>IF($A60="","",DATE(YEAR($A60),MONTH($A60),1))</f>
        <v/>
      </c>
    </row>
    <row r="61">
      <c r="A61" s="85" t="n"/>
      <c r="B61" s="87" t="n"/>
      <c r="C61" s="87" t="n"/>
      <c r="D61" s="86" t="n"/>
      <c r="E61" s="87" t="n"/>
      <c r="F61" s="91" t="n"/>
      <c r="G61" s="86" t="n"/>
      <c r="H61" s="86" t="n"/>
      <c r="I61" s="100">
        <f>IF($B61="","",IFERROR(INDEX(Setup!$B$99:$B$128,MATCH($B61,Setup!$A$99:$A$128,0)),"CHECK TYPE"))</f>
        <v/>
      </c>
      <c r="J61">
        <f>IF($A61="","",DATE(YEAR($A61),MONTH($A61),1))</f>
        <v/>
      </c>
    </row>
    <row r="62">
      <c r="A62" s="93" t="n"/>
      <c r="B62" s="95" t="n"/>
      <c r="C62" s="95" t="n"/>
      <c r="D62" s="94" t="n"/>
      <c r="E62" s="95" t="n"/>
      <c r="F62" s="98" t="n"/>
      <c r="G62" s="94" t="n"/>
      <c r="H62" s="94" t="n"/>
      <c r="I62" s="100">
        <f>IF($B62="","",IFERROR(INDEX(Setup!$B$99:$B$128,MATCH($B62,Setup!$A$99:$A$128,0)),"CHECK TYPE"))</f>
        <v/>
      </c>
      <c r="J62">
        <f>IF($A62="","",DATE(YEAR($A62),MONTH($A62),1))</f>
        <v/>
      </c>
    </row>
    <row r="63">
      <c r="A63" s="85" t="n"/>
      <c r="B63" s="87" t="n"/>
      <c r="C63" s="87" t="n"/>
      <c r="D63" s="86" t="n"/>
      <c r="E63" s="87" t="n"/>
      <c r="F63" s="91" t="n"/>
      <c r="G63" s="86" t="n"/>
      <c r="H63" s="86" t="n"/>
      <c r="I63" s="100">
        <f>IF($B63="","",IFERROR(INDEX(Setup!$B$99:$B$128,MATCH($B63,Setup!$A$99:$A$128,0)),"CHECK TYPE"))</f>
        <v/>
      </c>
      <c r="J63">
        <f>IF($A63="","",DATE(YEAR($A63),MONTH($A63),1))</f>
        <v/>
      </c>
    </row>
    <row r="64">
      <c r="A64" s="93" t="n"/>
      <c r="B64" s="95" t="n"/>
      <c r="C64" s="95" t="n"/>
      <c r="D64" s="94" t="n"/>
      <c r="E64" s="95" t="n"/>
      <c r="F64" s="98" t="n"/>
      <c r="G64" s="94" t="n"/>
      <c r="H64" s="94" t="n"/>
      <c r="I64" s="100">
        <f>IF($B64="","",IFERROR(INDEX(Setup!$B$99:$B$128,MATCH($B64,Setup!$A$99:$A$128,0)),"CHECK TYPE"))</f>
        <v/>
      </c>
      <c r="J64">
        <f>IF($A64="","",DATE(YEAR($A64),MONTH($A64),1))</f>
        <v/>
      </c>
    </row>
    <row r="65">
      <c r="A65" s="85" t="n"/>
      <c r="B65" s="87" t="n"/>
      <c r="C65" s="87" t="n"/>
      <c r="D65" s="86" t="n"/>
      <c r="E65" s="87" t="n"/>
      <c r="F65" s="91" t="n"/>
      <c r="G65" s="86" t="n"/>
      <c r="H65" s="86" t="n"/>
      <c r="I65" s="100">
        <f>IF($B65="","",IFERROR(INDEX(Setup!$B$99:$B$128,MATCH($B65,Setup!$A$99:$A$128,0)),"CHECK TYPE"))</f>
        <v/>
      </c>
      <c r="J65">
        <f>IF($A65="","",DATE(YEAR($A65),MONTH($A65),1))</f>
        <v/>
      </c>
    </row>
    <row r="66">
      <c r="A66" s="93" t="n"/>
      <c r="B66" s="95" t="n"/>
      <c r="C66" s="95" t="n"/>
      <c r="D66" s="94" t="n"/>
      <c r="E66" s="95" t="n"/>
      <c r="F66" s="98" t="n"/>
      <c r="G66" s="94" t="n"/>
      <c r="H66" s="94" t="n"/>
      <c r="I66" s="100">
        <f>IF($B66="","",IFERROR(INDEX(Setup!$B$99:$B$128,MATCH($B66,Setup!$A$99:$A$128,0)),"CHECK TYPE"))</f>
        <v/>
      </c>
      <c r="J66">
        <f>IF($A66="","",DATE(YEAR($A66),MONTH($A66),1))</f>
        <v/>
      </c>
    </row>
    <row r="67">
      <c r="A67" s="85" t="n"/>
      <c r="B67" s="87" t="n"/>
      <c r="C67" s="87" t="n"/>
      <c r="D67" s="86" t="n"/>
      <c r="E67" s="87" t="n"/>
      <c r="F67" s="91" t="n"/>
      <c r="G67" s="86" t="n"/>
      <c r="H67" s="86" t="n"/>
      <c r="I67" s="100">
        <f>IF($B67="","",IFERROR(INDEX(Setup!$B$99:$B$128,MATCH($B67,Setup!$A$99:$A$128,0)),"CHECK TYPE"))</f>
        <v/>
      </c>
      <c r="J67">
        <f>IF($A67="","",DATE(YEAR($A67),MONTH($A67),1))</f>
        <v/>
      </c>
    </row>
    <row r="68">
      <c r="A68" s="93" t="n"/>
      <c r="B68" s="95" t="n"/>
      <c r="C68" s="95" t="n"/>
      <c r="D68" s="94" t="n"/>
      <c r="E68" s="95" t="n"/>
      <c r="F68" s="98" t="n"/>
      <c r="G68" s="94" t="n"/>
      <c r="H68" s="94" t="n"/>
      <c r="I68" s="100">
        <f>IF($B68="","",IFERROR(INDEX(Setup!$B$99:$B$128,MATCH($B68,Setup!$A$99:$A$128,0)),"CHECK TYPE"))</f>
        <v/>
      </c>
      <c r="J68">
        <f>IF($A68="","",DATE(YEAR($A68),MONTH($A68),1))</f>
        <v/>
      </c>
    </row>
    <row r="69">
      <c r="A69" s="85" t="n"/>
      <c r="B69" s="87" t="n"/>
      <c r="C69" s="87" t="n"/>
      <c r="D69" s="86" t="n"/>
      <c r="E69" s="87" t="n"/>
      <c r="F69" s="91" t="n"/>
      <c r="G69" s="86" t="n"/>
      <c r="H69" s="86" t="n"/>
      <c r="I69" s="100">
        <f>IF($B69="","",IFERROR(INDEX(Setup!$B$99:$B$128,MATCH($B69,Setup!$A$99:$A$128,0)),"CHECK TYPE"))</f>
        <v/>
      </c>
      <c r="J69">
        <f>IF($A69="","",DATE(YEAR($A69),MONTH($A69),1))</f>
        <v/>
      </c>
    </row>
    <row r="70">
      <c r="A70" s="93" t="n"/>
      <c r="B70" s="95" t="n"/>
      <c r="C70" s="95" t="n"/>
      <c r="D70" s="94" t="n"/>
      <c r="E70" s="95" t="n"/>
      <c r="F70" s="98" t="n"/>
      <c r="G70" s="94" t="n"/>
      <c r="H70" s="94" t="n"/>
      <c r="I70" s="100">
        <f>IF($B70="","",IFERROR(INDEX(Setup!$B$99:$B$128,MATCH($B70,Setup!$A$99:$A$128,0)),"CHECK TYPE"))</f>
        <v/>
      </c>
      <c r="J70">
        <f>IF($A70="","",DATE(YEAR($A70),MONTH($A70),1))</f>
        <v/>
      </c>
    </row>
    <row r="71">
      <c r="A71" s="85" t="n"/>
      <c r="B71" s="87" t="n"/>
      <c r="C71" s="87" t="n"/>
      <c r="D71" s="86" t="n"/>
      <c r="E71" s="87" t="n"/>
      <c r="F71" s="91" t="n"/>
      <c r="G71" s="86" t="n"/>
      <c r="H71" s="86" t="n"/>
      <c r="I71" s="100">
        <f>IF($B71="","",IFERROR(INDEX(Setup!$B$99:$B$128,MATCH($B71,Setup!$A$99:$A$128,0)),"CHECK TYPE"))</f>
        <v/>
      </c>
      <c r="J71">
        <f>IF($A71="","",DATE(YEAR($A71),MONTH($A71),1))</f>
        <v/>
      </c>
    </row>
    <row r="72">
      <c r="A72" s="93" t="n"/>
      <c r="B72" s="95" t="n"/>
      <c r="C72" s="95" t="n"/>
      <c r="D72" s="94" t="n"/>
      <c r="E72" s="95" t="n"/>
      <c r="F72" s="98" t="n"/>
      <c r="G72" s="94" t="n"/>
      <c r="H72" s="94" t="n"/>
      <c r="I72" s="100">
        <f>IF($B72="","",IFERROR(INDEX(Setup!$B$99:$B$128,MATCH($B72,Setup!$A$99:$A$128,0)),"CHECK TYPE"))</f>
        <v/>
      </c>
      <c r="J72">
        <f>IF($A72="","",DATE(YEAR($A72),MONTH($A72),1))</f>
        <v/>
      </c>
    </row>
    <row r="73">
      <c r="A73" s="85" t="n"/>
      <c r="B73" s="87" t="n"/>
      <c r="C73" s="87" t="n"/>
      <c r="D73" s="86" t="n"/>
      <c r="E73" s="87" t="n"/>
      <c r="F73" s="91" t="n"/>
      <c r="G73" s="86" t="n"/>
      <c r="H73" s="86" t="n"/>
      <c r="I73" s="100">
        <f>IF($B73="","",IFERROR(INDEX(Setup!$B$99:$B$128,MATCH($B73,Setup!$A$99:$A$128,0)),"CHECK TYPE"))</f>
        <v/>
      </c>
      <c r="J73">
        <f>IF($A73="","",DATE(YEAR($A73),MONTH($A73),1))</f>
        <v/>
      </c>
    </row>
    <row r="74">
      <c r="A74" s="93" t="n"/>
      <c r="B74" s="95" t="n"/>
      <c r="C74" s="95" t="n"/>
      <c r="D74" s="94" t="n"/>
      <c r="E74" s="95" t="n"/>
      <c r="F74" s="98" t="n"/>
      <c r="G74" s="94" t="n"/>
      <c r="H74" s="94" t="n"/>
      <c r="I74" s="100">
        <f>IF($B74="","",IFERROR(INDEX(Setup!$B$99:$B$128,MATCH($B74,Setup!$A$99:$A$128,0)),"CHECK TYPE"))</f>
        <v/>
      </c>
      <c r="J74">
        <f>IF($A74="","",DATE(YEAR($A74),MONTH($A74),1))</f>
        <v/>
      </c>
    </row>
    <row r="75">
      <c r="A75" s="85" t="n"/>
      <c r="B75" s="87" t="n"/>
      <c r="C75" s="87" t="n"/>
      <c r="D75" s="86" t="n"/>
      <c r="E75" s="87" t="n"/>
      <c r="F75" s="91" t="n"/>
      <c r="G75" s="86" t="n"/>
      <c r="H75" s="86" t="n"/>
      <c r="I75" s="100">
        <f>IF($B75="","",IFERROR(INDEX(Setup!$B$99:$B$128,MATCH($B75,Setup!$A$99:$A$128,0)),"CHECK TYPE"))</f>
        <v/>
      </c>
      <c r="J75">
        <f>IF($A75="","",DATE(YEAR($A75),MONTH($A75),1))</f>
        <v/>
      </c>
    </row>
    <row r="76">
      <c r="A76" s="93" t="n"/>
      <c r="B76" s="95" t="n"/>
      <c r="C76" s="95" t="n"/>
      <c r="D76" s="94" t="n"/>
      <c r="E76" s="95" t="n"/>
      <c r="F76" s="98" t="n"/>
      <c r="G76" s="94" t="n"/>
      <c r="H76" s="94" t="n"/>
      <c r="I76" s="100">
        <f>IF($B76="","",IFERROR(INDEX(Setup!$B$99:$B$128,MATCH($B76,Setup!$A$99:$A$128,0)),"CHECK TYPE"))</f>
        <v/>
      </c>
      <c r="J76">
        <f>IF($A76="","",DATE(YEAR($A76),MONTH($A76),1))</f>
        <v/>
      </c>
    </row>
    <row r="77">
      <c r="A77" s="85" t="n"/>
      <c r="B77" s="87" t="n"/>
      <c r="C77" s="87" t="n"/>
      <c r="D77" s="86" t="n"/>
      <c r="E77" s="87" t="n"/>
      <c r="F77" s="91" t="n"/>
      <c r="G77" s="86" t="n"/>
      <c r="H77" s="86" t="n"/>
      <c r="I77" s="100">
        <f>IF($B77="","",IFERROR(INDEX(Setup!$B$99:$B$128,MATCH($B77,Setup!$A$99:$A$128,0)),"CHECK TYPE"))</f>
        <v/>
      </c>
      <c r="J77">
        <f>IF($A77="","",DATE(YEAR($A77),MONTH($A77),1))</f>
        <v/>
      </c>
    </row>
    <row r="78">
      <c r="A78" s="93" t="n"/>
      <c r="B78" s="95" t="n"/>
      <c r="C78" s="95" t="n"/>
      <c r="D78" s="94" t="n"/>
      <c r="E78" s="95" t="n"/>
      <c r="F78" s="98" t="n"/>
      <c r="G78" s="94" t="n"/>
      <c r="H78" s="94" t="n"/>
      <c r="I78" s="100">
        <f>IF($B78="","",IFERROR(INDEX(Setup!$B$99:$B$128,MATCH($B78,Setup!$A$99:$A$128,0)),"CHECK TYPE"))</f>
        <v/>
      </c>
      <c r="J78">
        <f>IF($A78="","",DATE(YEAR($A78),MONTH($A78),1))</f>
        <v/>
      </c>
    </row>
    <row r="79">
      <c r="A79" s="85" t="n"/>
      <c r="B79" s="87" t="n"/>
      <c r="C79" s="87" t="n"/>
      <c r="D79" s="86" t="n"/>
      <c r="E79" s="87" t="n"/>
      <c r="F79" s="91" t="n"/>
      <c r="G79" s="86" t="n"/>
      <c r="H79" s="86" t="n"/>
      <c r="I79" s="100">
        <f>IF($B79="","",IFERROR(INDEX(Setup!$B$99:$B$128,MATCH($B79,Setup!$A$99:$A$128,0)),"CHECK TYPE"))</f>
        <v/>
      </c>
      <c r="J79">
        <f>IF($A79="","",DATE(YEAR($A79),MONTH($A79),1))</f>
        <v/>
      </c>
    </row>
    <row r="80">
      <c r="A80" s="93" t="n"/>
      <c r="B80" s="95" t="n"/>
      <c r="C80" s="95" t="n"/>
      <c r="D80" s="94" t="n"/>
      <c r="E80" s="95" t="n"/>
      <c r="F80" s="98" t="n"/>
      <c r="G80" s="94" t="n"/>
      <c r="H80" s="94" t="n"/>
      <c r="I80" s="100">
        <f>IF($B80="","",IFERROR(INDEX(Setup!$B$99:$B$128,MATCH($B80,Setup!$A$99:$A$128,0)),"CHECK TYPE"))</f>
        <v/>
      </c>
      <c r="J80">
        <f>IF($A80="","",DATE(YEAR($A80),MONTH($A80),1))</f>
        <v/>
      </c>
    </row>
    <row r="81">
      <c r="A81" s="85" t="n"/>
      <c r="B81" s="87" t="n"/>
      <c r="C81" s="87" t="n"/>
      <c r="D81" s="86" t="n"/>
      <c r="E81" s="87" t="n"/>
      <c r="F81" s="91" t="n"/>
      <c r="G81" s="86" t="n"/>
      <c r="H81" s="86" t="n"/>
      <c r="I81" s="100">
        <f>IF($B81="","",IFERROR(INDEX(Setup!$B$99:$B$128,MATCH($B81,Setup!$A$99:$A$128,0)),"CHECK TYPE"))</f>
        <v/>
      </c>
      <c r="J81">
        <f>IF($A81="","",DATE(YEAR($A81),MONTH($A81),1))</f>
        <v/>
      </c>
    </row>
    <row r="82">
      <c r="A82" s="93" t="n"/>
      <c r="B82" s="95" t="n"/>
      <c r="C82" s="95" t="n"/>
      <c r="D82" s="94" t="n"/>
      <c r="E82" s="95" t="n"/>
      <c r="F82" s="98" t="n"/>
      <c r="G82" s="94" t="n"/>
      <c r="H82" s="94" t="n"/>
      <c r="I82" s="100">
        <f>IF($B82="","",IFERROR(INDEX(Setup!$B$99:$B$128,MATCH($B82,Setup!$A$99:$A$128,0)),"CHECK TYPE"))</f>
        <v/>
      </c>
      <c r="J82">
        <f>IF($A82="","",DATE(YEAR($A82),MONTH($A82),1))</f>
        <v/>
      </c>
    </row>
    <row r="83">
      <c r="A83" s="85" t="n"/>
      <c r="B83" s="87" t="n"/>
      <c r="C83" s="87" t="n"/>
      <c r="D83" s="86" t="n"/>
      <c r="E83" s="87" t="n"/>
      <c r="F83" s="91" t="n"/>
      <c r="G83" s="86" t="n"/>
      <c r="H83" s="86" t="n"/>
      <c r="I83" s="100">
        <f>IF($B83="","",IFERROR(INDEX(Setup!$B$99:$B$128,MATCH($B83,Setup!$A$99:$A$128,0)),"CHECK TYPE"))</f>
        <v/>
      </c>
      <c r="J83">
        <f>IF($A83="","",DATE(YEAR($A83),MONTH($A83),1))</f>
        <v/>
      </c>
    </row>
    <row r="84">
      <c r="A84" s="93" t="n"/>
      <c r="B84" s="95" t="n"/>
      <c r="C84" s="95" t="n"/>
      <c r="D84" s="94" t="n"/>
      <c r="E84" s="95" t="n"/>
      <c r="F84" s="98" t="n"/>
      <c r="G84" s="94" t="n"/>
      <c r="H84" s="94" t="n"/>
      <c r="I84" s="100">
        <f>IF($B84="","",IFERROR(INDEX(Setup!$B$99:$B$128,MATCH($B84,Setup!$A$99:$A$128,0)),"CHECK TYPE"))</f>
        <v/>
      </c>
      <c r="J84">
        <f>IF($A84="","",DATE(YEAR($A84),MONTH($A84),1))</f>
        <v/>
      </c>
    </row>
    <row r="85">
      <c r="A85" s="85" t="n"/>
      <c r="B85" s="87" t="n"/>
      <c r="C85" s="87" t="n"/>
      <c r="D85" s="86" t="n"/>
      <c r="E85" s="87" t="n"/>
      <c r="F85" s="91" t="n"/>
      <c r="G85" s="86" t="n"/>
      <c r="H85" s="86" t="n"/>
      <c r="I85" s="100">
        <f>IF($B85="","",IFERROR(INDEX(Setup!$B$99:$B$128,MATCH($B85,Setup!$A$99:$A$128,0)),"CHECK TYPE"))</f>
        <v/>
      </c>
      <c r="J85">
        <f>IF($A85="","",DATE(YEAR($A85),MONTH($A85),1))</f>
        <v/>
      </c>
    </row>
    <row r="86">
      <c r="A86" s="93" t="n"/>
      <c r="B86" s="95" t="n"/>
      <c r="C86" s="95" t="n"/>
      <c r="D86" s="94" t="n"/>
      <c r="E86" s="95" t="n"/>
      <c r="F86" s="98" t="n"/>
      <c r="G86" s="94" t="n"/>
      <c r="H86" s="94" t="n"/>
      <c r="I86" s="100">
        <f>IF($B86="","",IFERROR(INDEX(Setup!$B$99:$B$128,MATCH($B86,Setup!$A$99:$A$128,0)),"CHECK TYPE"))</f>
        <v/>
      </c>
      <c r="J86">
        <f>IF($A86="","",DATE(YEAR($A86),MONTH($A86),1))</f>
        <v/>
      </c>
    </row>
    <row r="87">
      <c r="A87" s="85" t="n"/>
      <c r="B87" s="87" t="n"/>
      <c r="C87" s="87" t="n"/>
      <c r="D87" s="86" t="n"/>
      <c r="E87" s="87" t="n"/>
      <c r="F87" s="91" t="n"/>
      <c r="G87" s="86" t="n"/>
      <c r="H87" s="86" t="n"/>
      <c r="I87" s="100">
        <f>IF($B87="","",IFERROR(INDEX(Setup!$B$99:$B$128,MATCH($B87,Setup!$A$99:$A$128,0)),"CHECK TYPE"))</f>
        <v/>
      </c>
      <c r="J87">
        <f>IF($A87="","",DATE(YEAR($A87),MONTH($A87),1))</f>
        <v/>
      </c>
    </row>
    <row r="88">
      <c r="A88" s="93" t="n"/>
      <c r="B88" s="95" t="n"/>
      <c r="C88" s="95" t="n"/>
      <c r="D88" s="94" t="n"/>
      <c r="E88" s="95" t="n"/>
      <c r="F88" s="98" t="n"/>
      <c r="G88" s="94" t="n"/>
      <c r="H88" s="94" t="n"/>
      <c r="I88" s="100">
        <f>IF($B88="","",IFERROR(INDEX(Setup!$B$99:$B$128,MATCH($B88,Setup!$A$99:$A$128,0)),"CHECK TYPE"))</f>
        <v/>
      </c>
      <c r="J88">
        <f>IF($A88="","",DATE(YEAR($A88),MONTH($A88),1))</f>
        <v/>
      </c>
    </row>
    <row r="89">
      <c r="A89" s="85" t="n"/>
      <c r="B89" s="87" t="n"/>
      <c r="C89" s="87" t="n"/>
      <c r="D89" s="86" t="n"/>
      <c r="E89" s="87" t="n"/>
      <c r="F89" s="91" t="n"/>
      <c r="G89" s="86" t="n"/>
      <c r="H89" s="86" t="n"/>
      <c r="I89" s="100">
        <f>IF($B89="","",IFERROR(INDEX(Setup!$B$99:$B$128,MATCH($B89,Setup!$A$99:$A$128,0)),"CHECK TYPE"))</f>
        <v/>
      </c>
      <c r="J89">
        <f>IF($A89="","",DATE(YEAR($A89),MONTH($A89),1))</f>
        <v/>
      </c>
    </row>
    <row r="90">
      <c r="A90" s="93" t="n"/>
      <c r="B90" s="95" t="n"/>
      <c r="C90" s="95" t="n"/>
      <c r="D90" s="94" t="n"/>
      <c r="E90" s="95" t="n"/>
      <c r="F90" s="98" t="n"/>
      <c r="G90" s="94" t="n"/>
      <c r="H90" s="94" t="n"/>
      <c r="I90" s="100">
        <f>IF($B90="","",IFERROR(INDEX(Setup!$B$99:$B$128,MATCH($B90,Setup!$A$99:$A$128,0)),"CHECK TYPE"))</f>
        <v/>
      </c>
      <c r="J90">
        <f>IF($A90="","",DATE(YEAR($A90),MONTH($A90),1))</f>
        <v/>
      </c>
    </row>
    <row r="91">
      <c r="A91" s="85" t="n"/>
      <c r="B91" s="87" t="n"/>
      <c r="C91" s="87" t="n"/>
      <c r="D91" s="86" t="n"/>
      <c r="E91" s="87" t="n"/>
      <c r="F91" s="91" t="n"/>
      <c r="G91" s="86" t="n"/>
      <c r="H91" s="86" t="n"/>
      <c r="I91" s="100">
        <f>IF($B91="","",IFERROR(INDEX(Setup!$B$99:$B$128,MATCH($B91,Setup!$A$99:$A$128,0)),"CHECK TYPE"))</f>
        <v/>
      </c>
      <c r="J91">
        <f>IF($A91="","",DATE(YEAR($A91),MONTH($A91),1))</f>
        <v/>
      </c>
    </row>
    <row r="92">
      <c r="A92" s="93" t="n"/>
      <c r="B92" s="95" t="n"/>
      <c r="C92" s="95" t="n"/>
      <c r="D92" s="94" t="n"/>
      <c r="E92" s="95" t="n"/>
      <c r="F92" s="98" t="n"/>
      <c r="G92" s="94" t="n"/>
      <c r="H92" s="94" t="n"/>
      <c r="I92" s="100">
        <f>IF($B92="","",IFERROR(INDEX(Setup!$B$99:$B$128,MATCH($B92,Setup!$A$99:$A$128,0)),"CHECK TYPE"))</f>
        <v/>
      </c>
      <c r="J92">
        <f>IF($A92="","",DATE(YEAR($A92),MONTH($A92),1))</f>
        <v/>
      </c>
    </row>
    <row r="93">
      <c r="A93" s="85" t="n"/>
      <c r="B93" s="87" t="n"/>
      <c r="C93" s="87" t="n"/>
      <c r="D93" s="86" t="n"/>
      <c r="E93" s="87" t="n"/>
      <c r="F93" s="91" t="n"/>
      <c r="G93" s="86" t="n"/>
      <c r="H93" s="86" t="n"/>
      <c r="I93" s="100">
        <f>IF($B93="","",IFERROR(INDEX(Setup!$B$99:$B$128,MATCH($B93,Setup!$A$99:$A$128,0)),"CHECK TYPE"))</f>
        <v/>
      </c>
      <c r="J93">
        <f>IF($A93="","",DATE(YEAR($A93),MONTH($A93),1))</f>
        <v/>
      </c>
    </row>
    <row r="94">
      <c r="A94" s="93" t="n"/>
      <c r="B94" s="95" t="n"/>
      <c r="C94" s="95" t="n"/>
      <c r="D94" s="94" t="n"/>
      <c r="E94" s="95" t="n"/>
      <c r="F94" s="98" t="n"/>
      <c r="G94" s="94" t="n"/>
      <c r="H94" s="94" t="n"/>
      <c r="I94" s="100">
        <f>IF($B94="","",IFERROR(INDEX(Setup!$B$99:$B$128,MATCH($B94,Setup!$A$99:$A$128,0)),"CHECK TYPE"))</f>
        <v/>
      </c>
      <c r="J94">
        <f>IF($A94="","",DATE(YEAR($A94),MONTH($A94),1))</f>
        <v/>
      </c>
    </row>
    <row r="95">
      <c r="A95" s="85" t="n"/>
      <c r="B95" s="87" t="n"/>
      <c r="C95" s="87" t="n"/>
      <c r="D95" s="86" t="n"/>
      <c r="E95" s="87" t="n"/>
      <c r="F95" s="91" t="n"/>
      <c r="G95" s="86" t="n"/>
      <c r="H95" s="86" t="n"/>
      <c r="I95" s="100">
        <f>IF($B95="","",IFERROR(INDEX(Setup!$B$99:$B$128,MATCH($B95,Setup!$A$99:$A$128,0)),"CHECK TYPE"))</f>
        <v/>
      </c>
      <c r="J95">
        <f>IF($A95="","",DATE(YEAR($A95),MONTH($A95),1))</f>
        <v/>
      </c>
    </row>
    <row r="96">
      <c r="A96" s="93" t="n"/>
      <c r="B96" s="95" t="n"/>
      <c r="C96" s="95" t="n"/>
      <c r="D96" s="94" t="n"/>
      <c r="E96" s="95" t="n"/>
      <c r="F96" s="98" t="n"/>
      <c r="G96" s="94" t="n"/>
      <c r="H96" s="94" t="n"/>
      <c r="I96" s="100">
        <f>IF($B96="","",IFERROR(INDEX(Setup!$B$99:$B$128,MATCH($B96,Setup!$A$99:$A$128,0)),"CHECK TYPE"))</f>
        <v/>
      </c>
      <c r="J96">
        <f>IF($A96="","",DATE(YEAR($A96),MONTH($A96),1))</f>
        <v/>
      </c>
    </row>
    <row r="97">
      <c r="A97" s="85" t="n"/>
      <c r="B97" s="87" t="n"/>
      <c r="C97" s="87" t="n"/>
      <c r="D97" s="86" t="n"/>
      <c r="E97" s="87" t="n"/>
      <c r="F97" s="91" t="n"/>
      <c r="G97" s="86" t="n"/>
      <c r="H97" s="86" t="n"/>
      <c r="I97" s="100">
        <f>IF($B97="","",IFERROR(INDEX(Setup!$B$99:$B$128,MATCH($B97,Setup!$A$99:$A$128,0)),"CHECK TYPE"))</f>
        <v/>
      </c>
      <c r="J97">
        <f>IF($A97="","",DATE(YEAR($A97),MONTH($A97),1))</f>
        <v/>
      </c>
    </row>
    <row r="98">
      <c r="A98" s="93" t="n"/>
      <c r="B98" s="95" t="n"/>
      <c r="C98" s="95" t="n"/>
      <c r="D98" s="94" t="n"/>
      <c r="E98" s="95" t="n"/>
      <c r="F98" s="98" t="n"/>
      <c r="G98" s="94" t="n"/>
      <c r="H98" s="94" t="n"/>
      <c r="I98" s="100">
        <f>IF($B98="","",IFERROR(INDEX(Setup!$B$99:$B$128,MATCH($B98,Setup!$A$99:$A$128,0)),"CHECK TYPE"))</f>
        <v/>
      </c>
      <c r="J98">
        <f>IF($A98="","",DATE(YEAR($A98),MONTH($A98),1))</f>
        <v/>
      </c>
    </row>
    <row r="99">
      <c r="A99" s="85" t="n"/>
      <c r="B99" s="87" t="n"/>
      <c r="C99" s="87" t="n"/>
      <c r="D99" s="86" t="n"/>
      <c r="E99" s="87" t="n"/>
      <c r="F99" s="91" t="n"/>
      <c r="G99" s="86" t="n"/>
      <c r="H99" s="86" t="n"/>
      <c r="I99" s="100">
        <f>IF($B99="","",IFERROR(INDEX(Setup!$B$99:$B$128,MATCH($B99,Setup!$A$99:$A$128,0)),"CHECK TYPE"))</f>
        <v/>
      </c>
      <c r="J99">
        <f>IF($A99="","",DATE(YEAR($A99),MONTH($A99),1))</f>
        <v/>
      </c>
    </row>
    <row r="100">
      <c r="A100" s="93" t="n"/>
      <c r="B100" s="95" t="n"/>
      <c r="C100" s="95" t="n"/>
      <c r="D100" s="94" t="n"/>
      <c r="E100" s="95" t="n"/>
      <c r="F100" s="98" t="n"/>
      <c r="G100" s="94" t="n"/>
      <c r="H100" s="94" t="n"/>
      <c r="I100" s="100">
        <f>IF($B100="","",IFERROR(INDEX(Setup!$B$99:$B$128,MATCH($B100,Setup!$A$99:$A$128,0)),"CHECK TYPE"))</f>
        <v/>
      </c>
      <c r="J100">
        <f>IF($A100="","",DATE(YEAR($A100),MONTH($A100),1))</f>
        <v/>
      </c>
    </row>
    <row r="101">
      <c r="A101" s="85" t="n"/>
      <c r="B101" s="87" t="n"/>
      <c r="C101" s="87" t="n"/>
      <c r="D101" s="86" t="n"/>
      <c r="E101" s="87" t="n"/>
      <c r="F101" s="91" t="n"/>
      <c r="G101" s="86" t="n"/>
      <c r="H101" s="86" t="n"/>
      <c r="I101" s="100">
        <f>IF($B101="","",IFERROR(INDEX(Setup!$B$99:$B$128,MATCH($B101,Setup!$A$99:$A$128,0)),"CHECK TYPE"))</f>
        <v/>
      </c>
      <c r="J101">
        <f>IF($A101="","",DATE(YEAR($A101),MONTH($A101),1))</f>
        <v/>
      </c>
    </row>
    <row r="102">
      <c r="A102" s="93" t="n"/>
      <c r="B102" s="95" t="n"/>
      <c r="C102" s="95" t="n"/>
      <c r="D102" s="94" t="n"/>
      <c r="E102" s="95" t="n"/>
      <c r="F102" s="98" t="n"/>
      <c r="G102" s="94" t="n"/>
      <c r="H102" s="94" t="n"/>
      <c r="I102" s="100">
        <f>IF($B102="","",IFERROR(INDEX(Setup!$B$99:$B$128,MATCH($B102,Setup!$A$99:$A$128,0)),"CHECK TYPE"))</f>
        <v/>
      </c>
      <c r="J102">
        <f>IF($A102="","",DATE(YEAR($A102),MONTH($A102),1))</f>
        <v/>
      </c>
    </row>
    <row r="103">
      <c r="A103" s="85" t="n"/>
      <c r="B103" s="87" t="n"/>
      <c r="C103" s="87" t="n"/>
      <c r="D103" s="86" t="n"/>
      <c r="E103" s="87" t="n"/>
      <c r="F103" s="91" t="n"/>
      <c r="G103" s="86" t="n"/>
      <c r="H103" s="86" t="n"/>
      <c r="I103" s="100">
        <f>IF($B103="","",IFERROR(INDEX(Setup!$B$99:$B$128,MATCH($B103,Setup!$A$99:$A$128,0)),"CHECK TYPE"))</f>
        <v/>
      </c>
      <c r="J103">
        <f>IF($A103="","",DATE(YEAR($A103),MONTH($A103),1))</f>
        <v/>
      </c>
    </row>
    <row r="104">
      <c r="A104" s="93" t="n"/>
      <c r="B104" s="95" t="n"/>
      <c r="C104" s="95" t="n"/>
      <c r="D104" s="94" t="n"/>
      <c r="E104" s="95" t="n"/>
      <c r="F104" s="98" t="n"/>
      <c r="G104" s="94" t="n"/>
      <c r="H104" s="94" t="n"/>
      <c r="I104" s="100">
        <f>IF($B104="","",IFERROR(INDEX(Setup!$B$99:$B$128,MATCH($B104,Setup!$A$99:$A$128,0)),"CHECK TYPE"))</f>
        <v/>
      </c>
      <c r="J104">
        <f>IF($A104="","",DATE(YEAR($A104),MONTH($A104),1))</f>
        <v/>
      </c>
    </row>
    <row r="105">
      <c r="A105" s="85" t="n"/>
      <c r="B105" s="87" t="n"/>
      <c r="C105" s="87" t="n"/>
      <c r="D105" s="86" t="n"/>
      <c r="E105" s="87" t="n"/>
      <c r="F105" s="91" t="n"/>
      <c r="G105" s="86" t="n"/>
      <c r="H105" s="86" t="n"/>
      <c r="I105" s="100">
        <f>IF($B105="","",IFERROR(INDEX(Setup!$B$99:$B$128,MATCH($B105,Setup!$A$99:$A$128,0)),"CHECK TYPE"))</f>
        <v/>
      </c>
      <c r="J105">
        <f>IF($A105="","",DATE(YEAR($A105),MONTH($A105),1))</f>
        <v/>
      </c>
    </row>
    <row r="106">
      <c r="A106" s="93" t="n"/>
      <c r="B106" s="95" t="n"/>
      <c r="C106" s="95" t="n"/>
      <c r="D106" s="94" t="n"/>
      <c r="E106" s="95" t="n"/>
      <c r="F106" s="98" t="n"/>
      <c r="G106" s="94" t="n"/>
      <c r="H106" s="94" t="n"/>
      <c r="I106" s="100">
        <f>IF($B106="","",IFERROR(INDEX(Setup!$B$99:$B$128,MATCH($B106,Setup!$A$99:$A$128,0)),"CHECK TYPE"))</f>
        <v/>
      </c>
      <c r="J106">
        <f>IF($A106="","",DATE(YEAR($A106),MONTH($A106),1))</f>
        <v/>
      </c>
    </row>
    <row r="107">
      <c r="A107" s="85" t="n"/>
      <c r="B107" s="87" t="n"/>
      <c r="C107" s="87" t="n"/>
      <c r="D107" s="86" t="n"/>
      <c r="E107" s="87" t="n"/>
      <c r="F107" s="91" t="n"/>
      <c r="G107" s="86" t="n"/>
      <c r="H107" s="86" t="n"/>
      <c r="I107" s="100">
        <f>IF($B107="","",IFERROR(INDEX(Setup!$B$99:$B$128,MATCH($B107,Setup!$A$99:$A$128,0)),"CHECK TYPE"))</f>
        <v/>
      </c>
      <c r="J107">
        <f>IF($A107="","",DATE(YEAR($A107),MONTH($A107),1))</f>
        <v/>
      </c>
    </row>
    <row r="108">
      <c r="A108" s="93" t="n"/>
      <c r="B108" s="95" t="n"/>
      <c r="C108" s="95" t="n"/>
      <c r="D108" s="94" t="n"/>
      <c r="E108" s="95" t="n"/>
      <c r="F108" s="98" t="n"/>
      <c r="G108" s="94" t="n"/>
      <c r="H108" s="94" t="n"/>
      <c r="I108" s="100">
        <f>IF($B108="","",IFERROR(INDEX(Setup!$B$99:$B$128,MATCH($B108,Setup!$A$99:$A$128,0)),"CHECK TYPE"))</f>
        <v/>
      </c>
      <c r="J108">
        <f>IF($A108="","",DATE(YEAR($A108),MONTH($A108),1))</f>
        <v/>
      </c>
    </row>
    <row r="109">
      <c r="A109" s="85" t="n"/>
      <c r="B109" s="87" t="n"/>
      <c r="C109" s="87" t="n"/>
      <c r="D109" s="86" t="n"/>
      <c r="E109" s="87" t="n"/>
      <c r="F109" s="91" t="n"/>
      <c r="G109" s="86" t="n"/>
      <c r="H109" s="86" t="n"/>
      <c r="I109" s="100">
        <f>IF($B109="","",IFERROR(INDEX(Setup!$B$99:$B$128,MATCH($B109,Setup!$A$99:$A$128,0)),"CHECK TYPE"))</f>
        <v/>
      </c>
      <c r="J109">
        <f>IF($A109="","",DATE(YEAR($A109),MONTH($A109),1))</f>
        <v/>
      </c>
    </row>
    <row r="110">
      <c r="A110" s="93" t="n"/>
      <c r="B110" s="95" t="n"/>
      <c r="C110" s="95" t="n"/>
      <c r="D110" s="94" t="n"/>
      <c r="E110" s="95" t="n"/>
      <c r="F110" s="98" t="n"/>
      <c r="G110" s="94" t="n"/>
      <c r="H110" s="94" t="n"/>
      <c r="I110" s="100">
        <f>IF($B110="","",IFERROR(INDEX(Setup!$B$99:$B$128,MATCH($B110,Setup!$A$99:$A$128,0)),"CHECK TYPE"))</f>
        <v/>
      </c>
      <c r="J110">
        <f>IF($A110="","",DATE(YEAR($A110),MONTH($A110),1))</f>
        <v/>
      </c>
    </row>
    <row r="111">
      <c r="A111" s="85" t="n"/>
      <c r="B111" s="87" t="n"/>
      <c r="C111" s="87" t="n"/>
      <c r="D111" s="86" t="n"/>
      <c r="E111" s="87" t="n"/>
      <c r="F111" s="91" t="n"/>
      <c r="G111" s="86" t="n"/>
      <c r="H111" s="86" t="n"/>
      <c r="I111" s="100">
        <f>IF($B111="","",IFERROR(INDEX(Setup!$B$99:$B$128,MATCH($B111,Setup!$A$99:$A$128,0)),"CHECK TYPE"))</f>
        <v/>
      </c>
      <c r="J111">
        <f>IF($A111="","",DATE(YEAR($A111),MONTH($A111),1))</f>
        <v/>
      </c>
    </row>
    <row r="112">
      <c r="A112" s="93" t="n"/>
      <c r="B112" s="95" t="n"/>
      <c r="C112" s="95" t="n"/>
      <c r="D112" s="94" t="n"/>
      <c r="E112" s="95" t="n"/>
      <c r="F112" s="98" t="n"/>
      <c r="G112" s="94" t="n"/>
      <c r="H112" s="94" t="n"/>
      <c r="I112" s="100">
        <f>IF($B112="","",IFERROR(INDEX(Setup!$B$99:$B$128,MATCH($B112,Setup!$A$99:$A$128,0)),"CHECK TYPE"))</f>
        <v/>
      </c>
      <c r="J112">
        <f>IF($A112="","",DATE(YEAR($A112),MONTH($A112),1))</f>
        <v/>
      </c>
    </row>
    <row r="113">
      <c r="A113" s="85" t="n"/>
      <c r="B113" s="87" t="n"/>
      <c r="C113" s="87" t="n"/>
      <c r="D113" s="86" t="n"/>
      <c r="E113" s="87" t="n"/>
      <c r="F113" s="91" t="n"/>
      <c r="G113" s="86" t="n"/>
      <c r="H113" s="86" t="n"/>
      <c r="I113" s="100">
        <f>IF($B113="","",IFERROR(INDEX(Setup!$B$99:$B$128,MATCH($B113,Setup!$A$99:$A$128,0)),"CHECK TYPE"))</f>
        <v/>
      </c>
      <c r="J113">
        <f>IF($A113="","",DATE(YEAR($A113),MONTH($A113),1))</f>
        <v/>
      </c>
    </row>
    <row r="114">
      <c r="A114" s="93" t="n"/>
      <c r="B114" s="95" t="n"/>
      <c r="C114" s="95" t="n"/>
      <c r="D114" s="94" t="n"/>
      <c r="E114" s="95" t="n"/>
      <c r="F114" s="98" t="n"/>
      <c r="G114" s="94" t="n"/>
      <c r="H114" s="94" t="n"/>
      <c r="I114" s="100">
        <f>IF($B114="","",IFERROR(INDEX(Setup!$B$99:$B$128,MATCH($B114,Setup!$A$99:$A$128,0)),"CHECK TYPE"))</f>
        <v/>
      </c>
      <c r="J114">
        <f>IF($A114="","",DATE(YEAR($A114),MONTH($A114),1))</f>
        <v/>
      </c>
    </row>
    <row r="115">
      <c r="A115" s="85" t="n"/>
      <c r="B115" s="87" t="n"/>
      <c r="C115" s="87" t="n"/>
      <c r="D115" s="86" t="n"/>
      <c r="E115" s="87" t="n"/>
      <c r="F115" s="91" t="n"/>
      <c r="G115" s="86" t="n"/>
      <c r="H115" s="86" t="n"/>
      <c r="I115" s="100">
        <f>IF($B115="","",IFERROR(INDEX(Setup!$B$99:$B$128,MATCH($B115,Setup!$A$99:$A$128,0)),"CHECK TYPE"))</f>
        <v/>
      </c>
      <c r="J115">
        <f>IF($A115="","",DATE(YEAR($A115),MONTH($A115),1))</f>
        <v/>
      </c>
    </row>
    <row r="116">
      <c r="A116" s="93" t="n"/>
      <c r="B116" s="95" t="n"/>
      <c r="C116" s="95" t="n"/>
      <c r="D116" s="94" t="n"/>
      <c r="E116" s="95" t="n"/>
      <c r="F116" s="98" t="n"/>
      <c r="G116" s="94" t="n"/>
      <c r="H116" s="94" t="n"/>
      <c r="I116" s="100">
        <f>IF($B116="","",IFERROR(INDEX(Setup!$B$99:$B$128,MATCH($B116,Setup!$A$99:$A$128,0)),"CHECK TYPE"))</f>
        <v/>
      </c>
      <c r="J116">
        <f>IF($A116="","",DATE(YEAR($A116),MONTH($A116),1))</f>
        <v/>
      </c>
    </row>
    <row r="117">
      <c r="A117" s="85" t="n"/>
      <c r="B117" s="87" t="n"/>
      <c r="C117" s="87" t="n"/>
      <c r="D117" s="86" t="n"/>
      <c r="E117" s="87" t="n"/>
      <c r="F117" s="91" t="n"/>
      <c r="G117" s="86" t="n"/>
      <c r="H117" s="86" t="n"/>
      <c r="I117" s="100">
        <f>IF($B117="","",IFERROR(INDEX(Setup!$B$99:$B$128,MATCH($B117,Setup!$A$99:$A$128,0)),"CHECK TYPE"))</f>
        <v/>
      </c>
      <c r="J117">
        <f>IF($A117="","",DATE(YEAR($A117),MONTH($A117),1))</f>
        <v/>
      </c>
    </row>
    <row r="118">
      <c r="A118" s="93" t="n"/>
      <c r="B118" s="95" t="n"/>
      <c r="C118" s="95" t="n"/>
      <c r="D118" s="94" t="n"/>
      <c r="E118" s="95" t="n"/>
      <c r="F118" s="98" t="n"/>
      <c r="G118" s="94" t="n"/>
      <c r="H118" s="94" t="n"/>
      <c r="I118" s="100">
        <f>IF($B118="","",IFERROR(INDEX(Setup!$B$99:$B$128,MATCH($B118,Setup!$A$99:$A$128,0)),"CHECK TYPE"))</f>
        <v/>
      </c>
      <c r="J118">
        <f>IF($A118="","",DATE(YEAR($A118),MONTH($A118),1))</f>
        <v/>
      </c>
    </row>
    <row r="119">
      <c r="A119" s="85" t="n"/>
      <c r="B119" s="87" t="n"/>
      <c r="C119" s="87" t="n"/>
      <c r="D119" s="86" t="n"/>
      <c r="E119" s="87" t="n"/>
      <c r="F119" s="91" t="n"/>
      <c r="G119" s="86" t="n"/>
      <c r="H119" s="86" t="n"/>
      <c r="I119" s="100">
        <f>IF($B119="","",IFERROR(INDEX(Setup!$B$99:$B$128,MATCH($B119,Setup!$A$99:$A$128,0)),"CHECK TYPE"))</f>
        <v/>
      </c>
      <c r="J119">
        <f>IF($A119="","",DATE(YEAR($A119),MONTH($A119),1))</f>
        <v/>
      </c>
    </row>
    <row r="120">
      <c r="A120" s="93" t="n"/>
      <c r="B120" s="95" t="n"/>
      <c r="C120" s="95" t="n"/>
      <c r="D120" s="94" t="n"/>
      <c r="E120" s="95" t="n"/>
      <c r="F120" s="98" t="n"/>
      <c r="G120" s="94" t="n"/>
      <c r="H120" s="94" t="n"/>
      <c r="I120" s="100">
        <f>IF($B120="","",IFERROR(INDEX(Setup!$B$99:$B$128,MATCH($B120,Setup!$A$99:$A$128,0)),"CHECK TYPE"))</f>
        <v/>
      </c>
      <c r="J120">
        <f>IF($A120="","",DATE(YEAR($A120),MONTH($A120),1))</f>
        <v/>
      </c>
    </row>
    <row r="121">
      <c r="A121" s="85" t="n"/>
      <c r="B121" s="87" t="n"/>
      <c r="C121" s="87" t="n"/>
      <c r="D121" s="86" t="n"/>
      <c r="E121" s="87" t="n"/>
      <c r="F121" s="91" t="n"/>
      <c r="G121" s="86" t="n"/>
      <c r="H121" s="86" t="n"/>
      <c r="I121" s="100">
        <f>IF($B121="","",IFERROR(INDEX(Setup!$B$99:$B$128,MATCH($B121,Setup!$A$99:$A$128,0)),"CHECK TYPE"))</f>
        <v/>
      </c>
      <c r="J121">
        <f>IF($A121="","",DATE(YEAR($A121),MONTH($A121),1))</f>
        <v/>
      </c>
    </row>
    <row r="122">
      <c r="A122" s="93" t="n"/>
      <c r="B122" s="95" t="n"/>
      <c r="C122" s="95" t="n"/>
      <c r="D122" s="94" t="n"/>
      <c r="E122" s="95" t="n"/>
      <c r="F122" s="98" t="n"/>
      <c r="G122" s="94" t="n"/>
      <c r="H122" s="94" t="n"/>
      <c r="I122" s="100">
        <f>IF($B122="","",IFERROR(INDEX(Setup!$B$99:$B$128,MATCH($B122,Setup!$A$99:$A$128,0)),"CHECK TYPE"))</f>
        <v/>
      </c>
      <c r="J122">
        <f>IF($A122="","",DATE(YEAR($A122),MONTH($A122),1))</f>
        <v/>
      </c>
    </row>
    <row r="123">
      <c r="A123" s="85" t="n"/>
      <c r="B123" s="87" t="n"/>
      <c r="C123" s="87" t="n"/>
      <c r="D123" s="86" t="n"/>
      <c r="E123" s="87" t="n"/>
      <c r="F123" s="91" t="n"/>
      <c r="G123" s="86" t="n"/>
      <c r="H123" s="86" t="n"/>
      <c r="I123" s="100">
        <f>IF($B123="","",IFERROR(INDEX(Setup!$B$99:$B$128,MATCH($B123,Setup!$A$99:$A$128,0)),"CHECK TYPE"))</f>
        <v/>
      </c>
      <c r="J123">
        <f>IF($A123="","",DATE(YEAR($A123),MONTH($A123),1))</f>
        <v/>
      </c>
    </row>
    <row r="124">
      <c r="A124" s="93" t="n"/>
      <c r="B124" s="95" t="n"/>
      <c r="C124" s="95" t="n"/>
      <c r="D124" s="94" t="n"/>
      <c r="E124" s="95" t="n"/>
      <c r="F124" s="98" t="n"/>
      <c r="G124" s="94" t="n"/>
      <c r="H124" s="94" t="n"/>
      <c r="I124" s="100">
        <f>IF($B124="","",IFERROR(INDEX(Setup!$B$99:$B$128,MATCH($B124,Setup!$A$99:$A$128,0)),"CHECK TYPE"))</f>
        <v/>
      </c>
      <c r="J124">
        <f>IF($A124="","",DATE(YEAR($A124),MONTH($A124),1))</f>
        <v/>
      </c>
    </row>
    <row r="125">
      <c r="A125" s="85" t="n"/>
      <c r="B125" s="87" t="n"/>
      <c r="C125" s="87" t="n"/>
      <c r="D125" s="86" t="n"/>
      <c r="E125" s="87" t="n"/>
      <c r="F125" s="91" t="n"/>
      <c r="G125" s="86" t="n"/>
      <c r="H125" s="86" t="n"/>
      <c r="I125" s="100">
        <f>IF($B125="","",IFERROR(INDEX(Setup!$B$99:$B$128,MATCH($B125,Setup!$A$99:$A$128,0)),"CHECK TYPE"))</f>
        <v/>
      </c>
      <c r="J125">
        <f>IF($A125="","",DATE(YEAR($A125),MONTH($A125),1))</f>
        <v/>
      </c>
    </row>
    <row r="126">
      <c r="A126" s="93" t="n"/>
      <c r="B126" s="95" t="n"/>
      <c r="C126" s="95" t="n"/>
      <c r="D126" s="94" t="n"/>
      <c r="E126" s="95" t="n"/>
      <c r="F126" s="98" t="n"/>
      <c r="G126" s="94" t="n"/>
      <c r="H126" s="94" t="n"/>
      <c r="I126" s="100">
        <f>IF($B126="","",IFERROR(INDEX(Setup!$B$99:$B$128,MATCH($B126,Setup!$A$99:$A$128,0)),"CHECK TYPE"))</f>
        <v/>
      </c>
      <c r="J126">
        <f>IF($A126="","",DATE(YEAR($A126),MONTH($A126),1))</f>
        <v/>
      </c>
    </row>
    <row r="127">
      <c r="A127" s="85" t="n"/>
      <c r="B127" s="87" t="n"/>
      <c r="C127" s="87" t="n"/>
      <c r="D127" s="86" t="n"/>
      <c r="E127" s="87" t="n"/>
      <c r="F127" s="91" t="n"/>
      <c r="G127" s="86" t="n"/>
      <c r="H127" s="86" t="n"/>
      <c r="I127" s="100">
        <f>IF($B127="","",IFERROR(INDEX(Setup!$B$99:$B$128,MATCH($B127,Setup!$A$99:$A$128,0)),"CHECK TYPE"))</f>
        <v/>
      </c>
      <c r="J127">
        <f>IF($A127="","",DATE(YEAR($A127),MONTH($A127),1))</f>
        <v/>
      </c>
    </row>
    <row r="128">
      <c r="A128" s="93" t="n"/>
      <c r="B128" s="95" t="n"/>
      <c r="C128" s="95" t="n"/>
      <c r="D128" s="94" t="n"/>
      <c r="E128" s="95" t="n"/>
      <c r="F128" s="98" t="n"/>
      <c r="G128" s="94" t="n"/>
      <c r="H128" s="94" t="n"/>
      <c r="I128" s="100">
        <f>IF($B128="","",IFERROR(INDEX(Setup!$B$99:$B$128,MATCH($B128,Setup!$A$99:$A$128,0)),"CHECK TYPE"))</f>
        <v/>
      </c>
      <c r="J128">
        <f>IF($A128="","",DATE(YEAR($A128),MONTH($A128),1))</f>
        <v/>
      </c>
    </row>
    <row r="129">
      <c r="A129" s="85" t="n"/>
      <c r="B129" s="87" t="n"/>
      <c r="C129" s="87" t="n"/>
      <c r="D129" s="86" t="n"/>
      <c r="E129" s="87" t="n"/>
      <c r="F129" s="91" t="n"/>
      <c r="G129" s="86" t="n"/>
      <c r="H129" s="86" t="n"/>
      <c r="I129" s="100">
        <f>IF($B129="","",IFERROR(INDEX(Setup!$B$99:$B$128,MATCH($B129,Setup!$A$99:$A$128,0)),"CHECK TYPE"))</f>
        <v/>
      </c>
      <c r="J129">
        <f>IF($A129="","",DATE(YEAR($A129),MONTH($A129),1))</f>
        <v/>
      </c>
    </row>
    <row r="130">
      <c r="A130" s="93" t="n"/>
      <c r="B130" s="95" t="n"/>
      <c r="C130" s="95" t="n"/>
      <c r="D130" s="94" t="n"/>
      <c r="E130" s="95" t="n"/>
      <c r="F130" s="98" t="n"/>
      <c r="G130" s="94" t="n"/>
      <c r="H130" s="94" t="n"/>
      <c r="I130" s="100">
        <f>IF($B130="","",IFERROR(INDEX(Setup!$B$99:$B$128,MATCH($B130,Setup!$A$99:$A$128,0)),"CHECK TYPE"))</f>
        <v/>
      </c>
      <c r="J130">
        <f>IF($A130="","",DATE(YEAR($A130),MONTH($A130),1))</f>
        <v/>
      </c>
    </row>
    <row r="131">
      <c r="A131" s="85" t="n"/>
      <c r="B131" s="87" t="n"/>
      <c r="C131" s="87" t="n"/>
      <c r="D131" s="86" t="n"/>
      <c r="E131" s="87" t="n"/>
      <c r="F131" s="91" t="n"/>
      <c r="G131" s="86" t="n"/>
      <c r="H131" s="86" t="n"/>
      <c r="I131" s="100">
        <f>IF($B131="","",IFERROR(INDEX(Setup!$B$99:$B$128,MATCH($B131,Setup!$A$99:$A$128,0)),"CHECK TYPE"))</f>
        <v/>
      </c>
      <c r="J131">
        <f>IF($A131="","",DATE(YEAR($A131),MONTH($A131),1))</f>
        <v/>
      </c>
    </row>
    <row r="132">
      <c r="A132" s="93" t="n"/>
      <c r="B132" s="95" t="n"/>
      <c r="C132" s="95" t="n"/>
      <c r="D132" s="94" t="n"/>
      <c r="E132" s="95" t="n"/>
      <c r="F132" s="98" t="n"/>
      <c r="G132" s="94" t="n"/>
      <c r="H132" s="94" t="n"/>
      <c r="I132" s="100">
        <f>IF($B132="","",IFERROR(INDEX(Setup!$B$99:$B$128,MATCH($B132,Setup!$A$99:$A$128,0)),"CHECK TYPE"))</f>
        <v/>
      </c>
      <c r="J132">
        <f>IF($A132="","",DATE(YEAR($A132),MONTH($A132),1))</f>
        <v/>
      </c>
    </row>
    <row r="133">
      <c r="A133" s="85" t="n"/>
      <c r="B133" s="87" t="n"/>
      <c r="C133" s="87" t="n"/>
      <c r="D133" s="86" t="n"/>
      <c r="E133" s="87" t="n"/>
      <c r="F133" s="91" t="n"/>
      <c r="G133" s="86" t="n"/>
      <c r="H133" s="86" t="n"/>
      <c r="I133" s="100">
        <f>IF($B133="","",IFERROR(INDEX(Setup!$B$99:$B$128,MATCH($B133,Setup!$A$99:$A$128,0)),"CHECK TYPE"))</f>
        <v/>
      </c>
      <c r="J133">
        <f>IF($A133="","",DATE(YEAR($A133),MONTH($A133),1))</f>
        <v/>
      </c>
    </row>
    <row r="134">
      <c r="A134" s="93" t="n"/>
      <c r="B134" s="95" t="n"/>
      <c r="C134" s="95" t="n"/>
      <c r="D134" s="94" t="n"/>
      <c r="E134" s="95" t="n"/>
      <c r="F134" s="98" t="n"/>
      <c r="G134" s="94" t="n"/>
      <c r="H134" s="94" t="n"/>
      <c r="I134" s="100">
        <f>IF($B134="","",IFERROR(INDEX(Setup!$B$99:$B$128,MATCH($B134,Setup!$A$99:$A$128,0)),"CHECK TYPE"))</f>
        <v/>
      </c>
      <c r="J134">
        <f>IF($A134="","",DATE(YEAR($A134),MONTH($A134),1))</f>
        <v/>
      </c>
    </row>
    <row r="135">
      <c r="A135" s="85" t="n"/>
      <c r="B135" s="87" t="n"/>
      <c r="C135" s="87" t="n"/>
      <c r="D135" s="86" t="n"/>
      <c r="E135" s="87" t="n"/>
      <c r="F135" s="91" t="n"/>
      <c r="G135" s="86" t="n"/>
      <c r="H135" s="86" t="n"/>
      <c r="I135" s="100">
        <f>IF($B135="","",IFERROR(INDEX(Setup!$B$99:$B$128,MATCH($B135,Setup!$A$99:$A$128,0)),"CHECK TYPE"))</f>
        <v/>
      </c>
      <c r="J135">
        <f>IF($A135="","",DATE(YEAR($A135),MONTH($A135),1))</f>
        <v/>
      </c>
    </row>
    <row r="136">
      <c r="A136" s="93" t="n"/>
      <c r="B136" s="95" t="n"/>
      <c r="C136" s="95" t="n"/>
      <c r="D136" s="94" t="n"/>
      <c r="E136" s="95" t="n"/>
      <c r="F136" s="98" t="n"/>
      <c r="G136" s="94" t="n"/>
      <c r="H136" s="94" t="n"/>
      <c r="I136" s="100">
        <f>IF($B136="","",IFERROR(INDEX(Setup!$B$99:$B$128,MATCH($B136,Setup!$A$99:$A$128,0)),"CHECK TYPE"))</f>
        <v/>
      </c>
      <c r="J136">
        <f>IF($A136="","",DATE(YEAR($A136),MONTH($A136),1))</f>
        <v/>
      </c>
    </row>
    <row r="137">
      <c r="A137" s="85" t="n"/>
      <c r="B137" s="87" t="n"/>
      <c r="C137" s="87" t="n"/>
      <c r="D137" s="86" t="n"/>
      <c r="E137" s="87" t="n"/>
      <c r="F137" s="91" t="n"/>
      <c r="G137" s="86" t="n"/>
      <c r="H137" s="86" t="n"/>
      <c r="I137" s="100">
        <f>IF($B137="","",IFERROR(INDEX(Setup!$B$99:$B$128,MATCH($B137,Setup!$A$99:$A$128,0)),"CHECK TYPE"))</f>
        <v/>
      </c>
      <c r="J137">
        <f>IF($A137="","",DATE(YEAR($A137),MONTH($A137),1))</f>
        <v/>
      </c>
    </row>
    <row r="138">
      <c r="A138" s="93" t="n"/>
      <c r="B138" s="95" t="n"/>
      <c r="C138" s="95" t="n"/>
      <c r="D138" s="94" t="n"/>
      <c r="E138" s="95" t="n"/>
      <c r="F138" s="98" t="n"/>
      <c r="G138" s="94" t="n"/>
      <c r="H138" s="94" t="n"/>
      <c r="I138" s="100">
        <f>IF($B138="","",IFERROR(INDEX(Setup!$B$99:$B$128,MATCH($B138,Setup!$A$99:$A$128,0)),"CHECK TYPE"))</f>
        <v/>
      </c>
      <c r="J138">
        <f>IF($A138="","",DATE(YEAR($A138),MONTH($A138),1))</f>
        <v/>
      </c>
    </row>
    <row r="139">
      <c r="A139" s="85" t="n"/>
      <c r="B139" s="87" t="n"/>
      <c r="C139" s="87" t="n"/>
      <c r="D139" s="86" t="n"/>
      <c r="E139" s="87" t="n"/>
      <c r="F139" s="91" t="n"/>
      <c r="G139" s="86" t="n"/>
      <c r="H139" s="86" t="n"/>
      <c r="I139" s="100">
        <f>IF($B139="","",IFERROR(INDEX(Setup!$B$99:$B$128,MATCH($B139,Setup!$A$99:$A$128,0)),"CHECK TYPE"))</f>
        <v/>
      </c>
      <c r="J139">
        <f>IF($A139="","",DATE(YEAR($A139),MONTH($A139),1))</f>
        <v/>
      </c>
    </row>
    <row r="140">
      <c r="A140" s="93" t="n"/>
      <c r="B140" s="95" t="n"/>
      <c r="C140" s="95" t="n"/>
      <c r="D140" s="94" t="n"/>
      <c r="E140" s="95" t="n"/>
      <c r="F140" s="98" t="n"/>
      <c r="G140" s="94" t="n"/>
      <c r="H140" s="94" t="n"/>
      <c r="I140" s="100">
        <f>IF($B140="","",IFERROR(INDEX(Setup!$B$99:$B$128,MATCH($B140,Setup!$A$99:$A$128,0)),"CHECK TYPE"))</f>
        <v/>
      </c>
      <c r="J140">
        <f>IF($A140="","",DATE(YEAR($A140),MONTH($A140),1))</f>
        <v/>
      </c>
    </row>
    <row r="141">
      <c r="A141" s="85" t="n"/>
      <c r="B141" s="87" t="n"/>
      <c r="C141" s="87" t="n"/>
      <c r="D141" s="86" t="n"/>
      <c r="E141" s="87" t="n"/>
      <c r="F141" s="91" t="n"/>
      <c r="G141" s="86" t="n"/>
      <c r="H141" s="86" t="n"/>
      <c r="I141" s="100">
        <f>IF($B141="","",IFERROR(INDEX(Setup!$B$99:$B$128,MATCH($B141,Setup!$A$99:$A$128,0)),"CHECK TYPE"))</f>
        <v/>
      </c>
      <c r="J141">
        <f>IF($A141="","",DATE(YEAR($A141),MONTH($A141),1))</f>
        <v/>
      </c>
    </row>
    <row r="142">
      <c r="A142" s="93" t="n"/>
      <c r="B142" s="95" t="n"/>
      <c r="C142" s="95" t="n"/>
      <c r="D142" s="94" t="n"/>
      <c r="E142" s="95" t="n"/>
      <c r="F142" s="98" t="n"/>
      <c r="G142" s="94" t="n"/>
      <c r="H142" s="94" t="n"/>
      <c r="I142" s="100">
        <f>IF($B142="","",IFERROR(INDEX(Setup!$B$99:$B$128,MATCH($B142,Setup!$A$99:$A$128,0)),"CHECK TYPE"))</f>
        <v/>
      </c>
      <c r="J142">
        <f>IF($A142="","",DATE(YEAR($A142),MONTH($A142),1))</f>
        <v/>
      </c>
    </row>
    <row r="143">
      <c r="A143" s="85" t="n"/>
      <c r="B143" s="87" t="n"/>
      <c r="C143" s="87" t="n"/>
      <c r="D143" s="86" t="n"/>
      <c r="E143" s="87" t="n"/>
      <c r="F143" s="91" t="n"/>
      <c r="G143" s="86" t="n"/>
      <c r="H143" s="86" t="n"/>
      <c r="I143" s="100">
        <f>IF($B143="","",IFERROR(INDEX(Setup!$B$99:$B$128,MATCH($B143,Setup!$A$99:$A$128,0)),"CHECK TYPE"))</f>
        <v/>
      </c>
      <c r="J143">
        <f>IF($A143="","",DATE(YEAR($A143),MONTH($A143),1))</f>
        <v/>
      </c>
    </row>
    <row r="144">
      <c r="A144" s="93" t="n"/>
      <c r="B144" s="95" t="n"/>
      <c r="C144" s="95" t="n"/>
      <c r="D144" s="94" t="n"/>
      <c r="E144" s="95" t="n"/>
      <c r="F144" s="98" t="n"/>
      <c r="G144" s="94" t="n"/>
      <c r="H144" s="94" t="n"/>
      <c r="I144" s="100">
        <f>IF($B144="","",IFERROR(INDEX(Setup!$B$99:$B$128,MATCH($B144,Setup!$A$99:$A$128,0)),"CHECK TYPE"))</f>
        <v/>
      </c>
      <c r="J144">
        <f>IF($A144="","",DATE(YEAR($A144),MONTH($A144),1))</f>
        <v/>
      </c>
    </row>
    <row r="145">
      <c r="A145" s="85" t="n"/>
      <c r="B145" s="87" t="n"/>
      <c r="C145" s="87" t="n"/>
      <c r="D145" s="86" t="n"/>
      <c r="E145" s="87" t="n"/>
      <c r="F145" s="91" t="n"/>
      <c r="G145" s="86" t="n"/>
      <c r="H145" s="86" t="n"/>
      <c r="I145" s="100">
        <f>IF($B145="","",IFERROR(INDEX(Setup!$B$99:$B$128,MATCH($B145,Setup!$A$99:$A$128,0)),"CHECK TYPE"))</f>
        <v/>
      </c>
      <c r="J145">
        <f>IF($A145="","",DATE(YEAR($A145),MONTH($A145),1))</f>
        <v/>
      </c>
    </row>
    <row r="146">
      <c r="A146" s="93" t="n"/>
      <c r="B146" s="95" t="n"/>
      <c r="C146" s="95" t="n"/>
      <c r="D146" s="94" t="n"/>
      <c r="E146" s="95" t="n"/>
      <c r="F146" s="98" t="n"/>
      <c r="G146" s="94" t="n"/>
      <c r="H146" s="94" t="n"/>
      <c r="I146" s="100">
        <f>IF($B146="","",IFERROR(INDEX(Setup!$B$99:$B$128,MATCH($B146,Setup!$A$99:$A$128,0)),"CHECK TYPE"))</f>
        <v/>
      </c>
      <c r="J146">
        <f>IF($A146="","",DATE(YEAR($A146),MONTH($A146),1))</f>
        <v/>
      </c>
    </row>
    <row r="147">
      <c r="A147" s="85" t="n"/>
      <c r="B147" s="87" t="n"/>
      <c r="C147" s="87" t="n"/>
      <c r="D147" s="86" t="n"/>
      <c r="E147" s="87" t="n"/>
      <c r="F147" s="91" t="n"/>
      <c r="G147" s="86" t="n"/>
      <c r="H147" s="86" t="n"/>
      <c r="I147" s="100">
        <f>IF($B147="","",IFERROR(INDEX(Setup!$B$99:$B$128,MATCH($B147,Setup!$A$99:$A$128,0)),"CHECK TYPE"))</f>
        <v/>
      </c>
      <c r="J147">
        <f>IF($A147="","",DATE(YEAR($A147),MONTH($A147),1))</f>
        <v/>
      </c>
    </row>
    <row r="148">
      <c r="A148" s="93" t="n"/>
      <c r="B148" s="95" t="n"/>
      <c r="C148" s="95" t="n"/>
      <c r="D148" s="94" t="n"/>
      <c r="E148" s="95" t="n"/>
      <c r="F148" s="98" t="n"/>
      <c r="G148" s="94" t="n"/>
      <c r="H148" s="94" t="n"/>
      <c r="I148" s="100">
        <f>IF($B148="","",IFERROR(INDEX(Setup!$B$99:$B$128,MATCH($B148,Setup!$A$99:$A$128,0)),"CHECK TYPE"))</f>
        <v/>
      </c>
      <c r="J148">
        <f>IF($A148="","",DATE(YEAR($A148),MONTH($A148),1))</f>
        <v/>
      </c>
    </row>
    <row r="149">
      <c r="A149" s="85" t="n"/>
      <c r="B149" s="87" t="n"/>
      <c r="C149" s="87" t="n"/>
      <c r="D149" s="86" t="n"/>
      <c r="E149" s="87" t="n"/>
      <c r="F149" s="91" t="n"/>
      <c r="G149" s="86" t="n"/>
      <c r="H149" s="86" t="n"/>
      <c r="I149" s="100">
        <f>IF($B149="","",IFERROR(INDEX(Setup!$B$99:$B$128,MATCH($B149,Setup!$A$99:$A$128,0)),"CHECK TYPE"))</f>
        <v/>
      </c>
      <c r="J149">
        <f>IF($A149="","",DATE(YEAR($A149),MONTH($A149),1))</f>
        <v/>
      </c>
    </row>
    <row r="150">
      <c r="A150" s="93" t="n"/>
      <c r="B150" s="95" t="n"/>
      <c r="C150" s="95" t="n"/>
      <c r="D150" s="94" t="n"/>
      <c r="E150" s="95" t="n"/>
      <c r="F150" s="98" t="n"/>
      <c r="G150" s="94" t="n"/>
      <c r="H150" s="94" t="n"/>
      <c r="I150" s="100">
        <f>IF($B150="","",IFERROR(INDEX(Setup!$B$99:$B$128,MATCH($B150,Setup!$A$99:$A$128,0)),"CHECK TYPE"))</f>
        <v/>
      </c>
      <c r="J150">
        <f>IF($A150="","",DATE(YEAR($A150),MONTH($A150),1))</f>
        <v/>
      </c>
    </row>
    <row r="151">
      <c r="A151" s="85" t="n"/>
      <c r="B151" s="87" t="n"/>
      <c r="C151" s="87" t="n"/>
      <c r="D151" s="86" t="n"/>
      <c r="E151" s="87" t="n"/>
      <c r="F151" s="91" t="n"/>
      <c r="G151" s="86" t="n"/>
      <c r="H151" s="86" t="n"/>
      <c r="I151" s="100">
        <f>IF($B151="","",IFERROR(INDEX(Setup!$B$99:$B$128,MATCH($B151,Setup!$A$99:$A$128,0)),"CHECK TYPE"))</f>
        <v/>
      </c>
      <c r="J151">
        <f>IF($A151="","",DATE(YEAR($A151),MONTH($A151),1))</f>
        <v/>
      </c>
    </row>
    <row r="152">
      <c r="A152" s="93" t="n"/>
      <c r="B152" s="95" t="n"/>
      <c r="C152" s="95" t="n"/>
      <c r="D152" s="94" t="n"/>
      <c r="E152" s="95" t="n"/>
      <c r="F152" s="98" t="n"/>
      <c r="G152" s="94" t="n"/>
      <c r="H152" s="94" t="n"/>
      <c r="I152" s="100">
        <f>IF($B152="","",IFERROR(INDEX(Setup!$B$99:$B$128,MATCH($B152,Setup!$A$99:$A$128,0)),"CHECK TYPE"))</f>
        <v/>
      </c>
      <c r="J152">
        <f>IF($A152="","",DATE(YEAR($A152),MONTH($A152),1))</f>
        <v/>
      </c>
    </row>
    <row r="153">
      <c r="A153" s="85" t="n"/>
      <c r="B153" s="87" t="n"/>
      <c r="C153" s="87" t="n"/>
      <c r="D153" s="86" t="n"/>
      <c r="E153" s="87" t="n"/>
      <c r="F153" s="91" t="n"/>
      <c r="G153" s="86" t="n"/>
      <c r="H153" s="86" t="n"/>
      <c r="I153" s="100">
        <f>IF($B153="","",IFERROR(INDEX(Setup!$B$99:$B$128,MATCH($B153,Setup!$A$99:$A$128,0)),"CHECK TYPE"))</f>
        <v/>
      </c>
      <c r="J153">
        <f>IF($A153="","",DATE(YEAR($A153),MONTH($A153),1))</f>
        <v/>
      </c>
    </row>
    <row r="154">
      <c r="A154" s="93" t="n"/>
      <c r="B154" s="95" t="n"/>
      <c r="C154" s="95" t="n"/>
      <c r="D154" s="94" t="n"/>
      <c r="E154" s="95" t="n"/>
      <c r="F154" s="98" t="n"/>
      <c r="G154" s="94" t="n"/>
      <c r="H154" s="94" t="n"/>
      <c r="I154" s="100">
        <f>IF($B154="","",IFERROR(INDEX(Setup!$B$99:$B$128,MATCH($B154,Setup!$A$99:$A$128,0)),"CHECK TYPE"))</f>
        <v/>
      </c>
      <c r="J154">
        <f>IF($A154="","",DATE(YEAR($A154),MONTH($A154),1))</f>
        <v/>
      </c>
    </row>
    <row r="155">
      <c r="A155" s="85" t="n"/>
      <c r="B155" s="87" t="n"/>
      <c r="C155" s="87" t="n"/>
      <c r="D155" s="86" t="n"/>
      <c r="E155" s="87" t="n"/>
      <c r="F155" s="91" t="n"/>
      <c r="G155" s="86" t="n"/>
      <c r="H155" s="86" t="n"/>
      <c r="I155" s="100">
        <f>IF($B155="","",IFERROR(INDEX(Setup!$B$99:$B$128,MATCH($B155,Setup!$A$99:$A$128,0)),"CHECK TYPE"))</f>
        <v/>
      </c>
      <c r="J155">
        <f>IF($A155="","",DATE(YEAR($A155),MONTH($A155),1))</f>
        <v/>
      </c>
    </row>
    <row r="156">
      <c r="A156" s="93" t="n"/>
      <c r="B156" s="95" t="n"/>
      <c r="C156" s="95" t="n"/>
      <c r="D156" s="94" t="n"/>
      <c r="E156" s="95" t="n"/>
      <c r="F156" s="98" t="n"/>
      <c r="G156" s="94" t="n"/>
      <c r="H156" s="94" t="n"/>
      <c r="I156" s="100">
        <f>IF($B156="","",IFERROR(INDEX(Setup!$B$99:$B$128,MATCH($B156,Setup!$A$99:$A$128,0)),"CHECK TYPE"))</f>
        <v/>
      </c>
      <c r="J156">
        <f>IF($A156="","",DATE(YEAR($A156),MONTH($A156),1))</f>
        <v/>
      </c>
    </row>
    <row r="157">
      <c r="A157" s="85" t="n"/>
      <c r="B157" s="87" t="n"/>
      <c r="C157" s="87" t="n"/>
      <c r="D157" s="86" t="n"/>
      <c r="E157" s="87" t="n"/>
      <c r="F157" s="91" t="n"/>
      <c r="G157" s="86" t="n"/>
      <c r="H157" s="86" t="n"/>
      <c r="I157" s="100">
        <f>IF($B157="","",IFERROR(INDEX(Setup!$B$99:$B$128,MATCH($B157,Setup!$A$99:$A$128,0)),"CHECK TYPE"))</f>
        <v/>
      </c>
      <c r="J157">
        <f>IF($A157="","",DATE(YEAR($A157),MONTH($A157),1))</f>
        <v/>
      </c>
    </row>
    <row r="158">
      <c r="A158" s="93" t="n"/>
      <c r="B158" s="95" t="n"/>
      <c r="C158" s="95" t="n"/>
      <c r="D158" s="94" t="n"/>
      <c r="E158" s="95" t="n"/>
      <c r="F158" s="98" t="n"/>
      <c r="G158" s="94" t="n"/>
      <c r="H158" s="94" t="n"/>
      <c r="I158" s="100">
        <f>IF($B158="","",IFERROR(INDEX(Setup!$B$99:$B$128,MATCH($B158,Setup!$A$99:$A$128,0)),"CHECK TYPE"))</f>
        <v/>
      </c>
      <c r="J158">
        <f>IF($A158="","",DATE(YEAR($A158),MONTH($A158),1))</f>
        <v/>
      </c>
    </row>
    <row r="159">
      <c r="A159" s="85" t="n"/>
      <c r="B159" s="87" t="n"/>
      <c r="C159" s="87" t="n"/>
      <c r="D159" s="86" t="n"/>
      <c r="E159" s="87" t="n"/>
      <c r="F159" s="91" t="n"/>
      <c r="G159" s="86" t="n"/>
      <c r="H159" s="86" t="n"/>
      <c r="I159" s="100">
        <f>IF($B159="","",IFERROR(INDEX(Setup!$B$99:$B$128,MATCH($B159,Setup!$A$99:$A$128,0)),"CHECK TYPE"))</f>
        <v/>
      </c>
      <c r="J159">
        <f>IF($A159="","",DATE(YEAR($A159),MONTH($A159),1))</f>
        <v/>
      </c>
    </row>
    <row r="160">
      <c r="A160" s="93" t="n"/>
      <c r="B160" s="95" t="n"/>
      <c r="C160" s="95" t="n"/>
      <c r="D160" s="94" t="n"/>
      <c r="E160" s="95" t="n"/>
      <c r="F160" s="98" t="n"/>
      <c r="G160" s="94" t="n"/>
      <c r="H160" s="94" t="n"/>
      <c r="I160" s="100">
        <f>IF($B160="","",IFERROR(INDEX(Setup!$B$99:$B$128,MATCH($B160,Setup!$A$99:$A$128,0)),"CHECK TYPE"))</f>
        <v/>
      </c>
      <c r="J160">
        <f>IF($A160="","",DATE(YEAR($A160),MONTH($A160),1))</f>
        <v/>
      </c>
    </row>
    <row r="161">
      <c r="A161" s="85" t="n"/>
      <c r="B161" s="87" t="n"/>
      <c r="C161" s="87" t="n"/>
      <c r="D161" s="86" t="n"/>
      <c r="E161" s="87" t="n"/>
      <c r="F161" s="91" t="n"/>
      <c r="G161" s="86" t="n"/>
      <c r="H161" s="86" t="n"/>
      <c r="I161" s="100">
        <f>IF($B161="","",IFERROR(INDEX(Setup!$B$99:$B$128,MATCH($B161,Setup!$A$99:$A$128,0)),"CHECK TYPE"))</f>
        <v/>
      </c>
      <c r="J161">
        <f>IF($A161="","",DATE(YEAR($A161),MONTH($A161),1))</f>
        <v/>
      </c>
    </row>
    <row r="162">
      <c r="A162" s="93" t="n"/>
      <c r="B162" s="95" t="n"/>
      <c r="C162" s="95" t="n"/>
      <c r="D162" s="94" t="n"/>
      <c r="E162" s="95" t="n"/>
      <c r="F162" s="98" t="n"/>
      <c r="G162" s="94" t="n"/>
      <c r="H162" s="94" t="n"/>
      <c r="I162" s="100">
        <f>IF($B162="","",IFERROR(INDEX(Setup!$B$99:$B$128,MATCH($B162,Setup!$A$99:$A$128,0)),"CHECK TYPE"))</f>
        <v/>
      </c>
      <c r="J162">
        <f>IF($A162="","",DATE(YEAR($A162),MONTH($A162),1))</f>
        <v/>
      </c>
    </row>
    <row r="163">
      <c r="A163" s="85" t="n"/>
      <c r="B163" s="87" t="n"/>
      <c r="C163" s="87" t="n"/>
      <c r="D163" s="86" t="n"/>
      <c r="E163" s="87" t="n"/>
      <c r="F163" s="91" t="n"/>
      <c r="G163" s="86" t="n"/>
      <c r="H163" s="86" t="n"/>
      <c r="I163" s="100">
        <f>IF($B163="","",IFERROR(INDEX(Setup!$B$99:$B$128,MATCH($B163,Setup!$A$99:$A$128,0)),"CHECK TYPE"))</f>
        <v/>
      </c>
      <c r="J163">
        <f>IF($A163="","",DATE(YEAR($A163),MONTH($A163),1))</f>
        <v/>
      </c>
    </row>
    <row r="164">
      <c r="A164" s="93" t="n"/>
      <c r="B164" s="95" t="n"/>
      <c r="C164" s="95" t="n"/>
      <c r="D164" s="94" t="n"/>
      <c r="E164" s="95" t="n"/>
      <c r="F164" s="98" t="n"/>
      <c r="G164" s="94" t="n"/>
      <c r="H164" s="94" t="n"/>
      <c r="I164" s="100">
        <f>IF($B164="","",IFERROR(INDEX(Setup!$B$99:$B$128,MATCH($B164,Setup!$A$99:$A$128,0)),"CHECK TYPE"))</f>
        <v/>
      </c>
      <c r="J164">
        <f>IF($A164="","",DATE(YEAR($A164),MONTH($A164),1))</f>
        <v/>
      </c>
    </row>
    <row r="165">
      <c r="A165" s="85" t="n"/>
      <c r="B165" s="87" t="n"/>
      <c r="C165" s="87" t="n"/>
      <c r="D165" s="86" t="n"/>
      <c r="E165" s="87" t="n"/>
      <c r="F165" s="91" t="n"/>
      <c r="G165" s="86" t="n"/>
      <c r="H165" s="86" t="n"/>
      <c r="I165" s="100">
        <f>IF($B165="","",IFERROR(INDEX(Setup!$B$99:$B$128,MATCH($B165,Setup!$A$99:$A$128,0)),"CHECK TYPE"))</f>
        <v/>
      </c>
      <c r="J165">
        <f>IF($A165="","",DATE(YEAR($A165),MONTH($A165),1))</f>
        <v/>
      </c>
    </row>
    <row r="166">
      <c r="A166" s="93" t="n"/>
      <c r="B166" s="95" t="n"/>
      <c r="C166" s="95" t="n"/>
      <c r="D166" s="94" t="n"/>
      <c r="E166" s="95" t="n"/>
      <c r="F166" s="98" t="n"/>
      <c r="G166" s="94" t="n"/>
      <c r="H166" s="94" t="n"/>
      <c r="I166" s="100">
        <f>IF($B166="","",IFERROR(INDEX(Setup!$B$99:$B$128,MATCH($B166,Setup!$A$99:$A$128,0)),"CHECK TYPE"))</f>
        <v/>
      </c>
      <c r="J166">
        <f>IF($A166="","",DATE(YEAR($A166),MONTH($A166),1))</f>
        <v/>
      </c>
    </row>
    <row r="167">
      <c r="A167" s="85" t="n"/>
      <c r="B167" s="87" t="n"/>
      <c r="C167" s="87" t="n"/>
      <c r="D167" s="86" t="n"/>
      <c r="E167" s="87" t="n"/>
      <c r="F167" s="91" t="n"/>
      <c r="G167" s="86" t="n"/>
      <c r="H167" s="86" t="n"/>
      <c r="I167" s="100">
        <f>IF($B167="","",IFERROR(INDEX(Setup!$B$99:$B$128,MATCH($B167,Setup!$A$99:$A$128,0)),"CHECK TYPE"))</f>
        <v/>
      </c>
      <c r="J167">
        <f>IF($A167="","",DATE(YEAR($A167),MONTH($A167),1))</f>
        <v/>
      </c>
    </row>
    <row r="168">
      <c r="A168" s="93" t="n"/>
      <c r="B168" s="95" t="n"/>
      <c r="C168" s="95" t="n"/>
      <c r="D168" s="94" t="n"/>
      <c r="E168" s="95" t="n"/>
      <c r="F168" s="98" t="n"/>
      <c r="G168" s="94" t="n"/>
      <c r="H168" s="94" t="n"/>
      <c r="I168" s="100">
        <f>IF($B168="","",IFERROR(INDEX(Setup!$B$99:$B$128,MATCH($B168,Setup!$A$99:$A$128,0)),"CHECK TYPE"))</f>
        <v/>
      </c>
      <c r="J168">
        <f>IF($A168="","",DATE(YEAR($A168),MONTH($A168),1))</f>
        <v/>
      </c>
    </row>
    <row r="169">
      <c r="A169" s="85" t="n"/>
      <c r="B169" s="87" t="n"/>
      <c r="C169" s="87" t="n"/>
      <c r="D169" s="86" t="n"/>
      <c r="E169" s="87" t="n"/>
      <c r="F169" s="91" t="n"/>
      <c r="G169" s="86" t="n"/>
      <c r="H169" s="86" t="n"/>
      <c r="I169" s="100">
        <f>IF($B169="","",IFERROR(INDEX(Setup!$B$99:$B$128,MATCH($B169,Setup!$A$99:$A$128,0)),"CHECK TYPE"))</f>
        <v/>
      </c>
      <c r="J169">
        <f>IF($A169="","",DATE(YEAR($A169),MONTH($A169),1))</f>
        <v/>
      </c>
    </row>
    <row r="170">
      <c r="A170" s="93" t="n"/>
      <c r="B170" s="95" t="n"/>
      <c r="C170" s="95" t="n"/>
      <c r="D170" s="94" t="n"/>
      <c r="E170" s="95" t="n"/>
      <c r="F170" s="98" t="n"/>
      <c r="G170" s="94" t="n"/>
      <c r="H170" s="94" t="n"/>
      <c r="I170" s="100">
        <f>IF($B170="","",IFERROR(INDEX(Setup!$B$99:$B$128,MATCH($B170,Setup!$A$99:$A$128,0)),"CHECK TYPE"))</f>
        <v/>
      </c>
      <c r="J170">
        <f>IF($A170="","",DATE(YEAR($A170),MONTH($A170),1))</f>
        <v/>
      </c>
    </row>
    <row r="171">
      <c r="A171" s="85" t="n"/>
      <c r="B171" s="87" t="n"/>
      <c r="C171" s="87" t="n"/>
      <c r="D171" s="86" t="n"/>
      <c r="E171" s="87" t="n"/>
      <c r="F171" s="91" t="n"/>
      <c r="G171" s="86" t="n"/>
      <c r="H171" s="86" t="n"/>
      <c r="I171" s="100">
        <f>IF($B171="","",IFERROR(INDEX(Setup!$B$99:$B$128,MATCH($B171,Setup!$A$99:$A$128,0)),"CHECK TYPE"))</f>
        <v/>
      </c>
      <c r="J171">
        <f>IF($A171="","",DATE(YEAR($A171),MONTH($A171),1))</f>
        <v/>
      </c>
    </row>
    <row r="172">
      <c r="A172" s="93" t="n"/>
      <c r="B172" s="95" t="n"/>
      <c r="C172" s="95" t="n"/>
      <c r="D172" s="94" t="n"/>
      <c r="E172" s="95" t="n"/>
      <c r="F172" s="98" t="n"/>
      <c r="G172" s="94" t="n"/>
      <c r="H172" s="94" t="n"/>
      <c r="I172" s="100">
        <f>IF($B172="","",IFERROR(INDEX(Setup!$B$99:$B$128,MATCH($B172,Setup!$A$99:$A$128,0)),"CHECK TYPE"))</f>
        <v/>
      </c>
      <c r="J172">
        <f>IF($A172="","",DATE(YEAR($A172),MONTH($A172),1))</f>
        <v/>
      </c>
    </row>
    <row r="173">
      <c r="A173" s="85" t="n"/>
      <c r="B173" s="87" t="n"/>
      <c r="C173" s="87" t="n"/>
      <c r="D173" s="86" t="n"/>
      <c r="E173" s="87" t="n"/>
      <c r="F173" s="91" t="n"/>
      <c r="G173" s="86" t="n"/>
      <c r="H173" s="86" t="n"/>
      <c r="I173" s="100">
        <f>IF($B173="","",IFERROR(INDEX(Setup!$B$99:$B$128,MATCH($B173,Setup!$A$99:$A$128,0)),"CHECK TYPE"))</f>
        <v/>
      </c>
      <c r="J173">
        <f>IF($A173="","",DATE(YEAR($A173),MONTH($A173),1))</f>
        <v/>
      </c>
    </row>
    <row r="174">
      <c r="A174" s="93" t="n"/>
      <c r="B174" s="95" t="n"/>
      <c r="C174" s="95" t="n"/>
      <c r="D174" s="94" t="n"/>
      <c r="E174" s="95" t="n"/>
      <c r="F174" s="98" t="n"/>
      <c r="G174" s="94" t="n"/>
      <c r="H174" s="94" t="n"/>
      <c r="I174" s="100">
        <f>IF($B174="","",IFERROR(INDEX(Setup!$B$99:$B$128,MATCH($B174,Setup!$A$99:$A$128,0)),"CHECK TYPE"))</f>
        <v/>
      </c>
      <c r="J174">
        <f>IF($A174="","",DATE(YEAR($A174),MONTH($A174),1))</f>
        <v/>
      </c>
    </row>
    <row r="175">
      <c r="A175" s="85" t="n"/>
      <c r="B175" s="87" t="n"/>
      <c r="C175" s="87" t="n"/>
      <c r="D175" s="86" t="n"/>
      <c r="E175" s="87" t="n"/>
      <c r="F175" s="91" t="n"/>
      <c r="G175" s="86" t="n"/>
      <c r="H175" s="86" t="n"/>
      <c r="I175" s="100">
        <f>IF($B175="","",IFERROR(INDEX(Setup!$B$99:$B$128,MATCH($B175,Setup!$A$99:$A$128,0)),"CHECK TYPE"))</f>
        <v/>
      </c>
      <c r="J175">
        <f>IF($A175="","",DATE(YEAR($A175),MONTH($A175),1))</f>
        <v/>
      </c>
    </row>
    <row r="176">
      <c r="A176" s="93" t="n"/>
      <c r="B176" s="95" t="n"/>
      <c r="C176" s="95" t="n"/>
      <c r="D176" s="94" t="n"/>
      <c r="E176" s="95" t="n"/>
      <c r="F176" s="98" t="n"/>
      <c r="G176" s="94" t="n"/>
      <c r="H176" s="94" t="n"/>
      <c r="I176" s="100">
        <f>IF($B176="","",IFERROR(INDEX(Setup!$B$99:$B$128,MATCH($B176,Setup!$A$99:$A$128,0)),"CHECK TYPE"))</f>
        <v/>
      </c>
      <c r="J176">
        <f>IF($A176="","",DATE(YEAR($A176),MONTH($A176),1))</f>
        <v/>
      </c>
    </row>
    <row r="177">
      <c r="A177" s="85" t="n"/>
      <c r="B177" s="87" t="n"/>
      <c r="C177" s="87" t="n"/>
      <c r="D177" s="86" t="n"/>
      <c r="E177" s="87" t="n"/>
      <c r="F177" s="91" t="n"/>
      <c r="G177" s="86" t="n"/>
      <c r="H177" s="86" t="n"/>
      <c r="I177" s="100">
        <f>IF($B177="","",IFERROR(INDEX(Setup!$B$99:$B$128,MATCH($B177,Setup!$A$99:$A$128,0)),"CHECK TYPE"))</f>
        <v/>
      </c>
      <c r="J177">
        <f>IF($A177="","",DATE(YEAR($A177),MONTH($A177),1))</f>
        <v/>
      </c>
    </row>
    <row r="178">
      <c r="A178" s="93" t="n"/>
      <c r="B178" s="95" t="n"/>
      <c r="C178" s="95" t="n"/>
      <c r="D178" s="94" t="n"/>
      <c r="E178" s="95" t="n"/>
      <c r="F178" s="98" t="n"/>
      <c r="G178" s="94" t="n"/>
      <c r="H178" s="94" t="n"/>
      <c r="I178" s="100">
        <f>IF($B178="","",IFERROR(INDEX(Setup!$B$99:$B$128,MATCH($B178,Setup!$A$99:$A$128,0)),"CHECK TYPE"))</f>
        <v/>
      </c>
      <c r="J178">
        <f>IF($A178="","",DATE(YEAR($A178),MONTH($A178),1))</f>
        <v/>
      </c>
    </row>
    <row r="179">
      <c r="A179" s="85" t="n"/>
      <c r="B179" s="87" t="n"/>
      <c r="C179" s="87" t="n"/>
      <c r="D179" s="86" t="n"/>
      <c r="E179" s="87" t="n"/>
      <c r="F179" s="91" t="n"/>
      <c r="G179" s="86" t="n"/>
      <c r="H179" s="86" t="n"/>
      <c r="I179" s="100">
        <f>IF($B179="","",IFERROR(INDEX(Setup!$B$99:$B$128,MATCH($B179,Setup!$A$99:$A$128,0)),"CHECK TYPE"))</f>
        <v/>
      </c>
      <c r="J179">
        <f>IF($A179="","",DATE(YEAR($A179),MONTH($A179),1))</f>
        <v/>
      </c>
    </row>
    <row r="180">
      <c r="A180" s="93" t="n"/>
      <c r="B180" s="95" t="n"/>
      <c r="C180" s="95" t="n"/>
      <c r="D180" s="94" t="n"/>
      <c r="E180" s="95" t="n"/>
      <c r="F180" s="98" t="n"/>
      <c r="G180" s="94" t="n"/>
      <c r="H180" s="94" t="n"/>
      <c r="I180" s="100">
        <f>IF($B180="","",IFERROR(INDEX(Setup!$B$99:$B$128,MATCH($B180,Setup!$A$99:$A$128,0)),"CHECK TYPE"))</f>
        <v/>
      </c>
      <c r="J180">
        <f>IF($A180="","",DATE(YEAR($A180),MONTH($A180),1))</f>
        <v/>
      </c>
    </row>
    <row r="181">
      <c r="A181" s="85" t="n"/>
      <c r="B181" s="87" t="n"/>
      <c r="C181" s="87" t="n"/>
      <c r="D181" s="86" t="n"/>
      <c r="E181" s="87" t="n"/>
      <c r="F181" s="91" t="n"/>
      <c r="G181" s="86" t="n"/>
      <c r="H181" s="86" t="n"/>
      <c r="I181" s="100">
        <f>IF($B181="","",IFERROR(INDEX(Setup!$B$99:$B$128,MATCH($B181,Setup!$A$99:$A$128,0)),"CHECK TYPE"))</f>
        <v/>
      </c>
      <c r="J181">
        <f>IF($A181="","",DATE(YEAR($A181),MONTH($A181),1))</f>
        <v/>
      </c>
    </row>
    <row r="182">
      <c r="A182" s="93" t="n"/>
      <c r="B182" s="95" t="n"/>
      <c r="C182" s="95" t="n"/>
      <c r="D182" s="94" t="n"/>
      <c r="E182" s="95" t="n"/>
      <c r="F182" s="98" t="n"/>
      <c r="G182" s="94" t="n"/>
      <c r="H182" s="94" t="n"/>
      <c r="I182" s="100">
        <f>IF($B182="","",IFERROR(INDEX(Setup!$B$99:$B$128,MATCH($B182,Setup!$A$99:$A$128,0)),"CHECK TYPE"))</f>
        <v/>
      </c>
      <c r="J182">
        <f>IF($A182="","",DATE(YEAR($A182),MONTH($A182),1))</f>
        <v/>
      </c>
    </row>
    <row r="183">
      <c r="A183" s="85" t="n"/>
      <c r="B183" s="87" t="n"/>
      <c r="C183" s="87" t="n"/>
      <c r="D183" s="86" t="n"/>
      <c r="E183" s="87" t="n"/>
      <c r="F183" s="91" t="n"/>
      <c r="G183" s="86" t="n"/>
      <c r="H183" s="86" t="n"/>
      <c r="I183" s="100">
        <f>IF($B183="","",IFERROR(INDEX(Setup!$B$99:$B$128,MATCH($B183,Setup!$A$99:$A$128,0)),"CHECK TYPE"))</f>
        <v/>
      </c>
      <c r="J183">
        <f>IF($A183="","",DATE(YEAR($A183),MONTH($A183),1))</f>
        <v/>
      </c>
    </row>
    <row r="184">
      <c r="A184" s="93" t="n"/>
      <c r="B184" s="95" t="n"/>
      <c r="C184" s="95" t="n"/>
      <c r="D184" s="94" t="n"/>
      <c r="E184" s="95" t="n"/>
      <c r="F184" s="98" t="n"/>
      <c r="G184" s="94" t="n"/>
      <c r="H184" s="94" t="n"/>
      <c r="I184" s="100">
        <f>IF($B184="","",IFERROR(INDEX(Setup!$B$99:$B$128,MATCH($B184,Setup!$A$99:$A$128,0)),"CHECK TYPE"))</f>
        <v/>
      </c>
      <c r="J184">
        <f>IF($A184="","",DATE(YEAR($A184),MONTH($A184),1))</f>
        <v/>
      </c>
    </row>
    <row r="185">
      <c r="A185" s="85" t="n"/>
      <c r="B185" s="87" t="n"/>
      <c r="C185" s="87" t="n"/>
      <c r="D185" s="86" t="n"/>
      <c r="E185" s="87" t="n"/>
      <c r="F185" s="91" t="n"/>
      <c r="G185" s="86" t="n"/>
      <c r="H185" s="86" t="n"/>
      <c r="I185" s="100">
        <f>IF($B185="","",IFERROR(INDEX(Setup!$B$99:$B$128,MATCH($B185,Setup!$A$99:$A$128,0)),"CHECK TYPE"))</f>
        <v/>
      </c>
      <c r="J185">
        <f>IF($A185="","",DATE(YEAR($A185),MONTH($A185),1))</f>
        <v/>
      </c>
    </row>
    <row r="186">
      <c r="A186" s="93" t="n"/>
      <c r="B186" s="95" t="n"/>
      <c r="C186" s="95" t="n"/>
      <c r="D186" s="94" t="n"/>
      <c r="E186" s="95" t="n"/>
      <c r="F186" s="98" t="n"/>
      <c r="G186" s="94" t="n"/>
      <c r="H186" s="94" t="n"/>
      <c r="I186" s="100">
        <f>IF($B186="","",IFERROR(INDEX(Setup!$B$99:$B$128,MATCH($B186,Setup!$A$99:$A$128,0)),"CHECK TYPE"))</f>
        <v/>
      </c>
      <c r="J186">
        <f>IF($A186="","",DATE(YEAR($A186),MONTH($A186),1))</f>
        <v/>
      </c>
    </row>
    <row r="187">
      <c r="A187" s="85" t="n"/>
      <c r="B187" s="87" t="n"/>
      <c r="C187" s="87" t="n"/>
      <c r="D187" s="86" t="n"/>
      <c r="E187" s="87" t="n"/>
      <c r="F187" s="91" t="n"/>
      <c r="G187" s="86" t="n"/>
      <c r="H187" s="86" t="n"/>
      <c r="I187" s="100">
        <f>IF($B187="","",IFERROR(INDEX(Setup!$B$99:$B$128,MATCH($B187,Setup!$A$99:$A$128,0)),"CHECK TYPE"))</f>
        <v/>
      </c>
      <c r="J187">
        <f>IF($A187="","",DATE(YEAR($A187),MONTH($A187),1))</f>
        <v/>
      </c>
    </row>
    <row r="188">
      <c r="A188" s="93" t="n"/>
      <c r="B188" s="95" t="n"/>
      <c r="C188" s="95" t="n"/>
      <c r="D188" s="94" t="n"/>
      <c r="E188" s="95" t="n"/>
      <c r="F188" s="98" t="n"/>
      <c r="G188" s="94" t="n"/>
      <c r="H188" s="94" t="n"/>
      <c r="I188" s="100">
        <f>IF($B188="","",IFERROR(INDEX(Setup!$B$99:$B$128,MATCH($B188,Setup!$A$99:$A$128,0)),"CHECK TYPE"))</f>
        <v/>
      </c>
      <c r="J188">
        <f>IF($A188="","",DATE(YEAR($A188),MONTH($A188),1))</f>
        <v/>
      </c>
    </row>
    <row r="189">
      <c r="A189" s="85" t="n"/>
      <c r="B189" s="87" t="n"/>
      <c r="C189" s="87" t="n"/>
      <c r="D189" s="86" t="n"/>
      <c r="E189" s="87" t="n"/>
      <c r="F189" s="91" t="n"/>
      <c r="G189" s="86" t="n"/>
      <c r="H189" s="86" t="n"/>
      <c r="I189" s="100">
        <f>IF($B189="","",IFERROR(INDEX(Setup!$B$99:$B$128,MATCH($B189,Setup!$A$99:$A$128,0)),"CHECK TYPE"))</f>
        <v/>
      </c>
      <c r="J189">
        <f>IF($A189="","",DATE(YEAR($A189),MONTH($A189),1))</f>
        <v/>
      </c>
    </row>
    <row r="190">
      <c r="A190" s="93" t="n"/>
      <c r="B190" s="95" t="n"/>
      <c r="C190" s="95" t="n"/>
      <c r="D190" s="94" t="n"/>
      <c r="E190" s="95" t="n"/>
      <c r="F190" s="98" t="n"/>
      <c r="G190" s="94" t="n"/>
      <c r="H190" s="94" t="n"/>
      <c r="I190" s="100">
        <f>IF($B190="","",IFERROR(INDEX(Setup!$B$99:$B$128,MATCH($B190,Setup!$A$99:$A$128,0)),"CHECK TYPE"))</f>
        <v/>
      </c>
      <c r="J190">
        <f>IF($A190="","",DATE(YEAR($A190),MONTH($A190),1))</f>
        <v/>
      </c>
    </row>
    <row r="191">
      <c r="A191" s="85" t="n"/>
      <c r="B191" s="87" t="n"/>
      <c r="C191" s="87" t="n"/>
      <c r="D191" s="86" t="n"/>
      <c r="E191" s="87" t="n"/>
      <c r="F191" s="91" t="n"/>
      <c r="G191" s="86" t="n"/>
      <c r="H191" s="86" t="n"/>
      <c r="I191" s="100">
        <f>IF($B191="","",IFERROR(INDEX(Setup!$B$99:$B$128,MATCH($B191,Setup!$A$99:$A$128,0)),"CHECK TYPE"))</f>
        <v/>
      </c>
      <c r="J191">
        <f>IF($A191="","",DATE(YEAR($A191),MONTH($A191),1))</f>
        <v/>
      </c>
    </row>
    <row r="192">
      <c r="A192" s="93" t="n"/>
      <c r="B192" s="95" t="n"/>
      <c r="C192" s="95" t="n"/>
      <c r="D192" s="94" t="n"/>
      <c r="E192" s="95" t="n"/>
      <c r="F192" s="98" t="n"/>
      <c r="G192" s="94" t="n"/>
      <c r="H192" s="94" t="n"/>
      <c r="I192" s="100">
        <f>IF($B192="","",IFERROR(INDEX(Setup!$B$99:$B$128,MATCH($B192,Setup!$A$99:$A$128,0)),"CHECK TYPE"))</f>
        <v/>
      </c>
      <c r="J192">
        <f>IF($A192="","",DATE(YEAR($A192),MONTH($A192),1))</f>
        <v/>
      </c>
    </row>
    <row r="193">
      <c r="A193" s="85" t="n"/>
      <c r="B193" s="87" t="n"/>
      <c r="C193" s="87" t="n"/>
      <c r="D193" s="86" t="n"/>
      <c r="E193" s="87" t="n"/>
      <c r="F193" s="91" t="n"/>
      <c r="G193" s="86" t="n"/>
      <c r="H193" s="86" t="n"/>
      <c r="I193" s="100">
        <f>IF($B193="","",IFERROR(INDEX(Setup!$B$99:$B$128,MATCH($B193,Setup!$A$99:$A$128,0)),"CHECK TYPE"))</f>
        <v/>
      </c>
      <c r="J193">
        <f>IF($A193="","",DATE(YEAR($A193),MONTH($A193),1))</f>
        <v/>
      </c>
    </row>
    <row r="194">
      <c r="A194" s="93" t="n"/>
      <c r="B194" s="95" t="n"/>
      <c r="C194" s="95" t="n"/>
      <c r="D194" s="94" t="n"/>
      <c r="E194" s="95" t="n"/>
      <c r="F194" s="98" t="n"/>
      <c r="G194" s="94" t="n"/>
      <c r="H194" s="94" t="n"/>
      <c r="I194" s="100">
        <f>IF($B194="","",IFERROR(INDEX(Setup!$B$99:$B$128,MATCH($B194,Setup!$A$99:$A$128,0)),"CHECK TYPE"))</f>
        <v/>
      </c>
      <c r="J194">
        <f>IF($A194="","",DATE(YEAR($A194),MONTH($A194),1))</f>
        <v/>
      </c>
    </row>
    <row r="195">
      <c r="A195" s="85" t="n"/>
      <c r="B195" s="87" t="n"/>
      <c r="C195" s="87" t="n"/>
      <c r="D195" s="86" t="n"/>
      <c r="E195" s="87" t="n"/>
      <c r="F195" s="91" t="n"/>
      <c r="G195" s="86" t="n"/>
      <c r="H195" s="86" t="n"/>
      <c r="I195" s="100">
        <f>IF($B195="","",IFERROR(INDEX(Setup!$B$99:$B$128,MATCH($B195,Setup!$A$99:$A$128,0)),"CHECK TYPE"))</f>
        <v/>
      </c>
      <c r="J195">
        <f>IF($A195="","",DATE(YEAR($A195),MONTH($A195),1))</f>
        <v/>
      </c>
    </row>
    <row r="196">
      <c r="A196" s="93" t="n"/>
      <c r="B196" s="95" t="n"/>
      <c r="C196" s="95" t="n"/>
      <c r="D196" s="94" t="n"/>
      <c r="E196" s="95" t="n"/>
      <c r="F196" s="98" t="n"/>
      <c r="G196" s="94" t="n"/>
      <c r="H196" s="94" t="n"/>
      <c r="I196" s="100">
        <f>IF($B196="","",IFERROR(INDEX(Setup!$B$99:$B$128,MATCH($B196,Setup!$A$99:$A$128,0)),"CHECK TYPE"))</f>
        <v/>
      </c>
      <c r="J196">
        <f>IF($A196="","",DATE(YEAR($A196),MONTH($A196),1))</f>
        <v/>
      </c>
    </row>
    <row r="197">
      <c r="A197" s="85" t="n"/>
      <c r="B197" s="87" t="n"/>
      <c r="C197" s="87" t="n"/>
      <c r="D197" s="86" t="n"/>
      <c r="E197" s="87" t="n"/>
      <c r="F197" s="91" t="n"/>
      <c r="G197" s="86" t="n"/>
      <c r="H197" s="86" t="n"/>
      <c r="I197" s="100">
        <f>IF($B197="","",IFERROR(INDEX(Setup!$B$99:$B$128,MATCH($B197,Setup!$A$99:$A$128,0)),"CHECK TYPE"))</f>
        <v/>
      </c>
      <c r="J197">
        <f>IF($A197="","",DATE(YEAR($A197),MONTH($A197),1))</f>
        <v/>
      </c>
    </row>
    <row r="198">
      <c r="A198" s="93" t="n"/>
      <c r="B198" s="95" t="n"/>
      <c r="C198" s="95" t="n"/>
      <c r="D198" s="94" t="n"/>
      <c r="E198" s="95" t="n"/>
      <c r="F198" s="98" t="n"/>
      <c r="G198" s="94" t="n"/>
      <c r="H198" s="94" t="n"/>
      <c r="I198" s="100">
        <f>IF($B198="","",IFERROR(INDEX(Setup!$B$99:$B$128,MATCH($B198,Setup!$A$99:$A$128,0)),"CHECK TYPE"))</f>
        <v/>
      </c>
      <c r="J198">
        <f>IF($A198="","",DATE(YEAR($A198),MONTH($A198),1))</f>
        <v/>
      </c>
    </row>
    <row r="199">
      <c r="A199" s="85" t="n"/>
      <c r="B199" s="87" t="n"/>
      <c r="C199" s="87" t="n"/>
      <c r="D199" s="86" t="n"/>
      <c r="E199" s="87" t="n"/>
      <c r="F199" s="91" t="n"/>
      <c r="G199" s="86" t="n"/>
      <c r="H199" s="86" t="n"/>
      <c r="I199" s="100">
        <f>IF($B199="","",IFERROR(INDEX(Setup!$B$99:$B$128,MATCH($B199,Setup!$A$99:$A$128,0)),"CHECK TYPE"))</f>
        <v/>
      </c>
      <c r="J199">
        <f>IF($A199="","",DATE(YEAR($A199),MONTH($A199),1))</f>
        <v/>
      </c>
    </row>
    <row r="200">
      <c r="A200" s="93" t="n"/>
      <c r="B200" s="95" t="n"/>
      <c r="C200" s="95" t="n"/>
      <c r="D200" s="94" t="n"/>
      <c r="E200" s="95" t="n"/>
      <c r="F200" s="98" t="n"/>
      <c r="G200" s="94" t="n"/>
      <c r="H200" s="94" t="n"/>
      <c r="I200" s="100">
        <f>IF($B200="","",IFERROR(INDEX(Setup!$B$99:$B$128,MATCH($B200,Setup!$A$99:$A$128,0)),"CHECK TYPE"))</f>
        <v/>
      </c>
      <c r="J200">
        <f>IF($A200="","",DATE(YEAR($A200),MONTH($A200),1))</f>
        <v/>
      </c>
    </row>
    <row r="201">
      <c r="A201" s="85" t="n"/>
      <c r="B201" s="87" t="n"/>
      <c r="C201" s="87" t="n"/>
      <c r="D201" s="86" t="n"/>
      <c r="E201" s="87" t="n"/>
      <c r="F201" s="91" t="n"/>
      <c r="G201" s="86" t="n"/>
      <c r="H201" s="86" t="n"/>
      <c r="I201" s="100">
        <f>IF($B201="","",IFERROR(INDEX(Setup!$B$99:$B$128,MATCH($B201,Setup!$A$99:$A$128,0)),"CHECK TYPE"))</f>
        <v/>
      </c>
      <c r="J201">
        <f>IF($A201="","",DATE(YEAR($A201),MONTH($A201),1))</f>
        <v/>
      </c>
    </row>
    <row r="202">
      <c r="A202" s="93" t="n"/>
      <c r="B202" s="95" t="n"/>
      <c r="C202" s="95" t="n"/>
      <c r="D202" s="94" t="n"/>
      <c r="E202" s="95" t="n"/>
      <c r="F202" s="98" t="n"/>
      <c r="G202" s="94" t="n"/>
      <c r="H202" s="94" t="n"/>
      <c r="I202" s="100">
        <f>IF($B202="","",IFERROR(INDEX(Setup!$B$99:$B$128,MATCH($B202,Setup!$A$99:$A$128,0)),"CHECK TYPE"))</f>
        <v/>
      </c>
      <c r="J202">
        <f>IF($A202="","",DATE(YEAR($A202),MONTH($A202),1))</f>
        <v/>
      </c>
    </row>
    <row r="203">
      <c r="A203" s="85" t="n"/>
      <c r="B203" s="87" t="n"/>
      <c r="C203" s="87" t="n"/>
      <c r="D203" s="86" t="n"/>
      <c r="E203" s="87" t="n"/>
      <c r="F203" s="91" t="n"/>
      <c r="G203" s="86" t="n"/>
      <c r="H203" s="86" t="n"/>
      <c r="I203" s="100">
        <f>IF($B203="","",IFERROR(INDEX(Setup!$B$99:$B$128,MATCH($B203,Setup!$A$99:$A$128,0)),"CHECK TYPE"))</f>
        <v/>
      </c>
      <c r="J203">
        <f>IF($A203="","",DATE(YEAR($A203),MONTH($A203),1))</f>
        <v/>
      </c>
    </row>
    <row r="204">
      <c r="A204" s="93" t="n"/>
      <c r="B204" s="95" t="n"/>
      <c r="C204" s="95" t="n"/>
      <c r="D204" s="94" t="n"/>
      <c r="E204" s="95" t="n"/>
      <c r="F204" s="98" t="n"/>
      <c r="G204" s="94" t="n"/>
      <c r="H204" s="94" t="n"/>
      <c r="I204" s="100">
        <f>IF($B204="","",IFERROR(INDEX(Setup!$B$99:$B$128,MATCH($B204,Setup!$A$99:$A$128,0)),"CHECK TYPE"))</f>
        <v/>
      </c>
      <c r="J204">
        <f>IF($A204="","",DATE(YEAR($A204),MONTH($A204),1))</f>
        <v/>
      </c>
    </row>
    <row r="205">
      <c r="A205" s="85" t="n"/>
      <c r="B205" s="87" t="n"/>
      <c r="C205" s="87" t="n"/>
      <c r="D205" s="86" t="n"/>
      <c r="E205" s="87" t="n"/>
      <c r="F205" s="91" t="n"/>
      <c r="G205" s="86" t="n"/>
      <c r="H205" s="86" t="n"/>
      <c r="I205" s="100">
        <f>IF($B205="","",IFERROR(INDEX(Setup!$B$99:$B$128,MATCH($B205,Setup!$A$99:$A$128,0)),"CHECK TYPE"))</f>
        <v/>
      </c>
      <c r="J205">
        <f>IF($A205="","",DATE(YEAR($A205),MONTH($A205),1))</f>
        <v/>
      </c>
    </row>
    <row r="206">
      <c r="A206" s="93" t="n"/>
      <c r="B206" s="95" t="n"/>
      <c r="C206" s="95" t="n"/>
      <c r="D206" s="94" t="n"/>
      <c r="E206" s="95" t="n"/>
      <c r="F206" s="98" t="n"/>
      <c r="G206" s="94" t="n"/>
      <c r="H206" s="94" t="n"/>
      <c r="I206" s="100">
        <f>IF($B206="","",IFERROR(INDEX(Setup!$B$99:$B$128,MATCH($B206,Setup!$A$99:$A$128,0)),"CHECK TYPE"))</f>
        <v/>
      </c>
      <c r="J206">
        <f>IF($A206="","",DATE(YEAR($A206),MONTH($A206),1))</f>
        <v/>
      </c>
    </row>
    <row r="207">
      <c r="A207" s="85" t="n"/>
      <c r="B207" s="87" t="n"/>
      <c r="C207" s="87" t="n"/>
      <c r="D207" s="86" t="n"/>
      <c r="E207" s="87" t="n"/>
      <c r="F207" s="91" t="n"/>
      <c r="G207" s="86" t="n"/>
      <c r="H207" s="86" t="n"/>
      <c r="I207" s="100">
        <f>IF($B207="","",IFERROR(INDEX(Setup!$B$99:$B$128,MATCH($B207,Setup!$A$99:$A$128,0)),"CHECK TYPE"))</f>
        <v/>
      </c>
      <c r="J207">
        <f>IF($A207="","",DATE(YEAR($A207),MONTH($A207),1))</f>
        <v/>
      </c>
    </row>
    <row r="208">
      <c r="A208" s="93" t="n"/>
      <c r="B208" s="95" t="n"/>
      <c r="C208" s="95" t="n"/>
      <c r="D208" s="94" t="n"/>
      <c r="E208" s="95" t="n"/>
      <c r="F208" s="98" t="n"/>
      <c r="G208" s="94" t="n"/>
      <c r="H208" s="94" t="n"/>
      <c r="I208" s="100">
        <f>IF($B208="","",IFERROR(INDEX(Setup!$B$99:$B$128,MATCH($B208,Setup!$A$99:$A$128,0)),"CHECK TYPE"))</f>
        <v/>
      </c>
      <c r="J208">
        <f>IF($A208="","",DATE(YEAR($A208),MONTH($A208),1))</f>
        <v/>
      </c>
    </row>
    <row r="209">
      <c r="A209" s="85" t="n"/>
      <c r="B209" s="87" t="n"/>
      <c r="C209" s="87" t="n"/>
      <c r="D209" s="86" t="n"/>
      <c r="E209" s="87" t="n"/>
      <c r="F209" s="91" t="n"/>
      <c r="G209" s="86" t="n"/>
      <c r="H209" s="86" t="n"/>
      <c r="I209" s="100">
        <f>IF($B209="","",IFERROR(INDEX(Setup!$B$99:$B$128,MATCH($B209,Setup!$A$99:$A$128,0)),"CHECK TYPE"))</f>
        <v/>
      </c>
      <c r="J209">
        <f>IF($A209="","",DATE(YEAR($A209),MONTH($A209),1))</f>
        <v/>
      </c>
    </row>
    <row r="210">
      <c r="A210" s="93" t="n"/>
      <c r="B210" s="95" t="n"/>
      <c r="C210" s="95" t="n"/>
      <c r="D210" s="94" t="n"/>
      <c r="E210" s="95" t="n"/>
      <c r="F210" s="98" t="n"/>
      <c r="G210" s="94" t="n"/>
      <c r="H210" s="94" t="n"/>
      <c r="I210" s="100">
        <f>IF($B210="","",IFERROR(INDEX(Setup!$B$99:$B$128,MATCH($B210,Setup!$A$99:$A$128,0)),"CHECK TYPE"))</f>
        <v/>
      </c>
      <c r="J210">
        <f>IF($A210="","",DATE(YEAR($A210),MONTH($A210),1))</f>
        <v/>
      </c>
    </row>
    <row r="211">
      <c r="A211" s="85" t="n"/>
      <c r="B211" s="87" t="n"/>
      <c r="C211" s="87" t="n"/>
      <c r="D211" s="86" t="n"/>
      <c r="E211" s="87" t="n"/>
      <c r="F211" s="91" t="n"/>
      <c r="G211" s="86" t="n"/>
      <c r="H211" s="86" t="n"/>
      <c r="I211" s="100">
        <f>IF($B211="","",IFERROR(INDEX(Setup!$B$99:$B$128,MATCH($B211,Setup!$A$99:$A$128,0)),"CHECK TYPE"))</f>
        <v/>
      </c>
      <c r="J211">
        <f>IF($A211="","",DATE(YEAR($A211),MONTH($A211),1))</f>
        <v/>
      </c>
    </row>
    <row r="212">
      <c r="A212" s="93" t="n"/>
      <c r="B212" s="95" t="n"/>
      <c r="C212" s="95" t="n"/>
      <c r="D212" s="94" t="n"/>
      <c r="E212" s="95" t="n"/>
      <c r="F212" s="98" t="n"/>
      <c r="G212" s="94" t="n"/>
      <c r="H212" s="94" t="n"/>
      <c r="I212" s="100">
        <f>IF($B212="","",IFERROR(INDEX(Setup!$B$99:$B$128,MATCH($B212,Setup!$A$99:$A$128,0)),"CHECK TYPE"))</f>
        <v/>
      </c>
      <c r="J212">
        <f>IF($A212="","",DATE(YEAR($A212),MONTH($A212),1))</f>
        <v/>
      </c>
    </row>
    <row r="213">
      <c r="A213" s="85" t="n"/>
      <c r="B213" s="87" t="n"/>
      <c r="C213" s="87" t="n"/>
      <c r="D213" s="86" t="n"/>
      <c r="E213" s="87" t="n"/>
      <c r="F213" s="91" t="n"/>
      <c r="G213" s="86" t="n"/>
      <c r="H213" s="86" t="n"/>
      <c r="I213" s="100">
        <f>IF($B213="","",IFERROR(INDEX(Setup!$B$99:$B$128,MATCH($B213,Setup!$A$99:$A$128,0)),"CHECK TYPE"))</f>
        <v/>
      </c>
      <c r="J213">
        <f>IF($A213="","",DATE(YEAR($A213),MONTH($A213),1))</f>
        <v/>
      </c>
    </row>
    <row r="214">
      <c r="A214" s="93" t="n"/>
      <c r="B214" s="95" t="n"/>
      <c r="C214" s="95" t="n"/>
      <c r="D214" s="94" t="n"/>
      <c r="E214" s="95" t="n"/>
      <c r="F214" s="98" t="n"/>
      <c r="G214" s="94" t="n"/>
      <c r="H214" s="94" t="n"/>
      <c r="I214" s="100">
        <f>IF($B214="","",IFERROR(INDEX(Setup!$B$99:$B$128,MATCH($B214,Setup!$A$99:$A$128,0)),"CHECK TYPE"))</f>
        <v/>
      </c>
      <c r="J214">
        <f>IF($A214="","",DATE(YEAR($A214),MONTH($A214),1))</f>
        <v/>
      </c>
    </row>
    <row r="215">
      <c r="A215" s="85" t="n"/>
      <c r="B215" s="87" t="n"/>
      <c r="C215" s="87" t="n"/>
      <c r="D215" s="86" t="n"/>
      <c r="E215" s="87" t="n"/>
      <c r="F215" s="91" t="n"/>
      <c r="G215" s="86" t="n"/>
      <c r="H215" s="86" t="n"/>
      <c r="I215" s="100">
        <f>IF($B215="","",IFERROR(INDEX(Setup!$B$99:$B$128,MATCH($B215,Setup!$A$99:$A$128,0)),"CHECK TYPE"))</f>
        <v/>
      </c>
      <c r="J215">
        <f>IF($A215="","",DATE(YEAR($A215),MONTH($A215),1))</f>
        <v/>
      </c>
    </row>
    <row r="216">
      <c r="A216" s="93" t="n"/>
      <c r="B216" s="95" t="n"/>
      <c r="C216" s="95" t="n"/>
      <c r="D216" s="94" t="n"/>
      <c r="E216" s="95" t="n"/>
      <c r="F216" s="98" t="n"/>
      <c r="G216" s="94" t="n"/>
      <c r="H216" s="94" t="n"/>
      <c r="I216" s="100">
        <f>IF($B216="","",IFERROR(INDEX(Setup!$B$99:$B$128,MATCH($B216,Setup!$A$99:$A$128,0)),"CHECK TYPE"))</f>
        <v/>
      </c>
      <c r="J216">
        <f>IF($A216="","",DATE(YEAR($A216),MONTH($A216),1))</f>
        <v/>
      </c>
    </row>
    <row r="217">
      <c r="A217" s="85" t="n"/>
      <c r="B217" s="87" t="n"/>
      <c r="C217" s="87" t="n"/>
      <c r="D217" s="86" t="n"/>
      <c r="E217" s="87" t="n"/>
      <c r="F217" s="91" t="n"/>
      <c r="G217" s="86" t="n"/>
      <c r="H217" s="86" t="n"/>
      <c r="I217" s="100">
        <f>IF($B217="","",IFERROR(INDEX(Setup!$B$99:$B$128,MATCH($B217,Setup!$A$99:$A$128,0)),"CHECK TYPE"))</f>
        <v/>
      </c>
      <c r="J217">
        <f>IF($A217="","",DATE(YEAR($A217),MONTH($A217),1))</f>
        <v/>
      </c>
    </row>
    <row r="218">
      <c r="A218" s="93" t="n"/>
      <c r="B218" s="95" t="n"/>
      <c r="C218" s="95" t="n"/>
      <c r="D218" s="94" t="n"/>
      <c r="E218" s="95" t="n"/>
      <c r="F218" s="98" t="n"/>
      <c r="G218" s="94" t="n"/>
      <c r="H218" s="94" t="n"/>
      <c r="I218" s="100">
        <f>IF($B218="","",IFERROR(INDEX(Setup!$B$99:$B$128,MATCH($B218,Setup!$A$99:$A$128,0)),"CHECK TYPE"))</f>
        <v/>
      </c>
      <c r="J218">
        <f>IF($A218="","",DATE(YEAR($A218),MONTH($A218),1))</f>
        <v/>
      </c>
    </row>
    <row r="219">
      <c r="A219" s="85" t="n"/>
      <c r="B219" s="87" t="n"/>
      <c r="C219" s="87" t="n"/>
      <c r="D219" s="86" t="n"/>
      <c r="E219" s="87" t="n"/>
      <c r="F219" s="91" t="n"/>
      <c r="G219" s="86" t="n"/>
      <c r="H219" s="86" t="n"/>
      <c r="I219" s="100">
        <f>IF($B219="","",IFERROR(INDEX(Setup!$B$99:$B$128,MATCH($B219,Setup!$A$99:$A$128,0)),"CHECK TYPE"))</f>
        <v/>
      </c>
      <c r="J219">
        <f>IF($A219="","",DATE(YEAR($A219),MONTH($A219),1))</f>
        <v/>
      </c>
    </row>
    <row r="220">
      <c r="A220" s="93" t="n"/>
      <c r="B220" s="95" t="n"/>
      <c r="C220" s="95" t="n"/>
      <c r="D220" s="94" t="n"/>
      <c r="E220" s="95" t="n"/>
      <c r="F220" s="98" t="n"/>
      <c r="G220" s="94" t="n"/>
      <c r="H220" s="94" t="n"/>
      <c r="I220" s="100">
        <f>IF($B220="","",IFERROR(INDEX(Setup!$B$99:$B$128,MATCH($B220,Setup!$A$99:$A$128,0)),"CHECK TYPE"))</f>
        <v/>
      </c>
      <c r="J220">
        <f>IF($A220="","",DATE(YEAR($A220),MONTH($A220),1))</f>
        <v/>
      </c>
    </row>
    <row r="221">
      <c r="A221" s="85" t="n"/>
      <c r="B221" s="87" t="n"/>
      <c r="C221" s="87" t="n"/>
      <c r="D221" s="86" t="n"/>
      <c r="E221" s="87" t="n"/>
      <c r="F221" s="91" t="n"/>
      <c r="G221" s="86" t="n"/>
      <c r="H221" s="86" t="n"/>
      <c r="I221" s="100">
        <f>IF($B221="","",IFERROR(INDEX(Setup!$B$99:$B$128,MATCH($B221,Setup!$A$99:$A$128,0)),"CHECK TYPE"))</f>
        <v/>
      </c>
      <c r="J221">
        <f>IF($A221="","",DATE(YEAR($A221),MONTH($A221),1))</f>
        <v/>
      </c>
    </row>
    <row r="222">
      <c r="A222" s="93" t="n"/>
      <c r="B222" s="95" t="n"/>
      <c r="C222" s="95" t="n"/>
      <c r="D222" s="94" t="n"/>
      <c r="E222" s="95" t="n"/>
      <c r="F222" s="98" t="n"/>
      <c r="G222" s="94" t="n"/>
      <c r="H222" s="94" t="n"/>
      <c r="I222" s="100">
        <f>IF($B222="","",IFERROR(INDEX(Setup!$B$99:$B$128,MATCH($B222,Setup!$A$99:$A$128,0)),"CHECK TYPE"))</f>
        <v/>
      </c>
      <c r="J222">
        <f>IF($A222="","",DATE(YEAR($A222),MONTH($A222),1))</f>
        <v/>
      </c>
    </row>
    <row r="223">
      <c r="A223" s="85" t="n"/>
      <c r="B223" s="87" t="n"/>
      <c r="C223" s="87" t="n"/>
      <c r="D223" s="86" t="n"/>
      <c r="E223" s="87" t="n"/>
      <c r="F223" s="91" t="n"/>
      <c r="G223" s="86" t="n"/>
      <c r="H223" s="86" t="n"/>
      <c r="I223" s="100">
        <f>IF($B223="","",IFERROR(INDEX(Setup!$B$99:$B$128,MATCH($B223,Setup!$A$99:$A$128,0)),"CHECK TYPE"))</f>
        <v/>
      </c>
      <c r="J223">
        <f>IF($A223="","",DATE(YEAR($A223),MONTH($A223),1))</f>
        <v/>
      </c>
    </row>
    <row r="224">
      <c r="A224" s="93" t="n"/>
      <c r="B224" s="95" t="n"/>
      <c r="C224" s="95" t="n"/>
      <c r="D224" s="94" t="n"/>
      <c r="E224" s="95" t="n"/>
      <c r="F224" s="98" t="n"/>
      <c r="G224" s="94" t="n"/>
      <c r="H224" s="94" t="n"/>
      <c r="I224" s="100">
        <f>IF($B224="","",IFERROR(INDEX(Setup!$B$99:$B$128,MATCH($B224,Setup!$A$99:$A$128,0)),"CHECK TYPE"))</f>
        <v/>
      </c>
      <c r="J224">
        <f>IF($A224="","",DATE(YEAR($A224),MONTH($A224),1))</f>
        <v/>
      </c>
    </row>
    <row r="225">
      <c r="A225" s="85" t="n"/>
      <c r="B225" s="87" t="n"/>
      <c r="C225" s="87" t="n"/>
      <c r="D225" s="86" t="n"/>
      <c r="E225" s="87" t="n"/>
      <c r="F225" s="91" t="n"/>
      <c r="G225" s="86" t="n"/>
      <c r="H225" s="86" t="n"/>
      <c r="I225" s="100">
        <f>IF($B225="","",IFERROR(INDEX(Setup!$B$99:$B$128,MATCH($B225,Setup!$A$99:$A$128,0)),"CHECK TYPE"))</f>
        <v/>
      </c>
      <c r="J225">
        <f>IF($A225="","",DATE(YEAR($A225),MONTH($A225),1))</f>
        <v/>
      </c>
    </row>
    <row r="226">
      <c r="A226" s="93" t="n"/>
      <c r="B226" s="95" t="n"/>
      <c r="C226" s="95" t="n"/>
      <c r="D226" s="94" t="n"/>
      <c r="E226" s="95" t="n"/>
      <c r="F226" s="98" t="n"/>
      <c r="G226" s="94" t="n"/>
      <c r="H226" s="94" t="n"/>
      <c r="I226" s="100">
        <f>IF($B226="","",IFERROR(INDEX(Setup!$B$99:$B$128,MATCH($B226,Setup!$A$99:$A$128,0)),"CHECK TYPE"))</f>
        <v/>
      </c>
      <c r="J226">
        <f>IF($A226="","",DATE(YEAR($A226),MONTH($A226),1))</f>
        <v/>
      </c>
    </row>
    <row r="227">
      <c r="A227" s="85" t="n"/>
      <c r="B227" s="87" t="n"/>
      <c r="C227" s="87" t="n"/>
      <c r="D227" s="86" t="n"/>
      <c r="E227" s="87" t="n"/>
      <c r="F227" s="91" t="n"/>
      <c r="G227" s="86" t="n"/>
      <c r="H227" s="86" t="n"/>
      <c r="I227" s="100">
        <f>IF($B227="","",IFERROR(INDEX(Setup!$B$99:$B$128,MATCH($B227,Setup!$A$99:$A$128,0)),"CHECK TYPE"))</f>
        <v/>
      </c>
      <c r="J227">
        <f>IF($A227="","",DATE(YEAR($A227),MONTH($A227),1))</f>
        <v/>
      </c>
    </row>
    <row r="228">
      <c r="A228" s="93" t="n"/>
      <c r="B228" s="95" t="n"/>
      <c r="C228" s="95" t="n"/>
      <c r="D228" s="94" t="n"/>
      <c r="E228" s="95" t="n"/>
      <c r="F228" s="98" t="n"/>
      <c r="G228" s="94" t="n"/>
      <c r="H228" s="94" t="n"/>
      <c r="I228" s="100">
        <f>IF($B228="","",IFERROR(INDEX(Setup!$B$99:$B$128,MATCH($B228,Setup!$A$99:$A$128,0)),"CHECK TYPE"))</f>
        <v/>
      </c>
      <c r="J228">
        <f>IF($A228="","",DATE(YEAR($A228),MONTH($A228),1))</f>
        <v/>
      </c>
    </row>
    <row r="229">
      <c r="A229" s="85" t="n"/>
      <c r="B229" s="87" t="n"/>
      <c r="C229" s="87" t="n"/>
      <c r="D229" s="86" t="n"/>
      <c r="E229" s="87" t="n"/>
      <c r="F229" s="91" t="n"/>
      <c r="G229" s="86" t="n"/>
      <c r="H229" s="86" t="n"/>
      <c r="I229" s="100">
        <f>IF($B229="","",IFERROR(INDEX(Setup!$B$99:$B$128,MATCH($B229,Setup!$A$99:$A$128,0)),"CHECK TYPE"))</f>
        <v/>
      </c>
      <c r="J229">
        <f>IF($A229="","",DATE(YEAR($A229),MONTH($A229),1))</f>
        <v/>
      </c>
    </row>
    <row r="230">
      <c r="A230" s="93" t="n"/>
      <c r="B230" s="95" t="n"/>
      <c r="C230" s="95" t="n"/>
      <c r="D230" s="94" t="n"/>
      <c r="E230" s="95" t="n"/>
      <c r="F230" s="98" t="n"/>
      <c r="G230" s="94" t="n"/>
      <c r="H230" s="94" t="n"/>
      <c r="I230" s="100">
        <f>IF($B230="","",IFERROR(INDEX(Setup!$B$99:$B$128,MATCH($B230,Setup!$A$99:$A$128,0)),"CHECK TYPE"))</f>
        <v/>
      </c>
      <c r="J230">
        <f>IF($A230="","",DATE(YEAR($A230),MONTH($A230),1))</f>
        <v/>
      </c>
    </row>
    <row r="231">
      <c r="A231" s="85" t="n"/>
      <c r="B231" s="87" t="n"/>
      <c r="C231" s="87" t="n"/>
      <c r="D231" s="86" t="n"/>
      <c r="E231" s="87" t="n"/>
      <c r="F231" s="91" t="n"/>
      <c r="G231" s="86" t="n"/>
      <c r="H231" s="86" t="n"/>
      <c r="I231" s="100">
        <f>IF($B231="","",IFERROR(INDEX(Setup!$B$99:$B$128,MATCH($B231,Setup!$A$99:$A$128,0)),"CHECK TYPE"))</f>
        <v/>
      </c>
      <c r="J231">
        <f>IF($A231="","",DATE(YEAR($A231),MONTH($A231),1))</f>
        <v/>
      </c>
    </row>
    <row r="232">
      <c r="A232" s="93" t="n"/>
      <c r="B232" s="95" t="n"/>
      <c r="C232" s="95" t="n"/>
      <c r="D232" s="94" t="n"/>
      <c r="E232" s="95" t="n"/>
      <c r="F232" s="98" t="n"/>
      <c r="G232" s="94" t="n"/>
      <c r="H232" s="94" t="n"/>
      <c r="I232" s="100">
        <f>IF($B232="","",IFERROR(INDEX(Setup!$B$99:$B$128,MATCH($B232,Setup!$A$99:$A$128,0)),"CHECK TYPE"))</f>
        <v/>
      </c>
      <c r="J232">
        <f>IF($A232="","",DATE(YEAR($A232),MONTH($A232),1))</f>
        <v/>
      </c>
    </row>
    <row r="233">
      <c r="A233" s="85" t="n"/>
      <c r="B233" s="87" t="n"/>
      <c r="C233" s="87" t="n"/>
      <c r="D233" s="86" t="n"/>
      <c r="E233" s="87" t="n"/>
      <c r="F233" s="91" t="n"/>
      <c r="G233" s="86" t="n"/>
      <c r="H233" s="86" t="n"/>
      <c r="I233" s="100">
        <f>IF($B233="","",IFERROR(INDEX(Setup!$B$99:$B$128,MATCH($B233,Setup!$A$99:$A$128,0)),"CHECK TYPE"))</f>
        <v/>
      </c>
      <c r="J233">
        <f>IF($A233="","",DATE(YEAR($A233),MONTH($A233),1))</f>
        <v/>
      </c>
    </row>
    <row r="234">
      <c r="A234" s="93" t="n"/>
      <c r="B234" s="95" t="n"/>
      <c r="C234" s="95" t="n"/>
      <c r="D234" s="94" t="n"/>
      <c r="E234" s="95" t="n"/>
      <c r="F234" s="98" t="n"/>
      <c r="G234" s="94" t="n"/>
      <c r="H234" s="94" t="n"/>
      <c r="I234" s="100">
        <f>IF($B234="","",IFERROR(INDEX(Setup!$B$99:$B$128,MATCH($B234,Setup!$A$99:$A$128,0)),"CHECK TYPE"))</f>
        <v/>
      </c>
      <c r="J234">
        <f>IF($A234="","",DATE(YEAR($A234),MONTH($A234),1))</f>
        <v/>
      </c>
    </row>
    <row r="235">
      <c r="A235" s="85" t="n"/>
      <c r="B235" s="87" t="n"/>
      <c r="C235" s="87" t="n"/>
      <c r="D235" s="86" t="n"/>
      <c r="E235" s="87" t="n"/>
      <c r="F235" s="91" t="n"/>
      <c r="G235" s="86" t="n"/>
      <c r="H235" s="86" t="n"/>
      <c r="I235" s="100">
        <f>IF($B235="","",IFERROR(INDEX(Setup!$B$99:$B$128,MATCH($B235,Setup!$A$99:$A$128,0)),"CHECK TYPE"))</f>
        <v/>
      </c>
      <c r="J235">
        <f>IF($A235="","",DATE(YEAR($A235),MONTH($A235),1))</f>
        <v/>
      </c>
    </row>
    <row r="236">
      <c r="A236" s="93" t="n"/>
      <c r="B236" s="95" t="n"/>
      <c r="C236" s="95" t="n"/>
      <c r="D236" s="94" t="n"/>
      <c r="E236" s="95" t="n"/>
      <c r="F236" s="98" t="n"/>
      <c r="G236" s="94" t="n"/>
      <c r="H236" s="94" t="n"/>
      <c r="I236" s="100">
        <f>IF($B236="","",IFERROR(INDEX(Setup!$B$99:$B$128,MATCH($B236,Setup!$A$99:$A$128,0)),"CHECK TYPE"))</f>
        <v/>
      </c>
      <c r="J236">
        <f>IF($A236="","",DATE(YEAR($A236),MONTH($A236),1))</f>
        <v/>
      </c>
    </row>
    <row r="237">
      <c r="A237" s="85" t="n"/>
      <c r="B237" s="87" t="n"/>
      <c r="C237" s="87" t="n"/>
      <c r="D237" s="86" t="n"/>
      <c r="E237" s="87" t="n"/>
      <c r="F237" s="91" t="n"/>
      <c r="G237" s="86" t="n"/>
      <c r="H237" s="86" t="n"/>
      <c r="I237" s="100">
        <f>IF($B237="","",IFERROR(INDEX(Setup!$B$99:$B$128,MATCH($B237,Setup!$A$99:$A$128,0)),"CHECK TYPE"))</f>
        <v/>
      </c>
      <c r="J237">
        <f>IF($A237="","",DATE(YEAR($A237),MONTH($A237),1))</f>
        <v/>
      </c>
    </row>
    <row r="238">
      <c r="A238" s="93" t="n"/>
      <c r="B238" s="95" t="n"/>
      <c r="C238" s="95" t="n"/>
      <c r="D238" s="94" t="n"/>
      <c r="E238" s="95" t="n"/>
      <c r="F238" s="98" t="n"/>
      <c r="G238" s="94" t="n"/>
      <c r="H238" s="94" t="n"/>
      <c r="I238" s="100">
        <f>IF($B238="","",IFERROR(INDEX(Setup!$B$99:$B$128,MATCH($B238,Setup!$A$99:$A$128,0)),"CHECK TYPE"))</f>
        <v/>
      </c>
      <c r="J238">
        <f>IF($A238="","",DATE(YEAR($A238),MONTH($A238),1))</f>
        <v/>
      </c>
    </row>
    <row r="239">
      <c r="A239" s="85" t="n"/>
      <c r="B239" s="87" t="n"/>
      <c r="C239" s="87" t="n"/>
      <c r="D239" s="86" t="n"/>
      <c r="E239" s="87" t="n"/>
      <c r="F239" s="91" t="n"/>
      <c r="G239" s="86" t="n"/>
      <c r="H239" s="86" t="n"/>
      <c r="I239" s="100">
        <f>IF($B239="","",IFERROR(INDEX(Setup!$B$99:$B$128,MATCH($B239,Setup!$A$99:$A$128,0)),"CHECK TYPE"))</f>
        <v/>
      </c>
      <c r="J239">
        <f>IF($A239="","",DATE(YEAR($A239),MONTH($A239),1))</f>
        <v/>
      </c>
    </row>
    <row r="240">
      <c r="A240" s="93" t="n"/>
      <c r="B240" s="95" t="n"/>
      <c r="C240" s="95" t="n"/>
      <c r="D240" s="94" t="n"/>
      <c r="E240" s="95" t="n"/>
      <c r="F240" s="98" t="n"/>
      <c r="G240" s="94" t="n"/>
      <c r="H240" s="94" t="n"/>
      <c r="I240" s="100">
        <f>IF($B240="","",IFERROR(INDEX(Setup!$B$99:$B$128,MATCH($B240,Setup!$A$99:$A$128,0)),"CHECK TYPE"))</f>
        <v/>
      </c>
      <c r="J240">
        <f>IF($A240="","",DATE(YEAR($A240),MONTH($A240),1))</f>
        <v/>
      </c>
    </row>
    <row r="241">
      <c r="A241" s="85" t="n"/>
      <c r="B241" s="87" t="n"/>
      <c r="C241" s="87" t="n"/>
      <c r="D241" s="86" t="n"/>
      <c r="E241" s="87" t="n"/>
      <c r="F241" s="91" t="n"/>
      <c r="G241" s="86" t="n"/>
      <c r="H241" s="86" t="n"/>
      <c r="I241" s="100">
        <f>IF($B241="","",IFERROR(INDEX(Setup!$B$99:$B$128,MATCH($B241,Setup!$A$99:$A$128,0)),"CHECK TYPE"))</f>
        <v/>
      </c>
      <c r="J241">
        <f>IF($A241="","",DATE(YEAR($A241),MONTH($A241),1))</f>
        <v/>
      </c>
    </row>
    <row r="242">
      <c r="A242" s="93" t="n"/>
      <c r="B242" s="95" t="n"/>
      <c r="C242" s="95" t="n"/>
      <c r="D242" s="94" t="n"/>
      <c r="E242" s="95" t="n"/>
      <c r="F242" s="98" t="n"/>
      <c r="G242" s="94" t="n"/>
      <c r="H242" s="94" t="n"/>
      <c r="I242" s="100">
        <f>IF($B242="","",IFERROR(INDEX(Setup!$B$99:$B$128,MATCH($B242,Setup!$A$99:$A$128,0)),"CHECK TYPE"))</f>
        <v/>
      </c>
      <c r="J242">
        <f>IF($A242="","",DATE(YEAR($A242),MONTH($A242),1))</f>
        <v/>
      </c>
    </row>
    <row r="243">
      <c r="A243" s="85" t="n"/>
      <c r="B243" s="87" t="n"/>
      <c r="C243" s="87" t="n"/>
      <c r="D243" s="86" t="n"/>
      <c r="E243" s="87" t="n"/>
      <c r="F243" s="91" t="n"/>
      <c r="G243" s="86" t="n"/>
      <c r="H243" s="86" t="n"/>
      <c r="I243" s="100">
        <f>IF($B243="","",IFERROR(INDEX(Setup!$B$99:$B$128,MATCH($B243,Setup!$A$99:$A$128,0)),"CHECK TYPE"))</f>
        <v/>
      </c>
      <c r="J243">
        <f>IF($A243="","",DATE(YEAR($A243),MONTH($A243),1))</f>
        <v/>
      </c>
    </row>
    <row r="244">
      <c r="A244" s="93" t="n"/>
      <c r="B244" s="95" t="n"/>
      <c r="C244" s="95" t="n"/>
      <c r="D244" s="94" t="n"/>
      <c r="E244" s="95" t="n"/>
      <c r="F244" s="98" t="n"/>
      <c r="G244" s="94" t="n"/>
      <c r="H244" s="94" t="n"/>
      <c r="I244" s="100">
        <f>IF($B244="","",IFERROR(INDEX(Setup!$B$99:$B$128,MATCH($B244,Setup!$A$99:$A$128,0)),"CHECK TYPE"))</f>
        <v/>
      </c>
      <c r="J244">
        <f>IF($A244="","",DATE(YEAR($A244),MONTH($A244),1))</f>
        <v/>
      </c>
    </row>
    <row r="245">
      <c r="A245" s="85" t="n"/>
      <c r="B245" s="87" t="n"/>
      <c r="C245" s="87" t="n"/>
      <c r="D245" s="86" t="n"/>
      <c r="E245" s="87" t="n"/>
      <c r="F245" s="91" t="n"/>
      <c r="G245" s="86" t="n"/>
      <c r="H245" s="86" t="n"/>
      <c r="I245" s="100">
        <f>IF($B245="","",IFERROR(INDEX(Setup!$B$99:$B$128,MATCH($B245,Setup!$A$99:$A$128,0)),"CHECK TYPE"))</f>
        <v/>
      </c>
      <c r="J245">
        <f>IF($A245="","",DATE(YEAR($A245),MONTH($A245),1))</f>
        <v/>
      </c>
    </row>
    <row r="246">
      <c r="A246" s="93" t="n"/>
      <c r="B246" s="95" t="n"/>
      <c r="C246" s="95" t="n"/>
      <c r="D246" s="94" t="n"/>
      <c r="E246" s="95" t="n"/>
      <c r="F246" s="98" t="n"/>
      <c r="G246" s="94" t="n"/>
      <c r="H246" s="94" t="n"/>
      <c r="I246" s="100">
        <f>IF($B246="","",IFERROR(INDEX(Setup!$B$99:$B$128,MATCH($B246,Setup!$A$99:$A$128,0)),"CHECK TYPE"))</f>
        <v/>
      </c>
      <c r="J246">
        <f>IF($A246="","",DATE(YEAR($A246),MONTH($A246),1))</f>
        <v/>
      </c>
    </row>
    <row r="247">
      <c r="A247" s="85" t="n"/>
      <c r="B247" s="87" t="n"/>
      <c r="C247" s="87" t="n"/>
      <c r="D247" s="86" t="n"/>
      <c r="E247" s="87" t="n"/>
      <c r="F247" s="91" t="n"/>
      <c r="G247" s="86" t="n"/>
      <c r="H247" s="86" t="n"/>
      <c r="I247" s="100">
        <f>IF($B247="","",IFERROR(INDEX(Setup!$B$99:$B$128,MATCH($B247,Setup!$A$99:$A$128,0)),"CHECK TYPE"))</f>
        <v/>
      </c>
      <c r="J247">
        <f>IF($A247="","",DATE(YEAR($A247),MONTH($A247),1))</f>
        <v/>
      </c>
    </row>
    <row r="248">
      <c r="A248" s="93" t="n"/>
      <c r="B248" s="95" t="n"/>
      <c r="C248" s="95" t="n"/>
      <c r="D248" s="94" t="n"/>
      <c r="E248" s="95" t="n"/>
      <c r="F248" s="98" t="n"/>
      <c r="G248" s="94" t="n"/>
      <c r="H248" s="94" t="n"/>
      <c r="I248" s="100">
        <f>IF($B248="","",IFERROR(INDEX(Setup!$B$99:$B$128,MATCH($B248,Setup!$A$99:$A$128,0)),"CHECK TYPE"))</f>
        <v/>
      </c>
      <c r="J248">
        <f>IF($A248="","",DATE(YEAR($A248),MONTH($A248),1))</f>
        <v/>
      </c>
    </row>
    <row r="249">
      <c r="A249" s="85" t="n"/>
      <c r="B249" s="87" t="n"/>
      <c r="C249" s="87" t="n"/>
      <c r="D249" s="86" t="n"/>
      <c r="E249" s="87" t="n"/>
      <c r="F249" s="91" t="n"/>
      <c r="G249" s="86" t="n"/>
      <c r="H249" s="86" t="n"/>
      <c r="I249" s="100">
        <f>IF($B249="","",IFERROR(INDEX(Setup!$B$99:$B$128,MATCH($B249,Setup!$A$99:$A$128,0)),"CHECK TYPE"))</f>
        <v/>
      </c>
      <c r="J249">
        <f>IF($A249="","",DATE(YEAR($A249),MONTH($A249),1))</f>
        <v/>
      </c>
    </row>
    <row r="250">
      <c r="A250" s="93" t="n"/>
      <c r="B250" s="95" t="n"/>
      <c r="C250" s="95" t="n"/>
      <c r="D250" s="94" t="n"/>
      <c r="E250" s="95" t="n"/>
      <c r="F250" s="98" t="n"/>
      <c r="G250" s="94" t="n"/>
      <c r="H250" s="94" t="n"/>
      <c r="I250" s="100">
        <f>IF($B250="","",IFERROR(INDEX(Setup!$B$99:$B$128,MATCH($B250,Setup!$A$99:$A$128,0)),"CHECK TYPE"))</f>
        <v/>
      </c>
      <c r="J250">
        <f>IF($A250="","",DATE(YEAR($A250),MONTH($A250),1))</f>
        <v/>
      </c>
    </row>
    <row r="251">
      <c r="A251" s="85" t="n"/>
      <c r="B251" s="87" t="n"/>
      <c r="C251" s="87" t="n"/>
      <c r="D251" s="86" t="n"/>
      <c r="E251" s="87" t="n"/>
      <c r="F251" s="91" t="n"/>
      <c r="G251" s="86" t="n"/>
      <c r="H251" s="86" t="n"/>
      <c r="I251" s="100">
        <f>IF($B251="","",IFERROR(INDEX(Setup!$B$99:$B$128,MATCH($B251,Setup!$A$99:$A$128,0)),"CHECK TYPE"))</f>
        <v/>
      </c>
      <c r="J251">
        <f>IF($A251="","",DATE(YEAR($A251),MONTH($A251),1))</f>
        <v/>
      </c>
    </row>
    <row r="252">
      <c r="A252" s="93" t="n"/>
      <c r="B252" s="95" t="n"/>
      <c r="C252" s="95" t="n"/>
      <c r="D252" s="94" t="n"/>
      <c r="E252" s="95" t="n"/>
      <c r="F252" s="98" t="n"/>
      <c r="G252" s="94" t="n"/>
      <c r="H252" s="94" t="n"/>
      <c r="I252" s="100">
        <f>IF($B252="","",IFERROR(INDEX(Setup!$B$99:$B$128,MATCH($B252,Setup!$A$99:$A$128,0)),"CHECK TYPE"))</f>
        <v/>
      </c>
      <c r="J252">
        <f>IF($A252="","",DATE(YEAR($A252),MONTH($A252),1))</f>
        <v/>
      </c>
    </row>
    <row r="253">
      <c r="A253" s="85" t="n"/>
      <c r="B253" s="87" t="n"/>
      <c r="C253" s="87" t="n"/>
      <c r="D253" s="86" t="n"/>
      <c r="E253" s="87" t="n"/>
      <c r="F253" s="91" t="n"/>
      <c r="G253" s="86" t="n"/>
      <c r="H253" s="86" t="n"/>
      <c r="I253" s="100">
        <f>IF($B253="","",IFERROR(INDEX(Setup!$B$99:$B$128,MATCH($B253,Setup!$A$99:$A$128,0)),"CHECK TYPE"))</f>
        <v/>
      </c>
      <c r="J253">
        <f>IF($A253="","",DATE(YEAR($A253),MONTH($A253),1))</f>
        <v/>
      </c>
    </row>
    <row r="254">
      <c r="A254" s="93" t="n"/>
      <c r="B254" s="95" t="n"/>
      <c r="C254" s="95" t="n"/>
      <c r="D254" s="94" t="n"/>
      <c r="E254" s="95" t="n"/>
      <c r="F254" s="98" t="n"/>
      <c r="G254" s="94" t="n"/>
      <c r="H254" s="94" t="n"/>
      <c r="I254" s="100">
        <f>IF($B254="","",IFERROR(INDEX(Setup!$B$99:$B$128,MATCH($B254,Setup!$A$99:$A$128,0)),"CHECK TYPE"))</f>
        <v/>
      </c>
      <c r="J254">
        <f>IF($A254="","",DATE(YEAR($A254),MONTH($A254),1))</f>
        <v/>
      </c>
    </row>
    <row r="255">
      <c r="A255" s="85" t="n"/>
      <c r="B255" s="87" t="n"/>
      <c r="C255" s="87" t="n"/>
      <c r="D255" s="86" t="n"/>
      <c r="E255" s="87" t="n"/>
      <c r="F255" s="91" t="n"/>
      <c r="G255" s="86" t="n"/>
      <c r="H255" s="86" t="n"/>
      <c r="I255" s="100">
        <f>IF($B255="","",IFERROR(INDEX(Setup!$B$99:$B$128,MATCH($B255,Setup!$A$99:$A$128,0)),"CHECK TYPE"))</f>
        <v/>
      </c>
      <c r="J255">
        <f>IF($A255="","",DATE(YEAR($A255),MONTH($A255),1))</f>
        <v/>
      </c>
    </row>
    <row r="256">
      <c r="A256" s="93" t="n"/>
      <c r="B256" s="95" t="n"/>
      <c r="C256" s="95" t="n"/>
      <c r="D256" s="94" t="n"/>
      <c r="E256" s="95" t="n"/>
      <c r="F256" s="98" t="n"/>
      <c r="G256" s="94" t="n"/>
      <c r="H256" s="94" t="n"/>
      <c r="I256" s="100">
        <f>IF($B256="","",IFERROR(INDEX(Setup!$B$99:$B$128,MATCH($B256,Setup!$A$99:$A$128,0)),"CHECK TYPE"))</f>
        <v/>
      </c>
      <c r="J256">
        <f>IF($A256="","",DATE(YEAR($A256),MONTH($A256),1))</f>
        <v/>
      </c>
    </row>
    <row r="257">
      <c r="A257" s="85" t="n"/>
      <c r="B257" s="87" t="n"/>
      <c r="C257" s="87" t="n"/>
      <c r="D257" s="86" t="n"/>
      <c r="E257" s="87" t="n"/>
      <c r="F257" s="91" t="n"/>
      <c r="G257" s="86" t="n"/>
      <c r="H257" s="86" t="n"/>
      <c r="I257" s="100">
        <f>IF($B257="","",IFERROR(INDEX(Setup!$B$99:$B$128,MATCH($B257,Setup!$A$99:$A$128,0)),"CHECK TYPE"))</f>
        <v/>
      </c>
      <c r="J257">
        <f>IF($A257="","",DATE(YEAR($A257),MONTH($A257),1))</f>
        <v/>
      </c>
    </row>
    <row r="258">
      <c r="A258" s="93" t="n"/>
      <c r="B258" s="95" t="n"/>
      <c r="C258" s="95" t="n"/>
      <c r="D258" s="94" t="n"/>
      <c r="E258" s="95" t="n"/>
      <c r="F258" s="98" t="n"/>
      <c r="G258" s="94" t="n"/>
      <c r="H258" s="94" t="n"/>
      <c r="I258" s="100">
        <f>IF($B258="","",IFERROR(INDEX(Setup!$B$99:$B$128,MATCH($B258,Setup!$A$99:$A$128,0)),"CHECK TYPE"))</f>
        <v/>
      </c>
      <c r="J258">
        <f>IF($A258="","",DATE(YEAR($A258),MONTH($A258),1))</f>
        <v/>
      </c>
    </row>
    <row r="259">
      <c r="A259" s="85" t="n"/>
      <c r="B259" s="87" t="n"/>
      <c r="C259" s="87" t="n"/>
      <c r="D259" s="86" t="n"/>
      <c r="E259" s="87" t="n"/>
      <c r="F259" s="91" t="n"/>
      <c r="G259" s="86" t="n"/>
      <c r="H259" s="86" t="n"/>
      <c r="I259" s="100">
        <f>IF($B259="","",IFERROR(INDEX(Setup!$B$99:$B$128,MATCH($B259,Setup!$A$99:$A$128,0)),"CHECK TYPE"))</f>
        <v/>
      </c>
      <c r="J259">
        <f>IF($A259="","",DATE(YEAR($A259),MONTH($A259),1))</f>
        <v/>
      </c>
    </row>
    <row r="260">
      <c r="A260" s="93" t="n"/>
      <c r="B260" s="95" t="n"/>
      <c r="C260" s="95" t="n"/>
      <c r="D260" s="94" t="n"/>
      <c r="E260" s="95" t="n"/>
      <c r="F260" s="98" t="n"/>
      <c r="G260" s="94" t="n"/>
      <c r="H260" s="94" t="n"/>
      <c r="I260" s="100">
        <f>IF($B260="","",IFERROR(INDEX(Setup!$B$99:$B$128,MATCH($B260,Setup!$A$99:$A$128,0)),"CHECK TYPE"))</f>
        <v/>
      </c>
      <c r="J260">
        <f>IF($A260="","",DATE(YEAR($A260),MONTH($A260),1))</f>
        <v/>
      </c>
    </row>
    <row r="261">
      <c r="A261" s="85" t="n"/>
      <c r="B261" s="87" t="n"/>
      <c r="C261" s="87" t="n"/>
      <c r="D261" s="86" t="n"/>
      <c r="E261" s="87" t="n"/>
      <c r="F261" s="91" t="n"/>
      <c r="G261" s="86" t="n"/>
      <c r="H261" s="86" t="n"/>
      <c r="I261" s="100">
        <f>IF($B261="","",IFERROR(INDEX(Setup!$B$99:$B$128,MATCH($B261,Setup!$A$99:$A$128,0)),"CHECK TYPE"))</f>
        <v/>
      </c>
      <c r="J261">
        <f>IF($A261="","",DATE(YEAR($A261),MONTH($A261),1))</f>
        <v/>
      </c>
    </row>
    <row r="262">
      <c r="A262" s="93" t="n"/>
      <c r="B262" s="95" t="n"/>
      <c r="C262" s="95" t="n"/>
      <c r="D262" s="94" t="n"/>
      <c r="E262" s="95" t="n"/>
      <c r="F262" s="98" t="n"/>
      <c r="G262" s="94" t="n"/>
      <c r="H262" s="94" t="n"/>
      <c r="I262" s="100">
        <f>IF($B262="","",IFERROR(INDEX(Setup!$B$99:$B$128,MATCH($B262,Setup!$A$99:$A$128,0)),"CHECK TYPE"))</f>
        <v/>
      </c>
      <c r="J262">
        <f>IF($A262="","",DATE(YEAR($A262),MONTH($A262),1))</f>
        <v/>
      </c>
    </row>
    <row r="263">
      <c r="A263" s="85" t="n"/>
      <c r="B263" s="87" t="n"/>
      <c r="C263" s="87" t="n"/>
      <c r="D263" s="86" t="n"/>
      <c r="E263" s="87" t="n"/>
      <c r="F263" s="91" t="n"/>
      <c r="G263" s="86" t="n"/>
      <c r="H263" s="86" t="n"/>
      <c r="I263" s="100">
        <f>IF($B263="","",IFERROR(INDEX(Setup!$B$99:$B$128,MATCH($B263,Setup!$A$99:$A$128,0)),"CHECK TYPE"))</f>
        <v/>
      </c>
      <c r="J263">
        <f>IF($A263="","",DATE(YEAR($A263),MONTH($A263),1))</f>
        <v/>
      </c>
    </row>
    <row r="264">
      <c r="A264" s="93" t="n"/>
      <c r="B264" s="95" t="n"/>
      <c r="C264" s="95" t="n"/>
      <c r="D264" s="94" t="n"/>
      <c r="E264" s="95" t="n"/>
      <c r="F264" s="98" t="n"/>
      <c r="G264" s="94" t="n"/>
      <c r="H264" s="94" t="n"/>
      <c r="I264" s="100">
        <f>IF($B264="","",IFERROR(INDEX(Setup!$B$99:$B$128,MATCH($B264,Setup!$A$99:$A$128,0)),"CHECK TYPE"))</f>
        <v/>
      </c>
      <c r="J264">
        <f>IF($A264="","",DATE(YEAR($A264),MONTH($A264),1))</f>
        <v/>
      </c>
    </row>
    <row r="265">
      <c r="A265" s="85" t="n"/>
      <c r="B265" s="87" t="n"/>
      <c r="C265" s="87" t="n"/>
      <c r="D265" s="86" t="n"/>
      <c r="E265" s="87" t="n"/>
      <c r="F265" s="91" t="n"/>
      <c r="G265" s="86" t="n"/>
      <c r="H265" s="86" t="n"/>
      <c r="I265" s="100">
        <f>IF($B265="","",IFERROR(INDEX(Setup!$B$99:$B$128,MATCH($B265,Setup!$A$99:$A$128,0)),"CHECK TYPE"))</f>
        <v/>
      </c>
      <c r="J265">
        <f>IF($A265="","",DATE(YEAR($A265),MONTH($A265),1))</f>
        <v/>
      </c>
    </row>
    <row r="266">
      <c r="A266" s="93" t="n"/>
      <c r="B266" s="95" t="n"/>
      <c r="C266" s="95" t="n"/>
      <c r="D266" s="94" t="n"/>
      <c r="E266" s="95" t="n"/>
      <c r="F266" s="98" t="n"/>
      <c r="G266" s="94" t="n"/>
      <c r="H266" s="94" t="n"/>
      <c r="I266" s="100">
        <f>IF($B266="","",IFERROR(INDEX(Setup!$B$99:$B$128,MATCH($B266,Setup!$A$99:$A$128,0)),"CHECK TYPE"))</f>
        <v/>
      </c>
      <c r="J266">
        <f>IF($A266="","",DATE(YEAR($A266),MONTH($A266),1))</f>
        <v/>
      </c>
    </row>
    <row r="267">
      <c r="A267" s="85" t="n"/>
      <c r="B267" s="87" t="n"/>
      <c r="C267" s="87" t="n"/>
      <c r="D267" s="86" t="n"/>
      <c r="E267" s="87" t="n"/>
      <c r="F267" s="91" t="n"/>
      <c r="G267" s="86" t="n"/>
      <c r="H267" s="86" t="n"/>
      <c r="I267" s="100">
        <f>IF($B267="","",IFERROR(INDEX(Setup!$B$99:$B$128,MATCH($B267,Setup!$A$99:$A$128,0)),"CHECK TYPE"))</f>
        <v/>
      </c>
      <c r="J267">
        <f>IF($A267="","",DATE(YEAR($A267),MONTH($A267),1))</f>
        <v/>
      </c>
    </row>
    <row r="268">
      <c r="A268" s="93" t="n"/>
      <c r="B268" s="95" t="n"/>
      <c r="C268" s="95" t="n"/>
      <c r="D268" s="94" t="n"/>
      <c r="E268" s="95" t="n"/>
      <c r="F268" s="98" t="n"/>
      <c r="G268" s="94" t="n"/>
      <c r="H268" s="94" t="n"/>
      <c r="I268" s="100">
        <f>IF($B268="","",IFERROR(INDEX(Setup!$B$99:$B$128,MATCH($B268,Setup!$A$99:$A$128,0)),"CHECK TYPE"))</f>
        <v/>
      </c>
      <c r="J268">
        <f>IF($A268="","",DATE(YEAR($A268),MONTH($A268),1))</f>
        <v/>
      </c>
    </row>
    <row r="269">
      <c r="A269" s="85" t="n"/>
      <c r="B269" s="87" t="n"/>
      <c r="C269" s="87" t="n"/>
      <c r="D269" s="86" t="n"/>
      <c r="E269" s="87" t="n"/>
      <c r="F269" s="91" t="n"/>
      <c r="G269" s="86" t="n"/>
      <c r="H269" s="86" t="n"/>
      <c r="I269" s="100">
        <f>IF($B269="","",IFERROR(INDEX(Setup!$B$99:$B$128,MATCH($B269,Setup!$A$99:$A$128,0)),"CHECK TYPE"))</f>
        <v/>
      </c>
      <c r="J269">
        <f>IF($A269="","",DATE(YEAR($A269),MONTH($A269),1))</f>
        <v/>
      </c>
    </row>
    <row r="270">
      <c r="A270" s="93" t="n"/>
      <c r="B270" s="95" t="n"/>
      <c r="C270" s="95" t="n"/>
      <c r="D270" s="94" t="n"/>
      <c r="E270" s="95" t="n"/>
      <c r="F270" s="98" t="n"/>
      <c r="G270" s="94" t="n"/>
      <c r="H270" s="94" t="n"/>
      <c r="I270" s="100">
        <f>IF($B270="","",IFERROR(INDEX(Setup!$B$99:$B$128,MATCH($B270,Setup!$A$99:$A$128,0)),"CHECK TYPE"))</f>
        <v/>
      </c>
      <c r="J270">
        <f>IF($A270="","",DATE(YEAR($A270),MONTH($A270),1))</f>
        <v/>
      </c>
    </row>
    <row r="271">
      <c r="A271" s="85" t="n"/>
      <c r="B271" s="87" t="n"/>
      <c r="C271" s="87" t="n"/>
      <c r="D271" s="86" t="n"/>
      <c r="E271" s="87" t="n"/>
      <c r="F271" s="91" t="n"/>
      <c r="G271" s="86" t="n"/>
      <c r="H271" s="86" t="n"/>
      <c r="I271" s="100">
        <f>IF($B271="","",IFERROR(INDEX(Setup!$B$99:$B$128,MATCH($B271,Setup!$A$99:$A$128,0)),"CHECK TYPE"))</f>
        <v/>
      </c>
      <c r="J271">
        <f>IF($A271="","",DATE(YEAR($A271),MONTH($A271),1))</f>
        <v/>
      </c>
    </row>
    <row r="272">
      <c r="A272" s="93" t="n"/>
      <c r="B272" s="95" t="n"/>
      <c r="C272" s="95" t="n"/>
      <c r="D272" s="94" t="n"/>
      <c r="E272" s="95" t="n"/>
      <c r="F272" s="98" t="n"/>
      <c r="G272" s="94" t="n"/>
      <c r="H272" s="94" t="n"/>
      <c r="I272" s="100">
        <f>IF($B272="","",IFERROR(INDEX(Setup!$B$99:$B$128,MATCH($B272,Setup!$A$99:$A$128,0)),"CHECK TYPE"))</f>
        <v/>
      </c>
      <c r="J272">
        <f>IF($A272="","",DATE(YEAR($A272),MONTH($A272),1))</f>
        <v/>
      </c>
    </row>
    <row r="273">
      <c r="A273" s="85" t="n"/>
      <c r="B273" s="87" t="n"/>
      <c r="C273" s="87" t="n"/>
      <c r="D273" s="86" t="n"/>
      <c r="E273" s="87" t="n"/>
      <c r="F273" s="91" t="n"/>
      <c r="G273" s="86" t="n"/>
      <c r="H273" s="86" t="n"/>
      <c r="I273" s="100">
        <f>IF($B273="","",IFERROR(INDEX(Setup!$B$99:$B$128,MATCH($B273,Setup!$A$99:$A$128,0)),"CHECK TYPE"))</f>
        <v/>
      </c>
      <c r="J273">
        <f>IF($A273="","",DATE(YEAR($A273),MONTH($A273),1))</f>
        <v/>
      </c>
    </row>
    <row r="274">
      <c r="A274" s="93" t="n"/>
      <c r="B274" s="95" t="n"/>
      <c r="C274" s="95" t="n"/>
      <c r="D274" s="94" t="n"/>
      <c r="E274" s="95" t="n"/>
      <c r="F274" s="98" t="n"/>
      <c r="G274" s="94" t="n"/>
      <c r="H274" s="94" t="n"/>
      <c r="I274" s="100">
        <f>IF($B274="","",IFERROR(INDEX(Setup!$B$99:$B$128,MATCH($B274,Setup!$A$99:$A$128,0)),"CHECK TYPE"))</f>
        <v/>
      </c>
      <c r="J274">
        <f>IF($A274="","",DATE(YEAR($A274),MONTH($A274),1))</f>
        <v/>
      </c>
    </row>
    <row r="275">
      <c r="A275" s="85" t="n"/>
      <c r="B275" s="87" t="n"/>
      <c r="C275" s="87" t="n"/>
      <c r="D275" s="86" t="n"/>
      <c r="E275" s="87" t="n"/>
      <c r="F275" s="91" t="n"/>
      <c r="G275" s="86" t="n"/>
      <c r="H275" s="86" t="n"/>
      <c r="I275" s="100">
        <f>IF($B275="","",IFERROR(INDEX(Setup!$B$99:$B$128,MATCH($B275,Setup!$A$99:$A$128,0)),"CHECK TYPE"))</f>
        <v/>
      </c>
      <c r="J275">
        <f>IF($A275="","",DATE(YEAR($A275),MONTH($A275),1))</f>
        <v/>
      </c>
    </row>
    <row r="276">
      <c r="A276" s="93" t="n"/>
      <c r="B276" s="95" t="n"/>
      <c r="C276" s="95" t="n"/>
      <c r="D276" s="94" t="n"/>
      <c r="E276" s="95" t="n"/>
      <c r="F276" s="98" t="n"/>
      <c r="G276" s="94" t="n"/>
      <c r="H276" s="94" t="n"/>
      <c r="I276" s="100">
        <f>IF($B276="","",IFERROR(INDEX(Setup!$B$99:$B$128,MATCH($B276,Setup!$A$99:$A$128,0)),"CHECK TYPE"))</f>
        <v/>
      </c>
      <c r="J276">
        <f>IF($A276="","",DATE(YEAR($A276),MONTH($A276),1))</f>
        <v/>
      </c>
    </row>
    <row r="277">
      <c r="A277" s="85" t="n"/>
      <c r="B277" s="87" t="n"/>
      <c r="C277" s="87" t="n"/>
      <c r="D277" s="86" t="n"/>
      <c r="E277" s="87" t="n"/>
      <c r="F277" s="91" t="n"/>
      <c r="G277" s="86" t="n"/>
      <c r="H277" s="86" t="n"/>
      <c r="I277" s="100">
        <f>IF($B277="","",IFERROR(INDEX(Setup!$B$99:$B$128,MATCH($B277,Setup!$A$99:$A$128,0)),"CHECK TYPE"))</f>
        <v/>
      </c>
      <c r="J277">
        <f>IF($A277="","",DATE(YEAR($A277),MONTH($A277),1))</f>
        <v/>
      </c>
    </row>
    <row r="278">
      <c r="A278" s="93" t="n"/>
      <c r="B278" s="95" t="n"/>
      <c r="C278" s="95" t="n"/>
      <c r="D278" s="94" t="n"/>
      <c r="E278" s="95" t="n"/>
      <c r="F278" s="98" t="n"/>
      <c r="G278" s="94" t="n"/>
      <c r="H278" s="94" t="n"/>
      <c r="I278" s="100">
        <f>IF($B278="","",IFERROR(INDEX(Setup!$B$99:$B$128,MATCH($B278,Setup!$A$99:$A$128,0)),"CHECK TYPE"))</f>
        <v/>
      </c>
      <c r="J278">
        <f>IF($A278="","",DATE(YEAR($A278),MONTH($A278),1))</f>
        <v/>
      </c>
    </row>
    <row r="279">
      <c r="A279" s="85" t="n"/>
      <c r="B279" s="87" t="n"/>
      <c r="C279" s="87" t="n"/>
      <c r="D279" s="86" t="n"/>
      <c r="E279" s="87" t="n"/>
      <c r="F279" s="91" t="n"/>
      <c r="G279" s="86" t="n"/>
      <c r="H279" s="86" t="n"/>
      <c r="I279" s="100">
        <f>IF($B279="","",IFERROR(INDEX(Setup!$B$99:$B$128,MATCH($B279,Setup!$A$99:$A$128,0)),"CHECK TYPE"))</f>
        <v/>
      </c>
      <c r="J279">
        <f>IF($A279="","",DATE(YEAR($A279),MONTH($A279),1))</f>
        <v/>
      </c>
    </row>
    <row r="280">
      <c r="A280" s="93" t="n"/>
      <c r="B280" s="95" t="n"/>
      <c r="C280" s="95" t="n"/>
      <c r="D280" s="94" t="n"/>
      <c r="E280" s="95" t="n"/>
      <c r="F280" s="98" t="n"/>
      <c r="G280" s="94" t="n"/>
      <c r="H280" s="94" t="n"/>
      <c r="I280" s="100">
        <f>IF($B280="","",IFERROR(INDEX(Setup!$B$99:$B$128,MATCH($B280,Setup!$A$99:$A$128,0)),"CHECK TYPE"))</f>
        <v/>
      </c>
      <c r="J280">
        <f>IF($A280="","",DATE(YEAR($A280),MONTH($A280),1))</f>
        <v/>
      </c>
    </row>
    <row r="281">
      <c r="A281" s="85" t="n"/>
      <c r="B281" s="87" t="n"/>
      <c r="C281" s="87" t="n"/>
      <c r="D281" s="86" t="n"/>
      <c r="E281" s="87" t="n"/>
      <c r="F281" s="91" t="n"/>
      <c r="G281" s="86" t="n"/>
      <c r="H281" s="86" t="n"/>
      <c r="I281" s="100">
        <f>IF($B281="","",IFERROR(INDEX(Setup!$B$99:$B$128,MATCH($B281,Setup!$A$99:$A$128,0)),"CHECK TYPE"))</f>
        <v/>
      </c>
      <c r="J281">
        <f>IF($A281="","",DATE(YEAR($A281),MONTH($A281),1))</f>
        <v/>
      </c>
    </row>
    <row r="282">
      <c r="A282" s="93" t="n"/>
      <c r="B282" s="95" t="n"/>
      <c r="C282" s="95" t="n"/>
      <c r="D282" s="94" t="n"/>
      <c r="E282" s="95" t="n"/>
      <c r="F282" s="98" t="n"/>
      <c r="G282" s="94" t="n"/>
      <c r="H282" s="94" t="n"/>
      <c r="I282" s="100">
        <f>IF($B282="","",IFERROR(INDEX(Setup!$B$99:$B$128,MATCH($B282,Setup!$A$99:$A$128,0)),"CHECK TYPE"))</f>
        <v/>
      </c>
      <c r="J282">
        <f>IF($A282="","",DATE(YEAR($A282),MONTH($A282),1))</f>
        <v/>
      </c>
    </row>
    <row r="283">
      <c r="A283" s="85" t="n"/>
      <c r="B283" s="87" t="n"/>
      <c r="C283" s="87" t="n"/>
      <c r="D283" s="86" t="n"/>
      <c r="E283" s="87" t="n"/>
      <c r="F283" s="91" t="n"/>
      <c r="G283" s="86" t="n"/>
      <c r="H283" s="86" t="n"/>
      <c r="I283" s="100">
        <f>IF($B283="","",IFERROR(INDEX(Setup!$B$99:$B$128,MATCH($B283,Setup!$A$99:$A$128,0)),"CHECK TYPE"))</f>
        <v/>
      </c>
      <c r="J283">
        <f>IF($A283="","",DATE(YEAR($A283),MONTH($A283),1))</f>
        <v/>
      </c>
    </row>
    <row r="284">
      <c r="A284" s="93" t="n"/>
      <c r="B284" s="95" t="n"/>
      <c r="C284" s="95" t="n"/>
      <c r="D284" s="94" t="n"/>
      <c r="E284" s="95" t="n"/>
      <c r="F284" s="98" t="n"/>
      <c r="G284" s="94" t="n"/>
      <c r="H284" s="94" t="n"/>
      <c r="I284" s="100">
        <f>IF($B284="","",IFERROR(INDEX(Setup!$B$99:$B$128,MATCH($B284,Setup!$A$99:$A$128,0)),"CHECK TYPE"))</f>
        <v/>
      </c>
      <c r="J284">
        <f>IF($A284="","",DATE(YEAR($A284),MONTH($A284),1))</f>
        <v/>
      </c>
    </row>
    <row r="285">
      <c r="A285" s="85" t="n"/>
      <c r="B285" s="87" t="n"/>
      <c r="C285" s="87" t="n"/>
      <c r="D285" s="86" t="n"/>
      <c r="E285" s="87" t="n"/>
      <c r="F285" s="91" t="n"/>
      <c r="G285" s="86" t="n"/>
      <c r="H285" s="86" t="n"/>
      <c r="I285" s="100">
        <f>IF($B285="","",IFERROR(INDEX(Setup!$B$99:$B$128,MATCH($B285,Setup!$A$99:$A$128,0)),"CHECK TYPE"))</f>
        <v/>
      </c>
      <c r="J285">
        <f>IF($A285="","",DATE(YEAR($A285),MONTH($A285),1))</f>
        <v/>
      </c>
    </row>
    <row r="286">
      <c r="A286" s="93" t="n"/>
      <c r="B286" s="95" t="n"/>
      <c r="C286" s="95" t="n"/>
      <c r="D286" s="94" t="n"/>
      <c r="E286" s="95" t="n"/>
      <c r="F286" s="98" t="n"/>
      <c r="G286" s="94" t="n"/>
      <c r="H286" s="94" t="n"/>
      <c r="I286" s="100">
        <f>IF($B286="","",IFERROR(INDEX(Setup!$B$99:$B$128,MATCH($B286,Setup!$A$99:$A$128,0)),"CHECK TYPE"))</f>
        <v/>
      </c>
      <c r="J286">
        <f>IF($A286="","",DATE(YEAR($A286),MONTH($A286),1))</f>
        <v/>
      </c>
    </row>
    <row r="287">
      <c r="A287" s="85" t="n"/>
      <c r="B287" s="87" t="n"/>
      <c r="C287" s="87" t="n"/>
      <c r="D287" s="86" t="n"/>
      <c r="E287" s="87" t="n"/>
      <c r="F287" s="91" t="n"/>
      <c r="G287" s="86" t="n"/>
      <c r="H287" s="86" t="n"/>
      <c r="I287" s="100">
        <f>IF($B287="","",IFERROR(INDEX(Setup!$B$99:$B$128,MATCH($B287,Setup!$A$99:$A$128,0)),"CHECK TYPE"))</f>
        <v/>
      </c>
      <c r="J287">
        <f>IF($A287="","",DATE(YEAR($A287),MONTH($A287),1))</f>
        <v/>
      </c>
    </row>
    <row r="288">
      <c r="A288" s="93" t="n"/>
      <c r="B288" s="95" t="n"/>
      <c r="C288" s="95" t="n"/>
      <c r="D288" s="94" t="n"/>
      <c r="E288" s="95" t="n"/>
      <c r="F288" s="98" t="n"/>
      <c r="G288" s="94" t="n"/>
      <c r="H288" s="94" t="n"/>
      <c r="I288" s="100">
        <f>IF($B288="","",IFERROR(INDEX(Setup!$B$99:$B$128,MATCH($B288,Setup!$A$99:$A$128,0)),"CHECK TYPE"))</f>
        <v/>
      </c>
      <c r="J288">
        <f>IF($A288="","",DATE(YEAR($A288),MONTH($A288),1))</f>
        <v/>
      </c>
    </row>
    <row r="289">
      <c r="A289" s="85" t="n"/>
      <c r="B289" s="87" t="n"/>
      <c r="C289" s="87" t="n"/>
      <c r="D289" s="86" t="n"/>
      <c r="E289" s="87" t="n"/>
      <c r="F289" s="91" t="n"/>
      <c r="G289" s="86" t="n"/>
      <c r="H289" s="86" t="n"/>
      <c r="I289" s="100">
        <f>IF($B289="","",IFERROR(INDEX(Setup!$B$99:$B$128,MATCH($B289,Setup!$A$99:$A$128,0)),"CHECK TYPE"))</f>
        <v/>
      </c>
      <c r="J289">
        <f>IF($A289="","",DATE(YEAR($A289),MONTH($A289),1))</f>
        <v/>
      </c>
    </row>
    <row r="290">
      <c r="A290" s="93" t="n"/>
      <c r="B290" s="95" t="n"/>
      <c r="C290" s="95" t="n"/>
      <c r="D290" s="94" t="n"/>
      <c r="E290" s="95" t="n"/>
      <c r="F290" s="98" t="n"/>
      <c r="G290" s="94" t="n"/>
      <c r="H290" s="94" t="n"/>
      <c r="I290" s="100">
        <f>IF($B290="","",IFERROR(INDEX(Setup!$B$99:$B$128,MATCH($B290,Setup!$A$99:$A$128,0)),"CHECK TYPE"))</f>
        <v/>
      </c>
      <c r="J290">
        <f>IF($A290="","",DATE(YEAR($A290),MONTH($A290),1))</f>
        <v/>
      </c>
    </row>
    <row r="291">
      <c r="A291" s="85" t="n"/>
      <c r="B291" s="87" t="n"/>
      <c r="C291" s="87" t="n"/>
      <c r="D291" s="86" t="n"/>
      <c r="E291" s="87" t="n"/>
      <c r="F291" s="91" t="n"/>
      <c r="G291" s="86" t="n"/>
      <c r="H291" s="86" t="n"/>
      <c r="I291" s="100">
        <f>IF($B291="","",IFERROR(INDEX(Setup!$B$99:$B$128,MATCH($B291,Setup!$A$99:$A$128,0)),"CHECK TYPE"))</f>
        <v/>
      </c>
      <c r="J291">
        <f>IF($A291="","",DATE(YEAR($A291),MONTH($A291),1))</f>
        <v/>
      </c>
    </row>
    <row r="292">
      <c r="A292" s="93" t="n"/>
      <c r="B292" s="95" t="n"/>
      <c r="C292" s="95" t="n"/>
      <c r="D292" s="94" t="n"/>
      <c r="E292" s="95" t="n"/>
      <c r="F292" s="98" t="n"/>
      <c r="G292" s="94" t="n"/>
      <c r="H292" s="94" t="n"/>
      <c r="I292" s="100">
        <f>IF($B292="","",IFERROR(INDEX(Setup!$B$99:$B$128,MATCH($B292,Setup!$A$99:$A$128,0)),"CHECK TYPE"))</f>
        <v/>
      </c>
      <c r="J292">
        <f>IF($A292="","",DATE(YEAR($A292),MONTH($A292),1))</f>
        <v/>
      </c>
    </row>
    <row r="293">
      <c r="A293" s="85" t="n"/>
      <c r="B293" s="87" t="n"/>
      <c r="C293" s="87" t="n"/>
      <c r="D293" s="86" t="n"/>
      <c r="E293" s="87" t="n"/>
      <c r="F293" s="91" t="n"/>
      <c r="G293" s="86" t="n"/>
      <c r="H293" s="86" t="n"/>
      <c r="I293" s="100">
        <f>IF($B293="","",IFERROR(INDEX(Setup!$B$99:$B$128,MATCH($B293,Setup!$A$99:$A$128,0)),"CHECK TYPE"))</f>
        <v/>
      </c>
      <c r="J293">
        <f>IF($A293="","",DATE(YEAR($A293),MONTH($A293),1))</f>
        <v/>
      </c>
    </row>
    <row r="294">
      <c r="A294" s="93" t="n"/>
      <c r="B294" s="95" t="n"/>
      <c r="C294" s="95" t="n"/>
      <c r="D294" s="94" t="n"/>
      <c r="E294" s="95" t="n"/>
      <c r="F294" s="98" t="n"/>
      <c r="G294" s="94" t="n"/>
      <c r="H294" s="94" t="n"/>
      <c r="I294" s="100">
        <f>IF($B294="","",IFERROR(INDEX(Setup!$B$99:$B$128,MATCH($B294,Setup!$A$99:$A$128,0)),"CHECK TYPE"))</f>
        <v/>
      </c>
      <c r="J294">
        <f>IF($A294="","",DATE(YEAR($A294),MONTH($A294),1))</f>
        <v/>
      </c>
    </row>
    <row r="295">
      <c r="A295" s="85" t="n"/>
      <c r="B295" s="87" t="n"/>
      <c r="C295" s="87" t="n"/>
      <c r="D295" s="86" t="n"/>
      <c r="E295" s="87" t="n"/>
      <c r="F295" s="91" t="n"/>
      <c r="G295" s="86" t="n"/>
      <c r="H295" s="86" t="n"/>
      <c r="I295" s="100">
        <f>IF($B295="","",IFERROR(INDEX(Setup!$B$99:$B$128,MATCH($B295,Setup!$A$99:$A$128,0)),"CHECK TYPE"))</f>
        <v/>
      </c>
      <c r="J295">
        <f>IF($A295="","",DATE(YEAR($A295),MONTH($A295),1))</f>
        <v/>
      </c>
    </row>
    <row r="296">
      <c r="A296" s="93" t="n"/>
      <c r="B296" s="95" t="n"/>
      <c r="C296" s="95" t="n"/>
      <c r="D296" s="94" t="n"/>
      <c r="E296" s="95" t="n"/>
      <c r="F296" s="98" t="n"/>
      <c r="G296" s="94" t="n"/>
      <c r="H296" s="94" t="n"/>
      <c r="I296" s="100">
        <f>IF($B296="","",IFERROR(INDEX(Setup!$B$99:$B$128,MATCH($B296,Setup!$A$99:$A$128,0)),"CHECK TYPE"))</f>
        <v/>
      </c>
      <c r="J296">
        <f>IF($A296="","",DATE(YEAR($A296),MONTH($A296),1))</f>
        <v/>
      </c>
    </row>
    <row r="297">
      <c r="A297" s="85" t="n"/>
      <c r="B297" s="87" t="n"/>
      <c r="C297" s="87" t="n"/>
      <c r="D297" s="86" t="n"/>
      <c r="E297" s="87" t="n"/>
      <c r="F297" s="91" t="n"/>
      <c r="G297" s="86" t="n"/>
      <c r="H297" s="86" t="n"/>
      <c r="I297" s="100">
        <f>IF($B297="","",IFERROR(INDEX(Setup!$B$99:$B$128,MATCH($B297,Setup!$A$99:$A$128,0)),"CHECK TYPE"))</f>
        <v/>
      </c>
      <c r="J297">
        <f>IF($A297="","",DATE(YEAR($A297),MONTH($A297),1))</f>
        <v/>
      </c>
    </row>
    <row r="298">
      <c r="A298" s="93" t="n"/>
      <c r="B298" s="95" t="n"/>
      <c r="C298" s="95" t="n"/>
      <c r="D298" s="94" t="n"/>
      <c r="E298" s="95" t="n"/>
      <c r="F298" s="98" t="n"/>
      <c r="G298" s="94" t="n"/>
      <c r="H298" s="94" t="n"/>
      <c r="I298" s="100">
        <f>IF($B298="","",IFERROR(INDEX(Setup!$B$99:$B$128,MATCH($B298,Setup!$A$99:$A$128,0)),"CHECK TYPE"))</f>
        <v/>
      </c>
      <c r="J298">
        <f>IF($A298="","",DATE(YEAR($A298),MONTH($A298),1))</f>
        <v/>
      </c>
    </row>
    <row r="299">
      <c r="A299" s="85" t="n"/>
      <c r="B299" s="87" t="n"/>
      <c r="C299" s="87" t="n"/>
      <c r="D299" s="86" t="n"/>
      <c r="E299" s="87" t="n"/>
      <c r="F299" s="91" t="n"/>
      <c r="G299" s="86" t="n"/>
      <c r="H299" s="86" t="n"/>
      <c r="I299" s="100">
        <f>IF($B299="","",IFERROR(INDEX(Setup!$B$99:$B$128,MATCH($B299,Setup!$A$99:$A$128,0)),"CHECK TYPE"))</f>
        <v/>
      </c>
      <c r="J299">
        <f>IF($A299="","",DATE(YEAR($A299),MONTH($A299),1))</f>
        <v/>
      </c>
    </row>
    <row r="300">
      <c r="A300" s="93" t="n"/>
      <c r="B300" s="95" t="n"/>
      <c r="C300" s="95" t="n"/>
      <c r="D300" s="94" t="n"/>
      <c r="E300" s="95" t="n"/>
      <c r="F300" s="98" t="n"/>
      <c r="G300" s="94" t="n"/>
      <c r="H300" s="94" t="n"/>
      <c r="I300" s="100">
        <f>IF($B300="","",IFERROR(INDEX(Setup!$B$99:$B$128,MATCH($B300,Setup!$A$99:$A$128,0)),"CHECK TYPE"))</f>
        <v/>
      </c>
      <c r="J300">
        <f>IF($A300="","",DATE(YEAR($A300),MONTH($A300),1))</f>
        <v/>
      </c>
    </row>
    <row r="301">
      <c r="A301" s="85" t="n"/>
      <c r="B301" s="87" t="n"/>
      <c r="C301" s="87" t="n"/>
      <c r="D301" s="86" t="n"/>
      <c r="E301" s="87" t="n"/>
      <c r="F301" s="91" t="n"/>
      <c r="G301" s="86" t="n"/>
      <c r="H301" s="86" t="n"/>
      <c r="I301" s="100">
        <f>IF($B301="","",IFERROR(INDEX(Setup!$B$99:$B$128,MATCH($B301,Setup!$A$99:$A$128,0)),"CHECK TYPE"))</f>
        <v/>
      </c>
      <c r="J301">
        <f>IF($A301="","",DATE(YEAR($A301),MONTH($A301),1))</f>
        <v/>
      </c>
    </row>
    <row r="302">
      <c r="A302" s="93" t="n"/>
      <c r="B302" s="95" t="n"/>
      <c r="C302" s="95" t="n"/>
      <c r="D302" s="94" t="n"/>
      <c r="E302" s="95" t="n"/>
      <c r="F302" s="98" t="n"/>
      <c r="G302" s="94" t="n"/>
      <c r="H302" s="94" t="n"/>
      <c r="I302" s="100">
        <f>IF($B302="","",IFERROR(INDEX(Setup!$B$99:$B$128,MATCH($B302,Setup!$A$99:$A$128,0)),"CHECK TYPE"))</f>
        <v/>
      </c>
      <c r="J302">
        <f>IF($A302="","",DATE(YEAR($A302),MONTH($A302),1))</f>
        <v/>
      </c>
    </row>
    <row r="303">
      <c r="A303" s="85" t="n"/>
      <c r="B303" s="87" t="n"/>
      <c r="C303" s="87" t="n"/>
      <c r="D303" s="86" t="n"/>
      <c r="E303" s="87" t="n"/>
      <c r="F303" s="91" t="n"/>
      <c r="G303" s="86" t="n"/>
      <c r="H303" s="86" t="n"/>
      <c r="I303" s="100">
        <f>IF($B303="","",IFERROR(INDEX(Setup!$B$99:$B$128,MATCH($B303,Setup!$A$99:$A$128,0)),"CHECK TYPE"))</f>
        <v/>
      </c>
      <c r="J303">
        <f>IF($A303="","",DATE(YEAR($A303),MONTH($A303),1))</f>
        <v/>
      </c>
    </row>
    <row r="304">
      <c r="A304" s="93" t="n"/>
      <c r="B304" s="95" t="n"/>
      <c r="C304" s="95" t="n"/>
      <c r="D304" s="94" t="n"/>
      <c r="E304" s="95" t="n"/>
      <c r="F304" s="98" t="n"/>
      <c r="G304" s="94" t="n"/>
      <c r="H304" s="94" t="n"/>
      <c r="I304" s="100">
        <f>IF($B304="","",IFERROR(INDEX(Setup!$B$99:$B$128,MATCH($B304,Setup!$A$99:$A$128,0)),"CHECK TYPE"))</f>
        <v/>
      </c>
      <c r="J304">
        <f>IF($A304="","",DATE(YEAR($A304),MONTH($A304),1))</f>
        <v/>
      </c>
    </row>
    <row r="305">
      <c r="A305" s="85" t="n"/>
      <c r="B305" s="87" t="n"/>
      <c r="C305" s="87" t="n"/>
      <c r="D305" s="86" t="n"/>
      <c r="E305" s="87" t="n"/>
      <c r="F305" s="91" t="n"/>
      <c r="G305" s="86" t="n"/>
      <c r="H305" s="86" t="n"/>
      <c r="I305" s="100">
        <f>IF($B305="","",IFERROR(INDEX(Setup!$B$99:$B$128,MATCH($B305,Setup!$A$99:$A$128,0)),"CHECK TYPE"))</f>
        <v/>
      </c>
      <c r="J305">
        <f>IF($A305="","",DATE(YEAR($A305),MONTH($A305),1))</f>
        <v/>
      </c>
    </row>
    <row r="306">
      <c r="A306" s="93" t="n"/>
      <c r="B306" s="95" t="n"/>
      <c r="C306" s="95" t="n"/>
      <c r="D306" s="94" t="n"/>
      <c r="E306" s="95" t="n"/>
      <c r="F306" s="98" t="n"/>
      <c r="G306" s="94" t="n"/>
      <c r="H306" s="94" t="n"/>
      <c r="I306" s="100">
        <f>IF($B306="","",IFERROR(INDEX(Setup!$B$99:$B$128,MATCH($B306,Setup!$A$99:$A$128,0)),"CHECK TYPE"))</f>
        <v/>
      </c>
      <c r="J306">
        <f>IF($A306="","",DATE(YEAR($A306),MONTH($A306),1))</f>
        <v/>
      </c>
    </row>
    <row r="307">
      <c r="A307" s="85" t="n"/>
      <c r="B307" s="87" t="n"/>
      <c r="C307" s="87" t="n"/>
      <c r="D307" s="86" t="n"/>
      <c r="E307" s="87" t="n"/>
      <c r="F307" s="91" t="n"/>
      <c r="G307" s="86" t="n"/>
      <c r="H307" s="86" t="n"/>
      <c r="I307" s="100">
        <f>IF($B307="","",IFERROR(INDEX(Setup!$B$99:$B$128,MATCH($B307,Setup!$A$99:$A$128,0)),"CHECK TYPE"))</f>
        <v/>
      </c>
      <c r="J307">
        <f>IF($A307="","",DATE(YEAR($A307),MONTH($A307),1))</f>
        <v/>
      </c>
    </row>
    <row r="308">
      <c r="A308" s="93" t="n"/>
      <c r="B308" s="95" t="n"/>
      <c r="C308" s="95" t="n"/>
      <c r="D308" s="94" t="n"/>
      <c r="E308" s="95" t="n"/>
      <c r="F308" s="98" t="n"/>
      <c r="G308" s="94" t="n"/>
      <c r="H308" s="94" t="n"/>
      <c r="I308" s="100">
        <f>IF($B308="","",IFERROR(INDEX(Setup!$B$99:$B$128,MATCH($B308,Setup!$A$99:$A$128,0)),"CHECK TYPE"))</f>
        <v/>
      </c>
      <c r="J308">
        <f>IF($A308="","",DATE(YEAR($A308),MONTH($A308),1))</f>
        <v/>
      </c>
    </row>
    <row r="309">
      <c r="A309" s="85" t="n"/>
      <c r="B309" s="87" t="n"/>
      <c r="C309" s="87" t="n"/>
      <c r="D309" s="86" t="n"/>
      <c r="E309" s="87" t="n"/>
      <c r="F309" s="91" t="n"/>
      <c r="G309" s="86" t="n"/>
      <c r="H309" s="86" t="n"/>
      <c r="I309" s="100">
        <f>IF($B309="","",IFERROR(INDEX(Setup!$B$99:$B$128,MATCH($B309,Setup!$A$99:$A$128,0)),"CHECK TYPE"))</f>
        <v/>
      </c>
      <c r="J309">
        <f>IF($A309="","",DATE(YEAR($A309),MONTH($A309),1))</f>
        <v/>
      </c>
    </row>
    <row r="310">
      <c r="A310" s="93" t="n"/>
      <c r="B310" s="95" t="n"/>
      <c r="C310" s="95" t="n"/>
      <c r="D310" s="94" t="n"/>
      <c r="E310" s="95" t="n"/>
      <c r="F310" s="98" t="n"/>
      <c r="G310" s="94" t="n"/>
      <c r="H310" s="94" t="n"/>
      <c r="I310" s="100">
        <f>IF($B310="","",IFERROR(INDEX(Setup!$B$99:$B$128,MATCH($B310,Setup!$A$99:$A$128,0)),"CHECK TYPE"))</f>
        <v/>
      </c>
      <c r="J310">
        <f>IF($A310="","",DATE(YEAR($A310),MONTH($A310),1))</f>
        <v/>
      </c>
    </row>
    <row r="311">
      <c r="A311" s="85" t="n"/>
      <c r="B311" s="87" t="n"/>
      <c r="C311" s="87" t="n"/>
      <c r="D311" s="86" t="n"/>
      <c r="E311" s="87" t="n"/>
      <c r="F311" s="91" t="n"/>
      <c r="G311" s="86" t="n"/>
      <c r="H311" s="86" t="n"/>
      <c r="I311" s="100">
        <f>IF($B311="","",IFERROR(INDEX(Setup!$B$99:$B$128,MATCH($B311,Setup!$A$99:$A$128,0)),"CHECK TYPE"))</f>
        <v/>
      </c>
      <c r="J311">
        <f>IF($A311="","",DATE(YEAR($A311),MONTH($A311),1))</f>
        <v/>
      </c>
    </row>
    <row r="312">
      <c r="A312" s="93" t="n"/>
      <c r="B312" s="95" t="n"/>
      <c r="C312" s="95" t="n"/>
      <c r="D312" s="94" t="n"/>
      <c r="E312" s="95" t="n"/>
      <c r="F312" s="98" t="n"/>
      <c r="G312" s="94" t="n"/>
      <c r="H312" s="94" t="n"/>
      <c r="I312" s="100">
        <f>IF($B312="","",IFERROR(INDEX(Setup!$B$99:$B$128,MATCH($B312,Setup!$A$99:$A$128,0)),"CHECK TYPE"))</f>
        <v/>
      </c>
      <c r="J312">
        <f>IF($A312="","",DATE(YEAR($A312),MONTH($A312),1))</f>
        <v/>
      </c>
    </row>
    <row r="313">
      <c r="A313" s="85" t="n"/>
      <c r="B313" s="87" t="n"/>
      <c r="C313" s="87" t="n"/>
      <c r="D313" s="86" t="n"/>
      <c r="E313" s="87" t="n"/>
      <c r="F313" s="91" t="n"/>
      <c r="G313" s="86" t="n"/>
      <c r="H313" s="86" t="n"/>
      <c r="I313" s="100">
        <f>IF($B313="","",IFERROR(INDEX(Setup!$B$99:$B$128,MATCH($B313,Setup!$A$99:$A$128,0)),"CHECK TYPE"))</f>
        <v/>
      </c>
      <c r="J313">
        <f>IF($A313="","",DATE(YEAR($A313),MONTH($A313),1))</f>
        <v/>
      </c>
    </row>
    <row r="314">
      <c r="A314" s="93" t="n"/>
      <c r="B314" s="95" t="n"/>
      <c r="C314" s="95" t="n"/>
      <c r="D314" s="94" t="n"/>
      <c r="E314" s="95" t="n"/>
      <c r="F314" s="98" t="n"/>
      <c r="G314" s="94" t="n"/>
      <c r="H314" s="94" t="n"/>
      <c r="I314" s="100">
        <f>IF($B314="","",IFERROR(INDEX(Setup!$B$99:$B$128,MATCH($B314,Setup!$A$99:$A$128,0)),"CHECK TYPE"))</f>
        <v/>
      </c>
      <c r="J314">
        <f>IF($A314="","",DATE(YEAR($A314),MONTH($A314),1))</f>
        <v/>
      </c>
    </row>
    <row r="315">
      <c r="A315" s="85" t="n"/>
      <c r="B315" s="87" t="n"/>
      <c r="C315" s="87" t="n"/>
      <c r="D315" s="86" t="n"/>
      <c r="E315" s="87" t="n"/>
      <c r="F315" s="91" t="n"/>
      <c r="G315" s="86" t="n"/>
      <c r="H315" s="86" t="n"/>
      <c r="I315" s="100">
        <f>IF($B315="","",IFERROR(INDEX(Setup!$B$99:$B$128,MATCH($B315,Setup!$A$99:$A$128,0)),"CHECK TYPE"))</f>
        <v/>
      </c>
      <c r="J315">
        <f>IF($A315="","",DATE(YEAR($A315),MONTH($A315),1))</f>
        <v/>
      </c>
    </row>
    <row r="316">
      <c r="A316" s="93" t="n"/>
      <c r="B316" s="95" t="n"/>
      <c r="C316" s="95" t="n"/>
      <c r="D316" s="94" t="n"/>
      <c r="E316" s="95" t="n"/>
      <c r="F316" s="98" t="n"/>
      <c r="G316" s="94" t="n"/>
      <c r="H316" s="94" t="n"/>
      <c r="I316" s="100">
        <f>IF($B316="","",IFERROR(INDEX(Setup!$B$99:$B$128,MATCH($B316,Setup!$A$99:$A$128,0)),"CHECK TYPE"))</f>
        <v/>
      </c>
      <c r="J316">
        <f>IF($A316="","",DATE(YEAR($A316),MONTH($A316),1))</f>
        <v/>
      </c>
    </row>
    <row r="317">
      <c r="A317" s="85" t="n"/>
      <c r="B317" s="87" t="n"/>
      <c r="C317" s="87" t="n"/>
      <c r="D317" s="86" t="n"/>
      <c r="E317" s="87" t="n"/>
      <c r="F317" s="91" t="n"/>
      <c r="G317" s="86" t="n"/>
      <c r="H317" s="86" t="n"/>
      <c r="I317" s="100">
        <f>IF($B317="","",IFERROR(INDEX(Setup!$B$99:$B$128,MATCH($B317,Setup!$A$99:$A$128,0)),"CHECK TYPE"))</f>
        <v/>
      </c>
      <c r="J317">
        <f>IF($A317="","",DATE(YEAR($A317),MONTH($A317),1))</f>
        <v/>
      </c>
    </row>
    <row r="318">
      <c r="A318" s="93" t="n"/>
      <c r="B318" s="95" t="n"/>
      <c r="C318" s="95" t="n"/>
      <c r="D318" s="94" t="n"/>
      <c r="E318" s="95" t="n"/>
      <c r="F318" s="98" t="n"/>
      <c r="G318" s="94" t="n"/>
      <c r="H318" s="94" t="n"/>
      <c r="I318" s="100">
        <f>IF($B318="","",IFERROR(INDEX(Setup!$B$99:$B$128,MATCH($B318,Setup!$A$99:$A$128,0)),"CHECK TYPE"))</f>
        <v/>
      </c>
      <c r="J318">
        <f>IF($A318="","",DATE(YEAR($A318),MONTH($A318),1))</f>
        <v/>
      </c>
    </row>
    <row r="319">
      <c r="A319" s="85" t="n"/>
      <c r="B319" s="87" t="n"/>
      <c r="C319" s="87" t="n"/>
      <c r="D319" s="86" t="n"/>
      <c r="E319" s="87" t="n"/>
      <c r="F319" s="91" t="n"/>
      <c r="G319" s="86" t="n"/>
      <c r="H319" s="86" t="n"/>
      <c r="I319" s="100">
        <f>IF($B319="","",IFERROR(INDEX(Setup!$B$99:$B$128,MATCH($B319,Setup!$A$99:$A$128,0)),"CHECK TYPE"))</f>
        <v/>
      </c>
      <c r="J319">
        <f>IF($A319="","",DATE(YEAR($A319),MONTH($A319),1))</f>
        <v/>
      </c>
    </row>
    <row r="320">
      <c r="A320" s="93" t="n"/>
      <c r="B320" s="95" t="n"/>
      <c r="C320" s="95" t="n"/>
      <c r="D320" s="94" t="n"/>
      <c r="E320" s="95" t="n"/>
      <c r="F320" s="98" t="n"/>
      <c r="G320" s="94" t="n"/>
      <c r="H320" s="94" t="n"/>
      <c r="I320" s="100">
        <f>IF($B320="","",IFERROR(INDEX(Setup!$B$99:$B$128,MATCH($B320,Setup!$A$99:$A$128,0)),"CHECK TYPE"))</f>
        <v/>
      </c>
      <c r="J320">
        <f>IF($A320="","",DATE(YEAR($A320),MONTH($A320),1))</f>
        <v/>
      </c>
    </row>
    <row r="321">
      <c r="A321" s="85" t="n"/>
      <c r="B321" s="87" t="n"/>
      <c r="C321" s="87" t="n"/>
      <c r="D321" s="86" t="n"/>
      <c r="E321" s="87" t="n"/>
      <c r="F321" s="91" t="n"/>
      <c r="G321" s="86" t="n"/>
      <c r="H321" s="86" t="n"/>
      <c r="I321" s="100">
        <f>IF($B321="","",IFERROR(INDEX(Setup!$B$99:$B$128,MATCH($B321,Setup!$A$99:$A$128,0)),"CHECK TYPE"))</f>
        <v/>
      </c>
      <c r="J321">
        <f>IF($A321="","",DATE(YEAR($A321),MONTH($A321),1))</f>
        <v/>
      </c>
    </row>
    <row r="322">
      <c r="A322" s="93" t="n"/>
      <c r="B322" s="95" t="n"/>
      <c r="C322" s="95" t="n"/>
      <c r="D322" s="94" t="n"/>
      <c r="E322" s="95" t="n"/>
      <c r="F322" s="98" t="n"/>
      <c r="G322" s="94" t="n"/>
      <c r="H322" s="94" t="n"/>
      <c r="I322" s="100">
        <f>IF($B322="","",IFERROR(INDEX(Setup!$B$99:$B$128,MATCH($B322,Setup!$A$99:$A$128,0)),"CHECK TYPE"))</f>
        <v/>
      </c>
      <c r="J322">
        <f>IF($A322="","",DATE(YEAR($A322),MONTH($A322),1))</f>
        <v/>
      </c>
    </row>
    <row r="323">
      <c r="A323" s="85" t="n"/>
      <c r="B323" s="87" t="n"/>
      <c r="C323" s="87" t="n"/>
      <c r="D323" s="86" t="n"/>
      <c r="E323" s="87" t="n"/>
      <c r="F323" s="91" t="n"/>
      <c r="G323" s="86" t="n"/>
      <c r="H323" s="86" t="n"/>
      <c r="I323" s="100">
        <f>IF($B323="","",IFERROR(INDEX(Setup!$B$99:$B$128,MATCH($B323,Setup!$A$99:$A$128,0)),"CHECK TYPE"))</f>
        <v/>
      </c>
      <c r="J323">
        <f>IF($A323="","",DATE(YEAR($A323),MONTH($A323),1))</f>
        <v/>
      </c>
    </row>
    <row r="324">
      <c r="A324" s="93" t="n"/>
      <c r="B324" s="95" t="n"/>
      <c r="C324" s="95" t="n"/>
      <c r="D324" s="94" t="n"/>
      <c r="E324" s="95" t="n"/>
      <c r="F324" s="98" t="n"/>
      <c r="G324" s="94" t="n"/>
      <c r="H324" s="94" t="n"/>
      <c r="I324" s="100">
        <f>IF($B324="","",IFERROR(INDEX(Setup!$B$99:$B$128,MATCH($B324,Setup!$A$99:$A$128,0)),"CHECK TYPE"))</f>
        <v/>
      </c>
      <c r="J324">
        <f>IF($A324="","",DATE(YEAR($A324),MONTH($A324),1))</f>
        <v/>
      </c>
    </row>
    <row r="325">
      <c r="A325" s="85" t="n"/>
      <c r="B325" s="87" t="n"/>
      <c r="C325" s="87" t="n"/>
      <c r="D325" s="86" t="n"/>
      <c r="E325" s="87" t="n"/>
      <c r="F325" s="91" t="n"/>
      <c r="G325" s="86" t="n"/>
      <c r="H325" s="86" t="n"/>
      <c r="I325" s="100">
        <f>IF($B325="","",IFERROR(INDEX(Setup!$B$99:$B$128,MATCH($B325,Setup!$A$99:$A$128,0)),"CHECK TYPE"))</f>
        <v/>
      </c>
      <c r="J325">
        <f>IF($A325="","",DATE(YEAR($A325),MONTH($A325),1))</f>
        <v/>
      </c>
    </row>
    <row r="326">
      <c r="A326" s="93" t="n"/>
      <c r="B326" s="95" t="n"/>
      <c r="C326" s="95" t="n"/>
      <c r="D326" s="94" t="n"/>
      <c r="E326" s="95" t="n"/>
      <c r="F326" s="98" t="n"/>
      <c r="G326" s="94" t="n"/>
      <c r="H326" s="94" t="n"/>
      <c r="I326" s="100">
        <f>IF($B326="","",IFERROR(INDEX(Setup!$B$99:$B$128,MATCH($B326,Setup!$A$99:$A$128,0)),"CHECK TYPE"))</f>
        <v/>
      </c>
      <c r="J326">
        <f>IF($A326="","",DATE(YEAR($A326),MONTH($A326),1))</f>
        <v/>
      </c>
    </row>
    <row r="327">
      <c r="A327" s="85" t="n"/>
      <c r="B327" s="87" t="n"/>
      <c r="C327" s="87" t="n"/>
      <c r="D327" s="86" t="n"/>
      <c r="E327" s="87" t="n"/>
      <c r="F327" s="91" t="n"/>
      <c r="G327" s="86" t="n"/>
      <c r="H327" s="86" t="n"/>
      <c r="I327" s="100">
        <f>IF($B327="","",IFERROR(INDEX(Setup!$B$99:$B$128,MATCH($B327,Setup!$A$99:$A$128,0)),"CHECK TYPE"))</f>
        <v/>
      </c>
      <c r="J327">
        <f>IF($A327="","",DATE(YEAR($A327),MONTH($A327),1))</f>
        <v/>
      </c>
    </row>
    <row r="328">
      <c r="A328" s="93" t="n"/>
      <c r="B328" s="95" t="n"/>
      <c r="C328" s="95" t="n"/>
      <c r="D328" s="94" t="n"/>
      <c r="E328" s="95" t="n"/>
      <c r="F328" s="98" t="n"/>
      <c r="G328" s="94" t="n"/>
      <c r="H328" s="94" t="n"/>
      <c r="I328" s="100">
        <f>IF($B328="","",IFERROR(INDEX(Setup!$B$99:$B$128,MATCH($B328,Setup!$A$99:$A$128,0)),"CHECK TYPE"))</f>
        <v/>
      </c>
      <c r="J328">
        <f>IF($A328="","",DATE(YEAR($A328),MONTH($A328),1))</f>
        <v/>
      </c>
    </row>
    <row r="329">
      <c r="A329" s="85" t="n"/>
      <c r="B329" s="87" t="n"/>
      <c r="C329" s="87" t="n"/>
      <c r="D329" s="86" t="n"/>
      <c r="E329" s="87" t="n"/>
      <c r="F329" s="91" t="n"/>
      <c r="G329" s="86" t="n"/>
      <c r="H329" s="86" t="n"/>
      <c r="I329" s="100">
        <f>IF($B329="","",IFERROR(INDEX(Setup!$B$99:$B$128,MATCH($B329,Setup!$A$99:$A$128,0)),"CHECK TYPE"))</f>
        <v/>
      </c>
      <c r="J329">
        <f>IF($A329="","",DATE(YEAR($A329),MONTH($A329),1))</f>
        <v/>
      </c>
    </row>
    <row r="330">
      <c r="A330" s="93" t="n"/>
      <c r="B330" s="95" t="n"/>
      <c r="C330" s="95" t="n"/>
      <c r="D330" s="94" t="n"/>
      <c r="E330" s="95" t="n"/>
      <c r="F330" s="98" t="n"/>
      <c r="G330" s="94" t="n"/>
      <c r="H330" s="94" t="n"/>
      <c r="I330" s="100">
        <f>IF($B330="","",IFERROR(INDEX(Setup!$B$99:$B$128,MATCH($B330,Setup!$A$99:$A$128,0)),"CHECK TYPE"))</f>
        <v/>
      </c>
      <c r="J330">
        <f>IF($A330="","",DATE(YEAR($A330),MONTH($A330),1))</f>
        <v/>
      </c>
    </row>
    <row r="331">
      <c r="A331" s="85" t="n"/>
      <c r="B331" s="87" t="n"/>
      <c r="C331" s="87" t="n"/>
      <c r="D331" s="86" t="n"/>
      <c r="E331" s="87" t="n"/>
      <c r="F331" s="91" t="n"/>
      <c r="G331" s="86" t="n"/>
      <c r="H331" s="86" t="n"/>
      <c r="I331" s="100">
        <f>IF($B331="","",IFERROR(INDEX(Setup!$B$99:$B$128,MATCH($B331,Setup!$A$99:$A$128,0)),"CHECK TYPE"))</f>
        <v/>
      </c>
      <c r="J331">
        <f>IF($A331="","",DATE(YEAR($A331),MONTH($A331),1))</f>
        <v/>
      </c>
    </row>
    <row r="332">
      <c r="A332" s="93" t="n"/>
      <c r="B332" s="95" t="n"/>
      <c r="C332" s="95" t="n"/>
      <c r="D332" s="94" t="n"/>
      <c r="E332" s="95" t="n"/>
      <c r="F332" s="98" t="n"/>
      <c r="G332" s="94" t="n"/>
      <c r="H332" s="94" t="n"/>
      <c r="I332" s="100">
        <f>IF($B332="","",IFERROR(INDEX(Setup!$B$99:$B$128,MATCH($B332,Setup!$A$99:$A$128,0)),"CHECK TYPE"))</f>
        <v/>
      </c>
      <c r="J332">
        <f>IF($A332="","",DATE(YEAR($A332),MONTH($A332),1))</f>
        <v/>
      </c>
    </row>
    <row r="333">
      <c r="A333" s="85" t="n"/>
      <c r="B333" s="87" t="n"/>
      <c r="C333" s="87" t="n"/>
      <c r="D333" s="86" t="n"/>
      <c r="E333" s="87" t="n"/>
      <c r="F333" s="91" t="n"/>
      <c r="G333" s="86" t="n"/>
      <c r="H333" s="86" t="n"/>
      <c r="I333" s="100">
        <f>IF($B333="","",IFERROR(INDEX(Setup!$B$99:$B$128,MATCH($B333,Setup!$A$99:$A$128,0)),"CHECK TYPE"))</f>
        <v/>
      </c>
      <c r="J333">
        <f>IF($A333="","",DATE(YEAR($A333),MONTH($A333),1))</f>
        <v/>
      </c>
    </row>
    <row r="334">
      <c r="A334" s="93" t="n"/>
      <c r="B334" s="95" t="n"/>
      <c r="C334" s="95" t="n"/>
      <c r="D334" s="94" t="n"/>
      <c r="E334" s="95" t="n"/>
      <c r="F334" s="98" t="n"/>
      <c r="G334" s="94" t="n"/>
      <c r="H334" s="94" t="n"/>
      <c r="I334" s="100">
        <f>IF($B334="","",IFERROR(INDEX(Setup!$B$99:$B$128,MATCH($B334,Setup!$A$99:$A$128,0)),"CHECK TYPE"))</f>
        <v/>
      </c>
      <c r="J334">
        <f>IF($A334="","",DATE(YEAR($A334),MONTH($A334),1))</f>
        <v/>
      </c>
    </row>
    <row r="335">
      <c r="A335" s="85" t="n"/>
      <c r="B335" s="87" t="n"/>
      <c r="C335" s="87" t="n"/>
      <c r="D335" s="86" t="n"/>
      <c r="E335" s="87" t="n"/>
      <c r="F335" s="91" t="n"/>
      <c r="G335" s="86" t="n"/>
      <c r="H335" s="86" t="n"/>
      <c r="I335" s="100">
        <f>IF($B335="","",IFERROR(INDEX(Setup!$B$99:$B$128,MATCH($B335,Setup!$A$99:$A$128,0)),"CHECK TYPE"))</f>
        <v/>
      </c>
      <c r="J335">
        <f>IF($A335="","",DATE(YEAR($A335),MONTH($A335),1))</f>
        <v/>
      </c>
    </row>
    <row r="336">
      <c r="A336" s="93" t="n"/>
      <c r="B336" s="95" t="n"/>
      <c r="C336" s="95" t="n"/>
      <c r="D336" s="94" t="n"/>
      <c r="E336" s="95" t="n"/>
      <c r="F336" s="98" t="n"/>
      <c r="G336" s="94" t="n"/>
      <c r="H336" s="94" t="n"/>
      <c r="I336" s="100">
        <f>IF($B336="","",IFERROR(INDEX(Setup!$B$99:$B$128,MATCH($B336,Setup!$A$99:$A$128,0)),"CHECK TYPE"))</f>
        <v/>
      </c>
      <c r="J336">
        <f>IF($A336="","",DATE(YEAR($A336),MONTH($A336),1))</f>
        <v/>
      </c>
    </row>
    <row r="337">
      <c r="A337" s="85" t="n"/>
      <c r="B337" s="87" t="n"/>
      <c r="C337" s="87" t="n"/>
      <c r="D337" s="86" t="n"/>
      <c r="E337" s="87" t="n"/>
      <c r="F337" s="91" t="n"/>
      <c r="G337" s="86" t="n"/>
      <c r="H337" s="86" t="n"/>
      <c r="I337" s="100">
        <f>IF($B337="","",IFERROR(INDEX(Setup!$B$99:$B$128,MATCH($B337,Setup!$A$99:$A$128,0)),"CHECK TYPE"))</f>
        <v/>
      </c>
      <c r="J337">
        <f>IF($A337="","",DATE(YEAR($A337),MONTH($A337),1))</f>
        <v/>
      </c>
    </row>
    <row r="338">
      <c r="A338" s="93" t="n"/>
      <c r="B338" s="95" t="n"/>
      <c r="C338" s="95" t="n"/>
      <c r="D338" s="94" t="n"/>
      <c r="E338" s="95" t="n"/>
      <c r="F338" s="98" t="n"/>
      <c r="G338" s="94" t="n"/>
      <c r="H338" s="94" t="n"/>
      <c r="I338" s="100">
        <f>IF($B338="","",IFERROR(INDEX(Setup!$B$99:$B$128,MATCH($B338,Setup!$A$99:$A$128,0)),"CHECK TYPE"))</f>
        <v/>
      </c>
      <c r="J338">
        <f>IF($A338="","",DATE(YEAR($A338),MONTH($A338),1))</f>
        <v/>
      </c>
    </row>
    <row r="339">
      <c r="A339" s="85" t="n"/>
      <c r="B339" s="87" t="n"/>
      <c r="C339" s="87" t="n"/>
      <c r="D339" s="86" t="n"/>
      <c r="E339" s="87" t="n"/>
      <c r="F339" s="91" t="n"/>
      <c r="G339" s="86" t="n"/>
      <c r="H339" s="86" t="n"/>
      <c r="I339" s="100">
        <f>IF($B339="","",IFERROR(INDEX(Setup!$B$99:$B$128,MATCH($B339,Setup!$A$99:$A$128,0)),"CHECK TYPE"))</f>
        <v/>
      </c>
      <c r="J339">
        <f>IF($A339="","",DATE(YEAR($A339),MONTH($A339),1))</f>
        <v/>
      </c>
    </row>
    <row r="340">
      <c r="A340" s="93" t="n"/>
      <c r="B340" s="95" t="n"/>
      <c r="C340" s="95" t="n"/>
      <c r="D340" s="94" t="n"/>
      <c r="E340" s="95" t="n"/>
      <c r="F340" s="98" t="n"/>
      <c r="G340" s="94" t="n"/>
      <c r="H340" s="94" t="n"/>
      <c r="I340" s="100">
        <f>IF($B340="","",IFERROR(INDEX(Setup!$B$99:$B$128,MATCH($B340,Setup!$A$99:$A$128,0)),"CHECK TYPE"))</f>
        <v/>
      </c>
      <c r="J340">
        <f>IF($A340="","",DATE(YEAR($A340),MONTH($A340),1))</f>
        <v/>
      </c>
    </row>
    <row r="341">
      <c r="A341" s="85" t="n"/>
      <c r="B341" s="87" t="n"/>
      <c r="C341" s="87" t="n"/>
      <c r="D341" s="86" t="n"/>
      <c r="E341" s="87" t="n"/>
      <c r="F341" s="91" t="n"/>
      <c r="G341" s="86" t="n"/>
      <c r="H341" s="86" t="n"/>
      <c r="I341" s="100">
        <f>IF($B341="","",IFERROR(INDEX(Setup!$B$99:$B$128,MATCH($B341,Setup!$A$99:$A$128,0)),"CHECK TYPE"))</f>
        <v/>
      </c>
      <c r="J341">
        <f>IF($A341="","",DATE(YEAR($A341),MONTH($A341),1))</f>
        <v/>
      </c>
    </row>
    <row r="342">
      <c r="A342" s="93" t="n"/>
      <c r="B342" s="95" t="n"/>
      <c r="C342" s="95" t="n"/>
      <c r="D342" s="94" t="n"/>
      <c r="E342" s="95" t="n"/>
      <c r="F342" s="98" t="n"/>
      <c r="G342" s="94" t="n"/>
      <c r="H342" s="94" t="n"/>
      <c r="I342" s="100">
        <f>IF($B342="","",IFERROR(INDEX(Setup!$B$99:$B$128,MATCH($B342,Setup!$A$99:$A$128,0)),"CHECK TYPE"))</f>
        <v/>
      </c>
      <c r="J342">
        <f>IF($A342="","",DATE(YEAR($A342),MONTH($A342),1))</f>
        <v/>
      </c>
    </row>
    <row r="343">
      <c r="A343" s="85" t="n"/>
      <c r="B343" s="87" t="n"/>
      <c r="C343" s="87" t="n"/>
      <c r="D343" s="86" t="n"/>
      <c r="E343" s="87" t="n"/>
      <c r="F343" s="91" t="n"/>
      <c r="G343" s="86" t="n"/>
      <c r="H343" s="86" t="n"/>
      <c r="I343" s="100">
        <f>IF($B343="","",IFERROR(INDEX(Setup!$B$99:$B$128,MATCH($B343,Setup!$A$99:$A$128,0)),"CHECK TYPE"))</f>
        <v/>
      </c>
      <c r="J343">
        <f>IF($A343="","",DATE(YEAR($A343),MONTH($A343),1))</f>
        <v/>
      </c>
    </row>
    <row r="344">
      <c r="A344" s="93" t="n"/>
      <c r="B344" s="95" t="n"/>
      <c r="C344" s="95" t="n"/>
      <c r="D344" s="94" t="n"/>
      <c r="E344" s="95" t="n"/>
      <c r="F344" s="98" t="n"/>
      <c r="G344" s="94" t="n"/>
      <c r="H344" s="94" t="n"/>
      <c r="I344" s="100">
        <f>IF($B344="","",IFERROR(INDEX(Setup!$B$99:$B$128,MATCH($B344,Setup!$A$99:$A$128,0)),"CHECK TYPE"))</f>
        <v/>
      </c>
      <c r="J344">
        <f>IF($A344="","",DATE(YEAR($A344),MONTH($A344),1))</f>
        <v/>
      </c>
    </row>
    <row r="345">
      <c r="A345" s="85" t="n"/>
      <c r="B345" s="87" t="n"/>
      <c r="C345" s="87" t="n"/>
      <c r="D345" s="86" t="n"/>
      <c r="E345" s="87" t="n"/>
      <c r="F345" s="91" t="n"/>
      <c r="G345" s="86" t="n"/>
      <c r="H345" s="86" t="n"/>
      <c r="I345" s="100">
        <f>IF($B345="","",IFERROR(INDEX(Setup!$B$99:$B$128,MATCH($B345,Setup!$A$99:$A$128,0)),"CHECK TYPE"))</f>
        <v/>
      </c>
      <c r="J345">
        <f>IF($A345="","",DATE(YEAR($A345),MONTH($A345),1))</f>
        <v/>
      </c>
    </row>
    <row r="346">
      <c r="A346" s="93" t="n"/>
      <c r="B346" s="95" t="n"/>
      <c r="C346" s="95" t="n"/>
      <c r="D346" s="94" t="n"/>
      <c r="E346" s="95" t="n"/>
      <c r="F346" s="98" t="n"/>
      <c r="G346" s="94" t="n"/>
      <c r="H346" s="94" t="n"/>
      <c r="I346" s="100">
        <f>IF($B346="","",IFERROR(INDEX(Setup!$B$99:$B$128,MATCH($B346,Setup!$A$99:$A$128,0)),"CHECK TYPE"))</f>
        <v/>
      </c>
      <c r="J346">
        <f>IF($A346="","",DATE(YEAR($A346),MONTH($A346),1))</f>
        <v/>
      </c>
    </row>
    <row r="347">
      <c r="A347" s="85" t="n"/>
      <c r="B347" s="87" t="n"/>
      <c r="C347" s="87" t="n"/>
      <c r="D347" s="86" t="n"/>
      <c r="E347" s="87" t="n"/>
      <c r="F347" s="91" t="n"/>
      <c r="G347" s="86" t="n"/>
      <c r="H347" s="86" t="n"/>
      <c r="I347" s="100">
        <f>IF($B347="","",IFERROR(INDEX(Setup!$B$99:$B$128,MATCH($B347,Setup!$A$99:$A$128,0)),"CHECK TYPE"))</f>
        <v/>
      </c>
      <c r="J347">
        <f>IF($A347="","",DATE(YEAR($A347),MONTH($A347),1))</f>
        <v/>
      </c>
    </row>
    <row r="348">
      <c r="A348" s="93" t="n"/>
      <c r="B348" s="95" t="n"/>
      <c r="C348" s="95" t="n"/>
      <c r="D348" s="94" t="n"/>
      <c r="E348" s="95" t="n"/>
      <c r="F348" s="98" t="n"/>
      <c r="G348" s="94" t="n"/>
      <c r="H348" s="94" t="n"/>
      <c r="I348" s="100">
        <f>IF($B348="","",IFERROR(INDEX(Setup!$B$99:$B$128,MATCH($B348,Setup!$A$99:$A$128,0)),"CHECK TYPE"))</f>
        <v/>
      </c>
      <c r="J348">
        <f>IF($A348="","",DATE(YEAR($A348),MONTH($A348),1))</f>
        <v/>
      </c>
    </row>
    <row r="349">
      <c r="A349" s="85" t="n"/>
      <c r="B349" s="87" t="n"/>
      <c r="C349" s="87" t="n"/>
      <c r="D349" s="86" t="n"/>
      <c r="E349" s="87" t="n"/>
      <c r="F349" s="91" t="n"/>
      <c r="G349" s="86" t="n"/>
      <c r="H349" s="86" t="n"/>
      <c r="I349" s="100">
        <f>IF($B349="","",IFERROR(INDEX(Setup!$B$99:$B$128,MATCH($B349,Setup!$A$99:$A$128,0)),"CHECK TYPE"))</f>
        <v/>
      </c>
      <c r="J349">
        <f>IF($A349="","",DATE(YEAR($A349),MONTH($A349),1))</f>
        <v/>
      </c>
    </row>
    <row r="350">
      <c r="A350" s="93" t="n"/>
      <c r="B350" s="95" t="n"/>
      <c r="C350" s="95" t="n"/>
      <c r="D350" s="94" t="n"/>
      <c r="E350" s="95" t="n"/>
      <c r="F350" s="98" t="n"/>
      <c r="G350" s="94" t="n"/>
      <c r="H350" s="94" t="n"/>
      <c r="I350" s="100">
        <f>IF($B350="","",IFERROR(INDEX(Setup!$B$99:$B$128,MATCH($B350,Setup!$A$99:$A$128,0)),"CHECK TYPE"))</f>
        <v/>
      </c>
      <c r="J350">
        <f>IF($A350="","",DATE(YEAR($A350),MONTH($A350),1))</f>
        <v/>
      </c>
    </row>
    <row r="351">
      <c r="A351" s="85" t="n"/>
      <c r="B351" s="87" t="n"/>
      <c r="C351" s="87" t="n"/>
      <c r="D351" s="86" t="n"/>
      <c r="E351" s="87" t="n"/>
      <c r="F351" s="91" t="n"/>
      <c r="G351" s="86" t="n"/>
      <c r="H351" s="86" t="n"/>
      <c r="I351" s="100">
        <f>IF($B351="","",IFERROR(INDEX(Setup!$B$99:$B$128,MATCH($B351,Setup!$A$99:$A$128,0)),"CHECK TYPE"))</f>
        <v/>
      </c>
      <c r="J351">
        <f>IF($A351="","",DATE(YEAR($A351),MONTH($A351),1))</f>
        <v/>
      </c>
    </row>
    <row r="352">
      <c r="A352" s="93" t="n"/>
      <c r="B352" s="95" t="n"/>
      <c r="C352" s="95" t="n"/>
      <c r="D352" s="94" t="n"/>
      <c r="E352" s="95" t="n"/>
      <c r="F352" s="98" t="n"/>
      <c r="G352" s="94" t="n"/>
      <c r="H352" s="94" t="n"/>
      <c r="I352" s="100">
        <f>IF($B352="","",IFERROR(INDEX(Setup!$B$99:$B$128,MATCH($B352,Setup!$A$99:$A$128,0)),"CHECK TYPE"))</f>
        <v/>
      </c>
      <c r="J352">
        <f>IF($A352="","",DATE(YEAR($A352),MONTH($A352),1))</f>
        <v/>
      </c>
    </row>
    <row r="353">
      <c r="A353" s="85" t="n"/>
      <c r="B353" s="87" t="n"/>
      <c r="C353" s="87" t="n"/>
      <c r="D353" s="86" t="n"/>
      <c r="E353" s="87" t="n"/>
      <c r="F353" s="91" t="n"/>
      <c r="G353" s="86" t="n"/>
      <c r="H353" s="86" t="n"/>
      <c r="I353" s="100">
        <f>IF($B353="","",IFERROR(INDEX(Setup!$B$99:$B$128,MATCH($B353,Setup!$A$99:$A$128,0)),"CHECK TYPE"))</f>
        <v/>
      </c>
      <c r="J353">
        <f>IF($A353="","",DATE(YEAR($A353),MONTH($A353),1))</f>
        <v/>
      </c>
    </row>
    <row r="354">
      <c r="A354" s="93" t="n"/>
      <c r="B354" s="95" t="n"/>
      <c r="C354" s="95" t="n"/>
      <c r="D354" s="94" t="n"/>
      <c r="E354" s="95" t="n"/>
      <c r="F354" s="98" t="n"/>
      <c r="G354" s="94" t="n"/>
      <c r="H354" s="94" t="n"/>
      <c r="I354" s="100">
        <f>IF($B354="","",IFERROR(INDEX(Setup!$B$99:$B$128,MATCH($B354,Setup!$A$99:$A$128,0)),"CHECK TYPE"))</f>
        <v/>
      </c>
      <c r="J354">
        <f>IF($A354="","",DATE(YEAR($A354),MONTH($A354),1))</f>
        <v/>
      </c>
    </row>
    <row r="355">
      <c r="A355" s="85" t="n"/>
      <c r="B355" s="87" t="n"/>
      <c r="C355" s="87" t="n"/>
      <c r="D355" s="86" t="n"/>
      <c r="E355" s="87" t="n"/>
      <c r="F355" s="91" t="n"/>
      <c r="G355" s="86" t="n"/>
      <c r="H355" s="86" t="n"/>
      <c r="I355" s="100">
        <f>IF($B355="","",IFERROR(INDEX(Setup!$B$99:$B$128,MATCH($B355,Setup!$A$99:$A$128,0)),"CHECK TYPE"))</f>
        <v/>
      </c>
      <c r="J355">
        <f>IF($A355="","",DATE(YEAR($A355),MONTH($A355),1))</f>
        <v/>
      </c>
    </row>
    <row r="356">
      <c r="A356" s="93" t="n"/>
      <c r="B356" s="95" t="n"/>
      <c r="C356" s="95" t="n"/>
      <c r="D356" s="94" t="n"/>
      <c r="E356" s="95" t="n"/>
      <c r="F356" s="98" t="n"/>
      <c r="G356" s="94" t="n"/>
      <c r="H356" s="94" t="n"/>
      <c r="I356" s="100">
        <f>IF($B356="","",IFERROR(INDEX(Setup!$B$99:$B$128,MATCH($B356,Setup!$A$99:$A$128,0)),"CHECK TYPE"))</f>
        <v/>
      </c>
      <c r="J356">
        <f>IF($A356="","",DATE(YEAR($A356),MONTH($A356),1))</f>
        <v/>
      </c>
    </row>
    <row r="357">
      <c r="A357" s="85" t="n"/>
      <c r="B357" s="87" t="n"/>
      <c r="C357" s="87" t="n"/>
      <c r="D357" s="86" t="n"/>
      <c r="E357" s="87" t="n"/>
      <c r="F357" s="91" t="n"/>
      <c r="G357" s="86" t="n"/>
      <c r="H357" s="86" t="n"/>
      <c r="I357" s="100">
        <f>IF($B357="","",IFERROR(INDEX(Setup!$B$99:$B$128,MATCH($B357,Setup!$A$99:$A$128,0)),"CHECK TYPE"))</f>
        <v/>
      </c>
      <c r="J357">
        <f>IF($A357="","",DATE(YEAR($A357),MONTH($A357),1))</f>
        <v/>
      </c>
    </row>
    <row r="358">
      <c r="A358" s="93" t="n"/>
      <c r="B358" s="95" t="n"/>
      <c r="C358" s="95" t="n"/>
      <c r="D358" s="94" t="n"/>
      <c r="E358" s="95" t="n"/>
      <c r="F358" s="98" t="n"/>
      <c r="G358" s="94" t="n"/>
      <c r="H358" s="94" t="n"/>
      <c r="I358" s="100">
        <f>IF($B358="","",IFERROR(INDEX(Setup!$B$99:$B$128,MATCH($B358,Setup!$A$99:$A$128,0)),"CHECK TYPE"))</f>
        <v/>
      </c>
      <c r="J358">
        <f>IF($A358="","",DATE(YEAR($A358),MONTH($A358),1))</f>
        <v/>
      </c>
    </row>
    <row r="359">
      <c r="A359" s="85" t="n"/>
      <c r="B359" s="87" t="n"/>
      <c r="C359" s="87" t="n"/>
      <c r="D359" s="86" t="n"/>
      <c r="E359" s="87" t="n"/>
      <c r="F359" s="91" t="n"/>
      <c r="G359" s="86" t="n"/>
      <c r="H359" s="86" t="n"/>
      <c r="I359" s="100">
        <f>IF($B359="","",IFERROR(INDEX(Setup!$B$99:$B$128,MATCH($B359,Setup!$A$99:$A$128,0)),"CHECK TYPE"))</f>
        <v/>
      </c>
      <c r="J359">
        <f>IF($A359="","",DATE(YEAR($A359),MONTH($A359),1))</f>
        <v/>
      </c>
    </row>
    <row r="360">
      <c r="A360" s="93" t="n"/>
      <c r="B360" s="95" t="n"/>
      <c r="C360" s="95" t="n"/>
      <c r="D360" s="94" t="n"/>
      <c r="E360" s="95" t="n"/>
      <c r="F360" s="98" t="n"/>
      <c r="G360" s="94" t="n"/>
      <c r="H360" s="94" t="n"/>
      <c r="I360" s="100">
        <f>IF($B360="","",IFERROR(INDEX(Setup!$B$99:$B$128,MATCH($B360,Setup!$A$99:$A$128,0)),"CHECK TYPE"))</f>
        <v/>
      </c>
      <c r="J360">
        <f>IF($A360="","",DATE(YEAR($A360),MONTH($A360),1))</f>
        <v/>
      </c>
    </row>
    <row r="361">
      <c r="A361" s="85" t="n"/>
      <c r="B361" s="87" t="n"/>
      <c r="C361" s="87" t="n"/>
      <c r="D361" s="86" t="n"/>
      <c r="E361" s="87" t="n"/>
      <c r="F361" s="91" t="n"/>
      <c r="G361" s="86" t="n"/>
      <c r="H361" s="86" t="n"/>
      <c r="I361" s="100">
        <f>IF($B361="","",IFERROR(INDEX(Setup!$B$99:$B$128,MATCH($B361,Setup!$A$99:$A$128,0)),"CHECK TYPE"))</f>
        <v/>
      </c>
      <c r="J361">
        <f>IF($A361="","",DATE(YEAR($A361),MONTH($A361),1))</f>
        <v/>
      </c>
    </row>
    <row r="362">
      <c r="A362" s="93" t="n"/>
      <c r="B362" s="95" t="n"/>
      <c r="C362" s="95" t="n"/>
      <c r="D362" s="94" t="n"/>
      <c r="E362" s="95" t="n"/>
      <c r="F362" s="98" t="n"/>
      <c r="G362" s="94" t="n"/>
      <c r="H362" s="94" t="n"/>
      <c r="I362" s="100">
        <f>IF($B362="","",IFERROR(INDEX(Setup!$B$99:$B$128,MATCH($B362,Setup!$A$99:$A$128,0)),"CHECK TYPE"))</f>
        <v/>
      </c>
      <c r="J362">
        <f>IF($A362="","",DATE(YEAR($A362),MONTH($A362),1))</f>
        <v/>
      </c>
    </row>
    <row r="363">
      <c r="A363" s="85" t="n"/>
      <c r="B363" s="87" t="n"/>
      <c r="C363" s="87" t="n"/>
      <c r="D363" s="86" t="n"/>
      <c r="E363" s="87" t="n"/>
      <c r="F363" s="91" t="n"/>
      <c r="G363" s="86" t="n"/>
      <c r="H363" s="86" t="n"/>
      <c r="I363" s="100">
        <f>IF($B363="","",IFERROR(INDEX(Setup!$B$99:$B$128,MATCH($B363,Setup!$A$99:$A$128,0)),"CHECK TYPE"))</f>
        <v/>
      </c>
      <c r="J363">
        <f>IF($A363="","",DATE(YEAR($A363),MONTH($A363),1))</f>
        <v/>
      </c>
    </row>
    <row r="364">
      <c r="A364" s="93" t="n"/>
      <c r="B364" s="95" t="n"/>
      <c r="C364" s="95" t="n"/>
      <c r="D364" s="94" t="n"/>
      <c r="E364" s="95" t="n"/>
      <c r="F364" s="98" t="n"/>
      <c r="G364" s="94" t="n"/>
      <c r="H364" s="94" t="n"/>
      <c r="I364" s="100">
        <f>IF($B364="","",IFERROR(INDEX(Setup!$B$99:$B$128,MATCH($B364,Setup!$A$99:$A$128,0)),"CHECK TYPE"))</f>
        <v/>
      </c>
      <c r="J364">
        <f>IF($A364="","",DATE(YEAR($A364),MONTH($A364),1))</f>
        <v/>
      </c>
    </row>
    <row r="365">
      <c r="A365" s="85" t="n"/>
      <c r="B365" s="87" t="n"/>
      <c r="C365" s="87" t="n"/>
      <c r="D365" s="86" t="n"/>
      <c r="E365" s="87" t="n"/>
      <c r="F365" s="91" t="n"/>
      <c r="G365" s="86" t="n"/>
      <c r="H365" s="86" t="n"/>
      <c r="I365" s="100">
        <f>IF($B365="","",IFERROR(INDEX(Setup!$B$99:$B$128,MATCH($B365,Setup!$A$99:$A$128,0)),"CHECK TYPE"))</f>
        <v/>
      </c>
      <c r="J365">
        <f>IF($A365="","",DATE(YEAR($A365),MONTH($A365),1))</f>
        <v/>
      </c>
    </row>
    <row r="366">
      <c r="A366" s="93" t="n"/>
      <c r="B366" s="95" t="n"/>
      <c r="C366" s="95" t="n"/>
      <c r="D366" s="94" t="n"/>
      <c r="E366" s="95" t="n"/>
      <c r="F366" s="98" t="n"/>
      <c r="G366" s="94" t="n"/>
      <c r="H366" s="94" t="n"/>
      <c r="I366" s="100">
        <f>IF($B366="","",IFERROR(INDEX(Setup!$B$99:$B$128,MATCH($B366,Setup!$A$99:$A$128,0)),"CHECK TYPE"))</f>
        <v/>
      </c>
      <c r="J366">
        <f>IF($A366="","",DATE(YEAR($A366),MONTH($A366),1))</f>
        <v/>
      </c>
    </row>
    <row r="367">
      <c r="A367" s="85" t="n"/>
      <c r="B367" s="87" t="n"/>
      <c r="C367" s="87" t="n"/>
      <c r="D367" s="86" t="n"/>
      <c r="E367" s="87" t="n"/>
      <c r="F367" s="91" t="n"/>
      <c r="G367" s="86" t="n"/>
      <c r="H367" s="86" t="n"/>
      <c r="I367" s="100">
        <f>IF($B367="","",IFERROR(INDEX(Setup!$B$99:$B$128,MATCH($B367,Setup!$A$99:$A$128,0)),"CHECK TYPE"))</f>
        <v/>
      </c>
      <c r="J367">
        <f>IF($A367="","",DATE(YEAR($A367),MONTH($A367),1))</f>
        <v/>
      </c>
    </row>
    <row r="368">
      <c r="A368" s="93" t="n"/>
      <c r="B368" s="95" t="n"/>
      <c r="C368" s="95" t="n"/>
      <c r="D368" s="94" t="n"/>
      <c r="E368" s="95" t="n"/>
      <c r="F368" s="98" t="n"/>
      <c r="G368" s="94" t="n"/>
      <c r="H368" s="94" t="n"/>
      <c r="I368" s="100">
        <f>IF($B368="","",IFERROR(INDEX(Setup!$B$99:$B$128,MATCH($B368,Setup!$A$99:$A$128,0)),"CHECK TYPE"))</f>
        <v/>
      </c>
      <c r="J368">
        <f>IF($A368="","",DATE(YEAR($A368),MONTH($A368),1))</f>
        <v/>
      </c>
    </row>
    <row r="369">
      <c r="A369" s="85" t="n"/>
      <c r="B369" s="87" t="n"/>
      <c r="C369" s="87" t="n"/>
      <c r="D369" s="86" t="n"/>
      <c r="E369" s="87" t="n"/>
      <c r="F369" s="91" t="n"/>
      <c r="G369" s="86" t="n"/>
      <c r="H369" s="86" t="n"/>
      <c r="I369" s="100">
        <f>IF($B369="","",IFERROR(INDEX(Setup!$B$99:$B$128,MATCH($B369,Setup!$A$99:$A$128,0)),"CHECK TYPE"))</f>
        <v/>
      </c>
      <c r="J369">
        <f>IF($A369="","",DATE(YEAR($A369),MONTH($A369),1))</f>
        <v/>
      </c>
    </row>
    <row r="370">
      <c r="A370" s="93" t="n"/>
      <c r="B370" s="95" t="n"/>
      <c r="C370" s="95" t="n"/>
      <c r="D370" s="94" t="n"/>
      <c r="E370" s="95" t="n"/>
      <c r="F370" s="98" t="n"/>
      <c r="G370" s="94" t="n"/>
      <c r="H370" s="94" t="n"/>
      <c r="I370" s="100">
        <f>IF($B370="","",IFERROR(INDEX(Setup!$B$99:$B$128,MATCH($B370,Setup!$A$99:$A$128,0)),"CHECK TYPE"))</f>
        <v/>
      </c>
      <c r="J370">
        <f>IF($A370="","",DATE(YEAR($A370),MONTH($A370),1))</f>
        <v/>
      </c>
    </row>
    <row r="371">
      <c r="A371" s="85" t="n"/>
      <c r="B371" s="87" t="n"/>
      <c r="C371" s="87" t="n"/>
      <c r="D371" s="86" t="n"/>
      <c r="E371" s="87" t="n"/>
      <c r="F371" s="91" t="n"/>
      <c r="G371" s="86" t="n"/>
      <c r="H371" s="86" t="n"/>
      <c r="I371" s="100">
        <f>IF($B371="","",IFERROR(INDEX(Setup!$B$99:$B$128,MATCH($B371,Setup!$A$99:$A$128,0)),"CHECK TYPE"))</f>
        <v/>
      </c>
      <c r="J371">
        <f>IF($A371="","",DATE(YEAR($A371),MONTH($A371),1))</f>
        <v/>
      </c>
    </row>
    <row r="372">
      <c r="A372" s="93" t="n"/>
      <c r="B372" s="95" t="n"/>
      <c r="C372" s="95" t="n"/>
      <c r="D372" s="94" t="n"/>
      <c r="E372" s="95" t="n"/>
      <c r="F372" s="98" t="n"/>
      <c r="G372" s="94" t="n"/>
      <c r="H372" s="94" t="n"/>
      <c r="I372" s="100">
        <f>IF($B372="","",IFERROR(INDEX(Setup!$B$99:$B$128,MATCH($B372,Setup!$A$99:$A$128,0)),"CHECK TYPE"))</f>
        <v/>
      </c>
      <c r="J372">
        <f>IF($A372="","",DATE(YEAR($A372),MONTH($A372),1))</f>
        <v/>
      </c>
    </row>
    <row r="373">
      <c r="A373" s="85" t="n"/>
      <c r="B373" s="87" t="n"/>
      <c r="C373" s="87" t="n"/>
      <c r="D373" s="86" t="n"/>
      <c r="E373" s="87" t="n"/>
      <c r="F373" s="91" t="n"/>
      <c r="G373" s="86" t="n"/>
      <c r="H373" s="86" t="n"/>
      <c r="I373" s="100">
        <f>IF($B373="","",IFERROR(INDEX(Setup!$B$99:$B$128,MATCH($B373,Setup!$A$99:$A$128,0)),"CHECK TYPE"))</f>
        <v/>
      </c>
      <c r="J373">
        <f>IF($A373="","",DATE(YEAR($A373),MONTH($A373),1))</f>
        <v/>
      </c>
    </row>
    <row r="374">
      <c r="A374" s="93" t="n"/>
      <c r="B374" s="95" t="n"/>
      <c r="C374" s="95" t="n"/>
      <c r="D374" s="94" t="n"/>
      <c r="E374" s="95" t="n"/>
      <c r="F374" s="98" t="n"/>
      <c r="G374" s="94" t="n"/>
      <c r="H374" s="94" t="n"/>
      <c r="I374" s="100">
        <f>IF($B374="","",IFERROR(INDEX(Setup!$B$99:$B$128,MATCH($B374,Setup!$A$99:$A$128,0)),"CHECK TYPE"))</f>
        <v/>
      </c>
      <c r="J374">
        <f>IF($A374="","",DATE(YEAR($A374),MONTH($A374),1))</f>
        <v/>
      </c>
    </row>
    <row r="375">
      <c r="A375" s="85" t="n"/>
      <c r="B375" s="87" t="n"/>
      <c r="C375" s="87" t="n"/>
      <c r="D375" s="86" t="n"/>
      <c r="E375" s="87" t="n"/>
      <c r="F375" s="91" t="n"/>
      <c r="G375" s="86" t="n"/>
      <c r="H375" s="86" t="n"/>
      <c r="I375" s="100">
        <f>IF($B375="","",IFERROR(INDEX(Setup!$B$99:$B$128,MATCH($B375,Setup!$A$99:$A$128,0)),"CHECK TYPE"))</f>
        <v/>
      </c>
      <c r="J375">
        <f>IF($A375="","",DATE(YEAR($A375),MONTH($A375),1))</f>
        <v/>
      </c>
    </row>
    <row r="376">
      <c r="A376" s="93" t="n"/>
      <c r="B376" s="95" t="n"/>
      <c r="C376" s="95" t="n"/>
      <c r="D376" s="94" t="n"/>
      <c r="E376" s="95" t="n"/>
      <c r="F376" s="98" t="n"/>
      <c r="G376" s="94" t="n"/>
      <c r="H376" s="94" t="n"/>
      <c r="I376" s="100">
        <f>IF($B376="","",IFERROR(INDEX(Setup!$B$99:$B$128,MATCH($B376,Setup!$A$99:$A$128,0)),"CHECK TYPE"))</f>
        <v/>
      </c>
      <c r="J376">
        <f>IF($A376="","",DATE(YEAR($A376),MONTH($A376),1))</f>
        <v/>
      </c>
    </row>
    <row r="377">
      <c r="A377" s="85" t="n"/>
      <c r="B377" s="87" t="n"/>
      <c r="C377" s="87" t="n"/>
      <c r="D377" s="86" t="n"/>
      <c r="E377" s="87" t="n"/>
      <c r="F377" s="91" t="n"/>
      <c r="G377" s="86" t="n"/>
      <c r="H377" s="86" t="n"/>
      <c r="I377" s="100">
        <f>IF($B377="","",IFERROR(INDEX(Setup!$B$99:$B$128,MATCH($B377,Setup!$A$99:$A$128,0)),"CHECK TYPE"))</f>
        <v/>
      </c>
      <c r="J377">
        <f>IF($A377="","",DATE(YEAR($A377),MONTH($A377),1))</f>
        <v/>
      </c>
    </row>
    <row r="378">
      <c r="A378" s="93" t="n"/>
      <c r="B378" s="95" t="n"/>
      <c r="C378" s="95" t="n"/>
      <c r="D378" s="94" t="n"/>
      <c r="E378" s="95" t="n"/>
      <c r="F378" s="98" t="n"/>
      <c r="G378" s="94" t="n"/>
      <c r="H378" s="94" t="n"/>
      <c r="I378" s="100">
        <f>IF($B378="","",IFERROR(INDEX(Setup!$B$99:$B$128,MATCH($B378,Setup!$A$99:$A$128,0)),"CHECK TYPE"))</f>
        <v/>
      </c>
      <c r="J378">
        <f>IF($A378="","",DATE(YEAR($A378),MONTH($A378),1))</f>
        <v/>
      </c>
    </row>
    <row r="379">
      <c r="A379" s="85" t="n"/>
      <c r="B379" s="87" t="n"/>
      <c r="C379" s="87" t="n"/>
      <c r="D379" s="86" t="n"/>
      <c r="E379" s="87" t="n"/>
      <c r="F379" s="91" t="n"/>
      <c r="G379" s="86" t="n"/>
      <c r="H379" s="86" t="n"/>
      <c r="I379" s="100">
        <f>IF($B379="","",IFERROR(INDEX(Setup!$B$99:$B$128,MATCH($B379,Setup!$A$99:$A$128,0)),"CHECK TYPE"))</f>
        <v/>
      </c>
      <c r="J379">
        <f>IF($A379="","",DATE(YEAR($A379),MONTH($A379),1))</f>
        <v/>
      </c>
    </row>
    <row r="380">
      <c r="A380" s="93" t="n"/>
      <c r="B380" s="95" t="n"/>
      <c r="C380" s="95" t="n"/>
      <c r="D380" s="94" t="n"/>
      <c r="E380" s="95" t="n"/>
      <c r="F380" s="98" t="n"/>
      <c r="G380" s="94" t="n"/>
      <c r="H380" s="94" t="n"/>
      <c r="I380" s="100">
        <f>IF($B380="","",IFERROR(INDEX(Setup!$B$99:$B$128,MATCH($B380,Setup!$A$99:$A$128,0)),"CHECK TYPE"))</f>
        <v/>
      </c>
      <c r="J380">
        <f>IF($A380="","",DATE(YEAR($A380),MONTH($A380),1))</f>
        <v/>
      </c>
    </row>
    <row r="381">
      <c r="A381" s="85" t="n"/>
      <c r="B381" s="87" t="n"/>
      <c r="C381" s="87" t="n"/>
      <c r="D381" s="86" t="n"/>
      <c r="E381" s="87" t="n"/>
      <c r="F381" s="91" t="n"/>
      <c r="G381" s="86" t="n"/>
      <c r="H381" s="86" t="n"/>
      <c r="I381" s="100">
        <f>IF($B381="","",IFERROR(INDEX(Setup!$B$99:$B$128,MATCH($B381,Setup!$A$99:$A$128,0)),"CHECK TYPE"))</f>
        <v/>
      </c>
      <c r="J381">
        <f>IF($A381="","",DATE(YEAR($A381),MONTH($A381),1))</f>
        <v/>
      </c>
    </row>
    <row r="382">
      <c r="A382" s="93" t="n"/>
      <c r="B382" s="95" t="n"/>
      <c r="C382" s="95" t="n"/>
      <c r="D382" s="94" t="n"/>
      <c r="E382" s="95" t="n"/>
      <c r="F382" s="98" t="n"/>
      <c r="G382" s="94" t="n"/>
      <c r="H382" s="94" t="n"/>
      <c r="I382" s="100">
        <f>IF($B382="","",IFERROR(INDEX(Setup!$B$99:$B$128,MATCH($B382,Setup!$A$99:$A$128,0)),"CHECK TYPE"))</f>
        <v/>
      </c>
      <c r="J382">
        <f>IF($A382="","",DATE(YEAR($A382),MONTH($A382),1))</f>
        <v/>
      </c>
    </row>
    <row r="383">
      <c r="A383" s="85" t="n"/>
      <c r="B383" s="87" t="n"/>
      <c r="C383" s="87" t="n"/>
      <c r="D383" s="86" t="n"/>
      <c r="E383" s="87" t="n"/>
      <c r="F383" s="91" t="n"/>
      <c r="G383" s="86" t="n"/>
      <c r="H383" s="86" t="n"/>
      <c r="I383" s="100">
        <f>IF($B383="","",IFERROR(INDEX(Setup!$B$99:$B$128,MATCH($B383,Setup!$A$99:$A$128,0)),"CHECK TYPE"))</f>
        <v/>
      </c>
      <c r="J383">
        <f>IF($A383="","",DATE(YEAR($A383),MONTH($A383),1))</f>
        <v/>
      </c>
    </row>
    <row r="384">
      <c r="A384" s="93" t="n"/>
      <c r="B384" s="95" t="n"/>
      <c r="C384" s="95" t="n"/>
      <c r="D384" s="94" t="n"/>
      <c r="E384" s="95" t="n"/>
      <c r="F384" s="98" t="n"/>
      <c r="G384" s="94" t="n"/>
      <c r="H384" s="94" t="n"/>
      <c r="I384" s="100">
        <f>IF($B384="","",IFERROR(INDEX(Setup!$B$99:$B$128,MATCH($B384,Setup!$A$99:$A$128,0)),"CHECK TYPE"))</f>
        <v/>
      </c>
      <c r="J384">
        <f>IF($A384="","",DATE(YEAR($A384),MONTH($A384),1))</f>
        <v/>
      </c>
    </row>
    <row r="385">
      <c r="A385" s="85" t="n"/>
      <c r="B385" s="87" t="n"/>
      <c r="C385" s="87" t="n"/>
      <c r="D385" s="86" t="n"/>
      <c r="E385" s="87" t="n"/>
      <c r="F385" s="91" t="n"/>
      <c r="G385" s="86" t="n"/>
      <c r="H385" s="86" t="n"/>
      <c r="I385" s="100">
        <f>IF($B385="","",IFERROR(INDEX(Setup!$B$99:$B$128,MATCH($B385,Setup!$A$99:$A$128,0)),"CHECK TYPE"))</f>
        <v/>
      </c>
      <c r="J385">
        <f>IF($A385="","",DATE(YEAR($A385),MONTH($A385),1))</f>
        <v/>
      </c>
    </row>
    <row r="386">
      <c r="A386" s="93" t="n"/>
      <c r="B386" s="95" t="n"/>
      <c r="C386" s="95" t="n"/>
      <c r="D386" s="94" t="n"/>
      <c r="E386" s="95" t="n"/>
      <c r="F386" s="98" t="n"/>
      <c r="G386" s="94" t="n"/>
      <c r="H386" s="94" t="n"/>
      <c r="I386" s="100">
        <f>IF($B386="","",IFERROR(INDEX(Setup!$B$99:$B$128,MATCH($B386,Setup!$A$99:$A$128,0)),"CHECK TYPE"))</f>
        <v/>
      </c>
      <c r="J386">
        <f>IF($A386="","",DATE(YEAR($A386),MONTH($A386),1))</f>
        <v/>
      </c>
    </row>
    <row r="387">
      <c r="A387" s="85" t="n"/>
      <c r="B387" s="87" t="n"/>
      <c r="C387" s="87" t="n"/>
      <c r="D387" s="86" t="n"/>
      <c r="E387" s="87" t="n"/>
      <c r="F387" s="91" t="n"/>
      <c r="G387" s="86" t="n"/>
      <c r="H387" s="86" t="n"/>
      <c r="I387" s="100">
        <f>IF($B387="","",IFERROR(INDEX(Setup!$B$99:$B$128,MATCH($B387,Setup!$A$99:$A$128,0)),"CHECK TYPE"))</f>
        <v/>
      </c>
      <c r="J387">
        <f>IF($A387="","",DATE(YEAR($A387),MONTH($A387),1))</f>
        <v/>
      </c>
    </row>
    <row r="388">
      <c r="A388" s="93" t="n"/>
      <c r="B388" s="95" t="n"/>
      <c r="C388" s="95" t="n"/>
      <c r="D388" s="94" t="n"/>
      <c r="E388" s="95" t="n"/>
      <c r="F388" s="98" t="n"/>
      <c r="G388" s="94" t="n"/>
      <c r="H388" s="94" t="n"/>
      <c r="I388" s="100">
        <f>IF($B388="","",IFERROR(INDEX(Setup!$B$99:$B$128,MATCH($B388,Setup!$A$99:$A$128,0)),"CHECK TYPE"))</f>
        <v/>
      </c>
      <c r="J388">
        <f>IF($A388="","",DATE(YEAR($A388),MONTH($A388),1))</f>
        <v/>
      </c>
    </row>
    <row r="389">
      <c r="A389" s="85" t="n"/>
      <c r="B389" s="87" t="n"/>
      <c r="C389" s="87" t="n"/>
      <c r="D389" s="86" t="n"/>
      <c r="E389" s="87" t="n"/>
      <c r="F389" s="91" t="n"/>
      <c r="G389" s="86" t="n"/>
      <c r="H389" s="86" t="n"/>
      <c r="I389" s="100">
        <f>IF($B389="","",IFERROR(INDEX(Setup!$B$99:$B$128,MATCH($B389,Setup!$A$99:$A$128,0)),"CHECK TYPE"))</f>
        <v/>
      </c>
      <c r="J389">
        <f>IF($A389="","",DATE(YEAR($A389),MONTH($A389),1))</f>
        <v/>
      </c>
    </row>
    <row r="390">
      <c r="A390" s="93" t="n"/>
      <c r="B390" s="95" t="n"/>
      <c r="C390" s="95" t="n"/>
      <c r="D390" s="94" t="n"/>
      <c r="E390" s="95" t="n"/>
      <c r="F390" s="98" t="n"/>
      <c r="G390" s="94" t="n"/>
      <c r="H390" s="94" t="n"/>
      <c r="I390" s="100">
        <f>IF($B390="","",IFERROR(INDEX(Setup!$B$99:$B$128,MATCH($B390,Setup!$A$99:$A$128,0)),"CHECK TYPE"))</f>
        <v/>
      </c>
      <c r="J390">
        <f>IF($A390="","",DATE(YEAR($A390),MONTH($A390),1))</f>
        <v/>
      </c>
    </row>
    <row r="391">
      <c r="A391" s="85" t="n"/>
      <c r="B391" s="87" t="n"/>
      <c r="C391" s="87" t="n"/>
      <c r="D391" s="86" t="n"/>
      <c r="E391" s="87" t="n"/>
      <c r="F391" s="91" t="n"/>
      <c r="G391" s="86" t="n"/>
      <c r="H391" s="86" t="n"/>
      <c r="I391" s="100">
        <f>IF($B391="","",IFERROR(INDEX(Setup!$B$99:$B$128,MATCH($B391,Setup!$A$99:$A$128,0)),"CHECK TYPE"))</f>
        <v/>
      </c>
      <c r="J391">
        <f>IF($A391="","",DATE(YEAR($A391),MONTH($A391),1))</f>
        <v/>
      </c>
    </row>
    <row r="392">
      <c r="A392" s="93" t="n"/>
      <c r="B392" s="95" t="n"/>
      <c r="C392" s="95" t="n"/>
      <c r="D392" s="94" t="n"/>
      <c r="E392" s="95" t="n"/>
      <c r="F392" s="98" t="n"/>
      <c r="G392" s="94" t="n"/>
      <c r="H392" s="94" t="n"/>
      <c r="I392" s="100">
        <f>IF($B392="","",IFERROR(INDEX(Setup!$B$99:$B$128,MATCH($B392,Setup!$A$99:$A$128,0)),"CHECK TYPE"))</f>
        <v/>
      </c>
      <c r="J392">
        <f>IF($A392="","",DATE(YEAR($A392),MONTH($A392),1))</f>
        <v/>
      </c>
    </row>
    <row r="393">
      <c r="A393" s="85" t="n"/>
      <c r="B393" s="87" t="n"/>
      <c r="C393" s="87" t="n"/>
      <c r="D393" s="86" t="n"/>
      <c r="E393" s="87" t="n"/>
      <c r="F393" s="91" t="n"/>
      <c r="G393" s="86" t="n"/>
      <c r="H393" s="86" t="n"/>
      <c r="I393" s="100">
        <f>IF($B393="","",IFERROR(INDEX(Setup!$B$99:$B$128,MATCH($B393,Setup!$A$99:$A$128,0)),"CHECK TYPE"))</f>
        <v/>
      </c>
      <c r="J393">
        <f>IF($A393="","",DATE(YEAR($A393),MONTH($A393),1))</f>
        <v/>
      </c>
    </row>
    <row r="394">
      <c r="A394" s="93" t="n"/>
      <c r="B394" s="95" t="n"/>
      <c r="C394" s="95" t="n"/>
      <c r="D394" s="94" t="n"/>
      <c r="E394" s="95" t="n"/>
      <c r="F394" s="98" t="n"/>
      <c r="G394" s="94" t="n"/>
      <c r="H394" s="94" t="n"/>
      <c r="I394" s="100">
        <f>IF($B394="","",IFERROR(INDEX(Setup!$B$99:$B$128,MATCH($B394,Setup!$A$99:$A$128,0)),"CHECK TYPE"))</f>
        <v/>
      </c>
      <c r="J394">
        <f>IF($A394="","",DATE(YEAR($A394),MONTH($A394),1))</f>
        <v/>
      </c>
    </row>
    <row r="395">
      <c r="A395" s="85" t="n"/>
      <c r="B395" s="87" t="n"/>
      <c r="C395" s="87" t="n"/>
      <c r="D395" s="86" t="n"/>
      <c r="E395" s="87" t="n"/>
      <c r="F395" s="91" t="n"/>
      <c r="G395" s="86" t="n"/>
      <c r="H395" s="86" t="n"/>
      <c r="I395" s="100">
        <f>IF($B395="","",IFERROR(INDEX(Setup!$B$99:$B$128,MATCH($B395,Setup!$A$99:$A$128,0)),"CHECK TYPE"))</f>
        <v/>
      </c>
      <c r="J395">
        <f>IF($A395="","",DATE(YEAR($A395),MONTH($A395),1))</f>
        <v/>
      </c>
    </row>
    <row r="396">
      <c r="A396" s="93" t="n"/>
      <c r="B396" s="95" t="n"/>
      <c r="C396" s="95" t="n"/>
      <c r="D396" s="94" t="n"/>
      <c r="E396" s="95" t="n"/>
      <c r="F396" s="98" t="n"/>
      <c r="G396" s="94" t="n"/>
      <c r="H396" s="94" t="n"/>
      <c r="I396" s="100">
        <f>IF($B396="","",IFERROR(INDEX(Setup!$B$99:$B$128,MATCH($B396,Setup!$A$99:$A$128,0)),"CHECK TYPE"))</f>
        <v/>
      </c>
      <c r="J396">
        <f>IF($A396="","",DATE(YEAR($A396),MONTH($A396),1))</f>
        <v/>
      </c>
    </row>
    <row r="397">
      <c r="A397" s="85" t="n"/>
      <c r="B397" s="87" t="n"/>
      <c r="C397" s="87" t="n"/>
      <c r="D397" s="86" t="n"/>
      <c r="E397" s="87" t="n"/>
      <c r="F397" s="91" t="n"/>
      <c r="G397" s="86" t="n"/>
      <c r="H397" s="86" t="n"/>
      <c r="I397" s="100">
        <f>IF($B397="","",IFERROR(INDEX(Setup!$B$99:$B$128,MATCH($B397,Setup!$A$99:$A$128,0)),"CHECK TYPE"))</f>
        <v/>
      </c>
      <c r="J397">
        <f>IF($A397="","",DATE(YEAR($A397),MONTH($A397),1))</f>
        <v/>
      </c>
    </row>
    <row r="398">
      <c r="A398" s="93" t="n"/>
      <c r="B398" s="95" t="n"/>
      <c r="C398" s="95" t="n"/>
      <c r="D398" s="94" t="n"/>
      <c r="E398" s="95" t="n"/>
      <c r="F398" s="98" t="n"/>
      <c r="G398" s="94" t="n"/>
      <c r="H398" s="94" t="n"/>
      <c r="I398" s="100">
        <f>IF($B398="","",IFERROR(INDEX(Setup!$B$99:$B$128,MATCH($B398,Setup!$A$99:$A$128,0)),"CHECK TYPE"))</f>
        <v/>
      </c>
      <c r="J398">
        <f>IF($A398="","",DATE(YEAR($A398),MONTH($A398),1))</f>
        <v/>
      </c>
    </row>
    <row r="399">
      <c r="A399" s="85" t="n"/>
      <c r="B399" s="87" t="n"/>
      <c r="C399" s="87" t="n"/>
      <c r="D399" s="86" t="n"/>
      <c r="E399" s="87" t="n"/>
      <c r="F399" s="91" t="n"/>
      <c r="G399" s="86" t="n"/>
      <c r="H399" s="86" t="n"/>
      <c r="I399" s="100">
        <f>IF($B399="","",IFERROR(INDEX(Setup!$B$99:$B$128,MATCH($B399,Setup!$A$99:$A$128,0)),"CHECK TYPE"))</f>
        <v/>
      </c>
      <c r="J399">
        <f>IF($A399="","",DATE(YEAR($A399),MONTH($A399),1))</f>
        <v/>
      </c>
    </row>
    <row r="400">
      <c r="A400" s="93" t="n"/>
      <c r="B400" s="95" t="n"/>
      <c r="C400" s="95" t="n"/>
      <c r="D400" s="94" t="n"/>
      <c r="E400" s="95" t="n"/>
      <c r="F400" s="98" t="n"/>
      <c r="G400" s="94" t="n"/>
      <c r="H400" s="94" t="n"/>
      <c r="I400" s="100">
        <f>IF($B400="","",IFERROR(INDEX(Setup!$B$99:$B$128,MATCH($B400,Setup!$A$99:$A$128,0)),"CHECK TYPE"))</f>
        <v/>
      </c>
      <c r="J400">
        <f>IF($A400="","",DATE(YEAR($A400),MONTH($A400),1))</f>
        <v/>
      </c>
    </row>
    <row r="401">
      <c r="A401" s="85" t="n"/>
      <c r="B401" s="87" t="n"/>
      <c r="C401" s="87" t="n"/>
      <c r="D401" s="86" t="n"/>
      <c r="E401" s="87" t="n"/>
      <c r="F401" s="91" t="n"/>
      <c r="G401" s="86" t="n"/>
      <c r="H401" s="86" t="n"/>
      <c r="I401" s="100">
        <f>IF($B401="","",IFERROR(INDEX(Setup!$B$99:$B$128,MATCH($B401,Setup!$A$99:$A$128,0)),"CHECK TYPE"))</f>
        <v/>
      </c>
      <c r="J401">
        <f>IF($A401="","",DATE(YEAR($A401),MONTH($A401),1))</f>
        <v/>
      </c>
    </row>
    <row r="402">
      <c r="A402" s="93" t="n"/>
      <c r="B402" s="95" t="n"/>
      <c r="C402" s="95" t="n"/>
      <c r="D402" s="94" t="n"/>
      <c r="E402" s="95" t="n"/>
      <c r="F402" s="98" t="n"/>
      <c r="G402" s="94" t="n"/>
      <c r="H402" s="94" t="n"/>
      <c r="I402" s="100">
        <f>IF($B402="","",IFERROR(INDEX(Setup!$B$99:$B$128,MATCH($B402,Setup!$A$99:$A$128,0)),"CHECK TYPE"))</f>
        <v/>
      </c>
      <c r="J402">
        <f>IF($A402="","",DATE(YEAR($A402),MONTH($A402),1))</f>
        <v/>
      </c>
    </row>
    <row r="403">
      <c r="A403" s="85" t="n"/>
      <c r="B403" s="87" t="n"/>
      <c r="C403" s="87" t="n"/>
      <c r="D403" s="86" t="n"/>
      <c r="E403" s="87" t="n"/>
      <c r="F403" s="91" t="n"/>
      <c r="G403" s="86" t="n"/>
      <c r="H403" s="86" t="n"/>
      <c r="I403" s="100">
        <f>IF($B403="","",IFERROR(INDEX(Setup!$B$99:$B$128,MATCH($B403,Setup!$A$99:$A$128,0)),"CHECK TYPE"))</f>
        <v/>
      </c>
      <c r="J403">
        <f>IF($A403="","",DATE(YEAR($A403),MONTH($A403),1))</f>
        <v/>
      </c>
    </row>
    <row r="404">
      <c r="A404" s="93" t="n"/>
      <c r="B404" s="95" t="n"/>
      <c r="C404" s="95" t="n"/>
      <c r="D404" s="94" t="n"/>
      <c r="E404" s="95" t="n"/>
      <c r="F404" s="98" t="n"/>
      <c r="G404" s="94" t="n"/>
      <c r="H404" s="94" t="n"/>
      <c r="I404" s="100">
        <f>IF($B404="","",IFERROR(INDEX(Setup!$B$99:$B$128,MATCH($B404,Setup!$A$99:$A$128,0)),"CHECK TYPE"))</f>
        <v/>
      </c>
      <c r="J404">
        <f>IF($A404="","",DATE(YEAR($A404),MONTH($A404),1))</f>
        <v/>
      </c>
    </row>
    <row r="405">
      <c r="A405" s="85" t="n"/>
      <c r="B405" s="87" t="n"/>
      <c r="C405" s="87" t="n"/>
      <c r="D405" s="86" t="n"/>
      <c r="E405" s="87" t="n"/>
      <c r="F405" s="91" t="n"/>
      <c r="G405" s="86" t="n"/>
      <c r="H405" s="86" t="n"/>
      <c r="I405" s="100">
        <f>IF($B405="","",IFERROR(INDEX(Setup!$B$99:$B$128,MATCH($B405,Setup!$A$99:$A$128,0)),"CHECK TYPE"))</f>
        <v/>
      </c>
      <c r="J405">
        <f>IF($A405="","",DATE(YEAR($A405),MONTH($A405),1))</f>
        <v/>
      </c>
    </row>
    <row r="406">
      <c r="A406" s="93" t="n"/>
      <c r="B406" s="95" t="n"/>
      <c r="C406" s="95" t="n"/>
      <c r="D406" s="94" t="n"/>
      <c r="E406" s="95" t="n"/>
      <c r="F406" s="98" t="n"/>
      <c r="G406" s="94" t="n"/>
      <c r="H406" s="94" t="n"/>
      <c r="I406" s="100">
        <f>IF($B406="","",IFERROR(INDEX(Setup!$B$99:$B$128,MATCH($B406,Setup!$A$99:$A$128,0)),"CHECK TYPE"))</f>
        <v/>
      </c>
      <c r="J406">
        <f>IF($A406="","",DATE(YEAR($A406),MONTH($A406),1))</f>
        <v/>
      </c>
    </row>
    <row r="407">
      <c r="A407" s="85" t="n"/>
      <c r="B407" s="87" t="n"/>
      <c r="C407" s="87" t="n"/>
      <c r="D407" s="86" t="n"/>
      <c r="E407" s="87" t="n"/>
      <c r="F407" s="91" t="n"/>
      <c r="G407" s="86" t="n"/>
      <c r="H407" s="86" t="n"/>
      <c r="I407" s="100">
        <f>IF($B407="","",IFERROR(INDEX(Setup!$B$99:$B$128,MATCH($B407,Setup!$A$99:$A$128,0)),"CHECK TYPE"))</f>
        <v/>
      </c>
      <c r="J407">
        <f>IF($A407="","",DATE(YEAR($A407),MONTH($A407),1))</f>
        <v/>
      </c>
    </row>
    <row r="408">
      <c r="A408" s="93" t="n"/>
      <c r="B408" s="95" t="n"/>
      <c r="C408" s="95" t="n"/>
      <c r="D408" s="94" t="n"/>
      <c r="E408" s="95" t="n"/>
      <c r="F408" s="98" t="n"/>
      <c r="G408" s="94" t="n"/>
      <c r="H408" s="94" t="n"/>
      <c r="I408" s="100">
        <f>IF($B408="","",IFERROR(INDEX(Setup!$B$99:$B$128,MATCH($B408,Setup!$A$99:$A$128,0)),"CHECK TYPE"))</f>
        <v/>
      </c>
      <c r="J408">
        <f>IF($A408="","",DATE(YEAR($A408),MONTH($A408),1))</f>
        <v/>
      </c>
    </row>
    <row r="409">
      <c r="A409" s="85" t="n"/>
      <c r="B409" s="87" t="n"/>
      <c r="C409" s="87" t="n"/>
      <c r="D409" s="86" t="n"/>
      <c r="E409" s="87" t="n"/>
      <c r="F409" s="91" t="n"/>
      <c r="G409" s="86" t="n"/>
      <c r="H409" s="86" t="n"/>
      <c r="I409" s="100">
        <f>IF($B409="","",IFERROR(INDEX(Setup!$B$99:$B$128,MATCH($B409,Setup!$A$99:$A$128,0)),"CHECK TYPE"))</f>
        <v/>
      </c>
      <c r="J409">
        <f>IF($A409="","",DATE(YEAR($A409),MONTH($A409),1))</f>
        <v/>
      </c>
    </row>
    <row r="410">
      <c r="A410" s="93" t="n"/>
      <c r="B410" s="95" t="n"/>
      <c r="C410" s="95" t="n"/>
      <c r="D410" s="94" t="n"/>
      <c r="E410" s="95" t="n"/>
      <c r="F410" s="98" t="n"/>
      <c r="G410" s="94" t="n"/>
      <c r="H410" s="94" t="n"/>
      <c r="I410" s="100">
        <f>IF($B410="","",IFERROR(INDEX(Setup!$B$99:$B$128,MATCH($B410,Setup!$A$99:$A$128,0)),"CHECK TYPE"))</f>
        <v/>
      </c>
      <c r="J410">
        <f>IF($A410="","",DATE(YEAR($A410),MONTH($A410),1))</f>
        <v/>
      </c>
    </row>
    <row r="411">
      <c r="A411" s="85" t="n"/>
      <c r="B411" s="87" t="n"/>
      <c r="C411" s="87" t="n"/>
      <c r="D411" s="86" t="n"/>
      <c r="E411" s="87" t="n"/>
      <c r="F411" s="91" t="n"/>
      <c r="G411" s="86" t="n"/>
      <c r="H411" s="86" t="n"/>
      <c r="I411" s="100">
        <f>IF($B411="","",IFERROR(INDEX(Setup!$B$99:$B$128,MATCH($B411,Setup!$A$99:$A$128,0)),"CHECK TYPE"))</f>
        <v/>
      </c>
      <c r="J411">
        <f>IF($A411="","",DATE(YEAR($A411),MONTH($A411),1))</f>
        <v/>
      </c>
    </row>
    <row r="412">
      <c r="A412" s="93" t="n"/>
      <c r="B412" s="95" t="n"/>
      <c r="C412" s="95" t="n"/>
      <c r="D412" s="94" t="n"/>
      <c r="E412" s="95" t="n"/>
      <c r="F412" s="98" t="n"/>
      <c r="G412" s="94" t="n"/>
      <c r="H412" s="94" t="n"/>
      <c r="I412" s="100">
        <f>IF($B412="","",IFERROR(INDEX(Setup!$B$99:$B$128,MATCH($B412,Setup!$A$99:$A$128,0)),"CHECK TYPE"))</f>
        <v/>
      </c>
      <c r="J412">
        <f>IF($A412="","",DATE(YEAR($A412),MONTH($A412),1))</f>
        <v/>
      </c>
    </row>
    <row r="413">
      <c r="A413" s="85" t="n"/>
      <c r="B413" s="87" t="n"/>
      <c r="C413" s="87" t="n"/>
      <c r="D413" s="86" t="n"/>
      <c r="E413" s="87" t="n"/>
      <c r="F413" s="91" t="n"/>
      <c r="G413" s="86" t="n"/>
      <c r="H413" s="86" t="n"/>
      <c r="I413" s="100">
        <f>IF($B413="","",IFERROR(INDEX(Setup!$B$99:$B$128,MATCH($B413,Setup!$A$99:$A$128,0)),"CHECK TYPE"))</f>
        <v/>
      </c>
      <c r="J413">
        <f>IF($A413="","",DATE(YEAR($A413),MONTH($A413),1))</f>
        <v/>
      </c>
    </row>
    <row r="414">
      <c r="A414" s="93" t="n"/>
      <c r="B414" s="95" t="n"/>
      <c r="C414" s="95" t="n"/>
      <c r="D414" s="94" t="n"/>
      <c r="E414" s="95" t="n"/>
      <c r="F414" s="98" t="n"/>
      <c r="G414" s="94" t="n"/>
      <c r="H414" s="94" t="n"/>
      <c r="I414" s="100">
        <f>IF($B414="","",IFERROR(INDEX(Setup!$B$99:$B$128,MATCH($B414,Setup!$A$99:$A$128,0)),"CHECK TYPE"))</f>
        <v/>
      </c>
      <c r="J414">
        <f>IF($A414="","",DATE(YEAR($A414),MONTH($A414),1))</f>
        <v/>
      </c>
    </row>
    <row r="415">
      <c r="A415" s="85" t="n"/>
      <c r="B415" s="87" t="n"/>
      <c r="C415" s="87" t="n"/>
      <c r="D415" s="86" t="n"/>
      <c r="E415" s="87" t="n"/>
      <c r="F415" s="91" t="n"/>
      <c r="G415" s="86" t="n"/>
      <c r="H415" s="86" t="n"/>
      <c r="I415" s="100">
        <f>IF($B415="","",IFERROR(INDEX(Setup!$B$99:$B$128,MATCH($B415,Setup!$A$99:$A$128,0)),"CHECK TYPE"))</f>
        <v/>
      </c>
      <c r="J415">
        <f>IF($A415="","",DATE(YEAR($A415),MONTH($A415),1))</f>
        <v/>
      </c>
    </row>
    <row r="416">
      <c r="A416" s="93" t="n"/>
      <c r="B416" s="95" t="n"/>
      <c r="C416" s="95" t="n"/>
      <c r="D416" s="94" t="n"/>
      <c r="E416" s="95" t="n"/>
      <c r="F416" s="98" t="n"/>
      <c r="G416" s="94" t="n"/>
      <c r="H416" s="94" t="n"/>
      <c r="I416" s="100">
        <f>IF($B416="","",IFERROR(INDEX(Setup!$B$99:$B$128,MATCH($B416,Setup!$A$99:$A$128,0)),"CHECK TYPE"))</f>
        <v/>
      </c>
      <c r="J416">
        <f>IF($A416="","",DATE(YEAR($A416),MONTH($A416),1))</f>
        <v/>
      </c>
    </row>
    <row r="417">
      <c r="A417" s="85" t="n"/>
      <c r="B417" s="87" t="n"/>
      <c r="C417" s="87" t="n"/>
      <c r="D417" s="86" t="n"/>
      <c r="E417" s="87" t="n"/>
      <c r="F417" s="91" t="n"/>
      <c r="G417" s="86" t="n"/>
      <c r="H417" s="86" t="n"/>
      <c r="I417" s="100">
        <f>IF($B417="","",IFERROR(INDEX(Setup!$B$99:$B$128,MATCH($B417,Setup!$A$99:$A$128,0)),"CHECK TYPE"))</f>
        <v/>
      </c>
      <c r="J417">
        <f>IF($A417="","",DATE(YEAR($A417),MONTH($A417),1))</f>
        <v/>
      </c>
    </row>
    <row r="418">
      <c r="A418" s="93" t="n"/>
      <c r="B418" s="95" t="n"/>
      <c r="C418" s="95" t="n"/>
      <c r="D418" s="94" t="n"/>
      <c r="E418" s="95" t="n"/>
      <c r="F418" s="98" t="n"/>
      <c r="G418" s="94" t="n"/>
      <c r="H418" s="94" t="n"/>
      <c r="I418" s="100">
        <f>IF($B418="","",IFERROR(INDEX(Setup!$B$99:$B$128,MATCH($B418,Setup!$A$99:$A$128,0)),"CHECK TYPE"))</f>
        <v/>
      </c>
      <c r="J418">
        <f>IF($A418="","",DATE(YEAR($A418),MONTH($A418),1))</f>
        <v/>
      </c>
    </row>
    <row r="419">
      <c r="A419" s="85" t="n"/>
      <c r="B419" s="87" t="n"/>
      <c r="C419" s="87" t="n"/>
      <c r="D419" s="86" t="n"/>
      <c r="E419" s="87" t="n"/>
      <c r="F419" s="91" t="n"/>
      <c r="G419" s="86" t="n"/>
      <c r="H419" s="86" t="n"/>
      <c r="I419" s="100">
        <f>IF($B419="","",IFERROR(INDEX(Setup!$B$99:$B$128,MATCH($B419,Setup!$A$99:$A$128,0)),"CHECK TYPE"))</f>
        <v/>
      </c>
      <c r="J419">
        <f>IF($A419="","",DATE(YEAR($A419),MONTH($A419),1))</f>
        <v/>
      </c>
    </row>
    <row r="420">
      <c r="A420" s="93" t="n"/>
      <c r="B420" s="95" t="n"/>
      <c r="C420" s="95" t="n"/>
      <c r="D420" s="94" t="n"/>
      <c r="E420" s="95" t="n"/>
      <c r="F420" s="98" t="n"/>
      <c r="G420" s="94" t="n"/>
      <c r="H420" s="94" t="n"/>
      <c r="I420" s="100">
        <f>IF($B420="","",IFERROR(INDEX(Setup!$B$99:$B$128,MATCH($B420,Setup!$A$99:$A$128,0)),"CHECK TYPE"))</f>
        <v/>
      </c>
      <c r="J420">
        <f>IF($A420="","",DATE(YEAR($A420),MONTH($A420),1))</f>
        <v/>
      </c>
    </row>
    <row r="421">
      <c r="A421" s="85" t="n"/>
      <c r="B421" s="87" t="n"/>
      <c r="C421" s="87" t="n"/>
      <c r="D421" s="86" t="n"/>
      <c r="E421" s="87" t="n"/>
      <c r="F421" s="91" t="n"/>
      <c r="G421" s="86" t="n"/>
      <c r="H421" s="86" t="n"/>
      <c r="I421" s="100">
        <f>IF($B421="","",IFERROR(INDEX(Setup!$B$99:$B$128,MATCH($B421,Setup!$A$99:$A$128,0)),"CHECK TYPE"))</f>
        <v/>
      </c>
      <c r="J421">
        <f>IF($A421="","",DATE(YEAR($A421),MONTH($A421),1))</f>
        <v/>
      </c>
    </row>
    <row r="422">
      <c r="A422" s="93" t="n"/>
      <c r="B422" s="95" t="n"/>
      <c r="C422" s="95" t="n"/>
      <c r="D422" s="94" t="n"/>
      <c r="E422" s="95" t="n"/>
      <c r="F422" s="98" t="n"/>
      <c r="G422" s="94" t="n"/>
      <c r="H422" s="94" t="n"/>
      <c r="I422" s="100">
        <f>IF($B422="","",IFERROR(INDEX(Setup!$B$99:$B$128,MATCH($B422,Setup!$A$99:$A$128,0)),"CHECK TYPE"))</f>
        <v/>
      </c>
      <c r="J422">
        <f>IF($A422="","",DATE(YEAR($A422),MONTH($A422),1))</f>
        <v/>
      </c>
    </row>
    <row r="423">
      <c r="A423" s="85" t="n"/>
      <c r="B423" s="87" t="n"/>
      <c r="C423" s="87" t="n"/>
      <c r="D423" s="86" t="n"/>
      <c r="E423" s="87" t="n"/>
      <c r="F423" s="91" t="n"/>
      <c r="G423" s="86" t="n"/>
      <c r="H423" s="86" t="n"/>
      <c r="I423" s="100">
        <f>IF($B423="","",IFERROR(INDEX(Setup!$B$99:$B$128,MATCH($B423,Setup!$A$99:$A$128,0)),"CHECK TYPE"))</f>
        <v/>
      </c>
      <c r="J423">
        <f>IF($A423="","",DATE(YEAR($A423),MONTH($A423),1))</f>
        <v/>
      </c>
    </row>
    <row r="424">
      <c r="A424" s="93" t="n"/>
      <c r="B424" s="95" t="n"/>
      <c r="C424" s="95" t="n"/>
      <c r="D424" s="94" t="n"/>
      <c r="E424" s="95" t="n"/>
      <c r="F424" s="98" t="n"/>
      <c r="G424" s="94" t="n"/>
      <c r="H424" s="94" t="n"/>
      <c r="I424" s="100">
        <f>IF($B424="","",IFERROR(INDEX(Setup!$B$99:$B$128,MATCH($B424,Setup!$A$99:$A$128,0)),"CHECK TYPE"))</f>
        <v/>
      </c>
      <c r="J424">
        <f>IF($A424="","",DATE(YEAR($A424),MONTH($A424),1))</f>
        <v/>
      </c>
    </row>
    <row r="425">
      <c r="A425" s="85" t="n"/>
      <c r="B425" s="87" t="n"/>
      <c r="C425" s="87" t="n"/>
      <c r="D425" s="86" t="n"/>
      <c r="E425" s="87" t="n"/>
      <c r="F425" s="91" t="n"/>
      <c r="G425" s="86" t="n"/>
      <c r="H425" s="86" t="n"/>
      <c r="I425" s="100">
        <f>IF($B425="","",IFERROR(INDEX(Setup!$B$99:$B$128,MATCH($B425,Setup!$A$99:$A$128,0)),"CHECK TYPE"))</f>
        <v/>
      </c>
      <c r="J425">
        <f>IF($A425="","",DATE(YEAR($A425),MONTH($A425),1))</f>
        <v/>
      </c>
    </row>
    <row r="426">
      <c r="A426" s="93" t="n"/>
      <c r="B426" s="95" t="n"/>
      <c r="C426" s="95" t="n"/>
      <c r="D426" s="94" t="n"/>
      <c r="E426" s="95" t="n"/>
      <c r="F426" s="98" t="n"/>
      <c r="G426" s="94" t="n"/>
      <c r="H426" s="94" t="n"/>
      <c r="I426" s="100">
        <f>IF($B426="","",IFERROR(INDEX(Setup!$B$99:$B$128,MATCH($B426,Setup!$A$99:$A$128,0)),"CHECK TYPE"))</f>
        <v/>
      </c>
      <c r="J426">
        <f>IF($A426="","",DATE(YEAR($A426),MONTH($A426),1))</f>
        <v/>
      </c>
    </row>
    <row r="427">
      <c r="A427" s="85" t="n"/>
      <c r="B427" s="87" t="n"/>
      <c r="C427" s="87" t="n"/>
      <c r="D427" s="86" t="n"/>
      <c r="E427" s="87" t="n"/>
      <c r="F427" s="91" t="n"/>
      <c r="G427" s="86" t="n"/>
      <c r="H427" s="86" t="n"/>
      <c r="I427" s="100">
        <f>IF($B427="","",IFERROR(INDEX(Setup!$B$99:$B$128,MATCH($B427,Setup!$A$99:$A$128,0)),"CHECK TYPE"))</f>
        <v/>
      </c>
      <c r="J427">
        <f>IF($A427="","",DATE(YEAR($A427),MONTH($A427),1))</f>
        <v/>
      </c>
    </row>
    <row r="428">
      <c r="A428" s="93" t="n"/>
      <c r="B428" s="95" t="n"/>
      <c r="C428" s="95" t="n"/>
      <c r="D428" s="94" t="n"/>
      <c r="E428" s="95" t="n"/>
      <c r="F428" s="98" t="n"/>
      <c r="G428" s="94" t="n"/>
      <c r="H428" s="94" t="n"/>
      <c r="I428" s="100">
        <f>IF($B428="","",IFERROR(INDEX(Setup!$B$99:$B$128,MATCH($B428,Setup!$A$99:$A$128,0)),"CHECK TYPE"))</f>
        <v/>
      </c>
      <c r="J428">
        <f>IF($A428="","",DATE(YEAR($A428),MONTH($A428),1))</f>
        <v/>
      </c>
    </row>
    <row r="429">
      <c r="A429" s="85" t="n"/>
      <c r="B429" s="87" t="n"/>
      <c r="C429" s="87" t="n"/>
      <c r="D429" s="86" t="n"/>
      <c r="E429" s="87" t="n"/>
      <c r="F429" s="91" t="n"/>
      <c r="G429" s="86" t="n"/>
      <c r="H429" s="86" t="n"/>
      <c r="I429" s="100">
        <f>IF($B429="","",IFERROR(INDEX(Setup!$B$99:$B$128,MATCH($B429,Setup!$A$99:$A$128,0)),"CHECK TYPE"))</f>
        <v/>
      </c>
      <c r="J429">
        <f>IF($A429="","",DATE(YEAR($A429),MONTH($A429),1))</f>
        <v/>
      </c>
    </row>
    <row r="430">
      <c r="A430" s="93" t="n"/>
      <c r="B430" s="95" t="n"/>
      <c r="C430" s="95" t="n"/>
      <c r="D430" s="94" t="n"/>
      <c r="E430" s="95" t="n"/>
      <c r="F430" s="98" t="n"/>
      <c r="G430" s="94" t="n"/>
      <c r="H430" s="94" t="n"/>
      <c r="I430" s="100">
        <f>IF($B430="","",IFERROR(INDEX(Setup!$B$99:$B$128,MATCH($B430,Setup!$A$99:$A$128,0)),"CHECK TYPE"))</f>
        <v/>
      </c>
      <c r="J430">
        <f>IF($A430="","",DATE(YEAR($A430),MONTH($A430),1))</f>
        <v/>
      </c>
    </row>
    <row r="431">
      <c r="A431" s="85" t="n"/>
      <c r="B431" s="87" t="n"/>
      <c r="C431" s="87" t="n"/>
      <c r="D431" s="86" t="n"/>
      <c r="E431" s="87" t="n"/>
      <c r="F431" s="91" t="n"/>
      <c r="G431" s="86" t="n"/>
      <c r="H431" s="86" t="n"/>
      <c r="I431" s="100">
        <f>IF($B431="","",IFERROR(INDEX(Setup!$B$99:$B$128,MATCH($B431,Setup!$A$99:$A$128,0)),"CHECK TYPE"))</f>
        <v/>
      </c>
      <c r="J431">
        <f>IF($A431="","",DATE(YEAR($A431),MONTH($A431),1))</f>
        <v/>
      </c>
    </row>
    <row r="432">
      <c r="A432" s="93" t="n"/>
      <c r="B432" s="95" t="n"/>
      <c r="C432" s="95" t="n"/>
      <c r="D432" s="94" t="n"/>
      <c r="E432" s="95" t="n"/>
      <c r="F432" s="98" t="n"/>
      <c r="G432" s="94" t="n"/>
      <c r="H432" s="94" t="n"/>
      <c r="I432" s="100">
        <f>IF($B432="","",IFERROR(INDEX(Setup!$B$99:$B$128,MATCH($B432,Setup!$A$99:$A$128,0)),"CHECK TYPE"))</f>
        <v/>
      </c>
      <c r="J432">
        <f>IF($A432="","",DATE(YEAR($A432),MONTH($A432),1))</f>
        <v/>
      </c>
    </row>
    <row r="433">
      <c r="A433" s="85" t="n"/>
      <c r="B433" s="87" t="n"/>
      <c r="C433" s="87" t="n"/>
      <c r="D433" s="86" t="n"/>
      <c r="E433" s="87" t="n"/>
      <c r="F433" s="91" t="n"/>
      <c r="G433" s="86" t="n"/>
      <c r="H433" s="86" t="n"/>
      <c r="I433" s="100">
        <f>IF($B433="","",IFERROR(INDEX(Setup!$B$99:$B$128,MATCH($B433,Setup!$A$99:$A$128,0)),"CHECK TYPE"))</f>
        <v/>
      </c>
      <c r="J433">
        <f>IF($A433="","",DATE(YEAR($A433),MONTH($A433),1))</f>
        <v/>
      </c>
    </row>
    <row r="434">
      <c r="A434" s="93" t="n"/>
      <c r="B434" s="95" t="n"/>
      <c r="C434" s="95" t="n"/>
      <c r="D434" s="94" t="n"/>
      <c r="E434" s="95" t="n"/>
      <c r="F434" s="98" t="n"/>
      <c r="G434" s="94" t="n"/>
      <c r="H434" s="94" t="n"/>
      <c r="I434" s="100">
        <f>IF($B434="","",IFERROR(INDEX(Setup!$B$99:$B$128,MATCH($B434,Setup!$A$99:$A$128,0)),"CHECK TYPE"))</f>
        <v/>
      </c>
      <c r="J434">
        <f>IF($A434="","",DATE(YEAR($A434),MONTH($A434),1))</f>
        <v/>
      </c>
    </row>
    <row r="435">
      <c r="A435" s="85" t="n"/>
      <c r="B435" s="87" t="n"/>
      <c r="C435" s="87" t="n"/>
      <c r="D435" s="86" t="n"/>
      <c r="E435" s="87" t="n"/>
      <c r="F435" s="91" t="n"/>
      <c r="G435" s="86" t="n"/>
      <c r="H435" s="86" t="n"/>
      <c r="I435" s="100">
        <f>IF($B435="","",IFERROR(INDEX(Setup!$B$99:$B$128,MATCH($B435,Setup!$A$99:$A$128,0)),"CHECK TYPE"))</f>
        <v/>
      </c>
      <c r="J435">
        <f>IF($A435="","",DATE(YEAR($A435),MONTH($A435),1))</f>
        <v/>
      </c>
    </row>
    <row r="436">
      <c r="A436" s="93" t="n"/>
      <c r="B436" s="95" t="n"/>
      <c r="C436" s="95" t="n"/>
      <c r="D436" s="94" t="n"/>
      <c r="E436" s="95" t="n"/>
      <c r="F436" s="98" t="n"/>
      <c r="G436" s="94" t="n"/>
      <c r="H436" s="94" t="n"/>
      <c r="I436" s="100">
        <f>IF($B436="","",IFERROR(INDEX(Setup!$B$99:$B$128,MATCH($B436,Setup!$A$99:$A$128,0)),"CHECK TYPE"))</f>
        <v/>
      </c>
      <c r="J436">
        <f>IF($A436="","",DATE(YEAR($A436),MONTH($A436),1))</f>
        <v/>
      </c>
    </row>
    <row r="437">
      <c r="A437" s="85" t="n"/>
      <c r="B437" s="87" t="n"/>
      <c r="C437" s="87" t="n"/>
      <c r="D437" s="86" t="n"/>
      <c r="E437" s="87" t="n"/>
      <c r="F437" s="91" t="n"/>
      <c r="G437" s="86" t="n"/>
      <c r="H437" s="86" t="n"/>
      <c r="I437" s="100">
        <f>IF($B437="","",IFERROR(INDEX(Setup!$B$99:$B$128,MATCH($B437,Setup!$A$99:$A$128,0)),"CHECK TYPE"))</f>
        <v/>
      </c>
      <c r="J437">
        <f>IF($A437="","",DATE(YEAR($A437),MONTH($A437),1))</f>
        <v/>
      </c>
    </row>
    <row r="438">
      <c r="A438" s="93" t="n"/>
      <c r="B438" s="95" t="n"/>
      <c r="C438" s="95" t="n"/>
      <c r="D438" s="94" t="n"/>
      <c r="E438" s="95" t="n"/>
      <c r="F438" s="98" t="n"/>
      <c r="G438" s="94" t="n"/>
      <c r="H438" s="94" t="n"/>
      <c r="I438" s="100">
        <f>IF($B438="","",IFERROR(INDEX(Setup!$B$99:$B$128,MATCH($B438,Setup!$A$99:$A$128,0)),"CHECK TYPE"))</f>
        <v/>
      </c>
      <c r="J438">
        <f>IF($A438="","",DATE(YEAR($A438),MONTH($A438),1))</f>
        <v/>
      </c>
    </row>
    <row r="439">
      <c r="A439" s="85" t="n"/>
      <c r="B439" s="87" t="n"/>
      <c r="C439" s="87" t="n"/>
      <c r="D439" s="86" t="n"/>
      <c r="E439" s="87" t="n"/>
      <c r="F439" s="91" t="n"/>
      <c r="G439" s="86" t="n"/>
      <c r="H439" s="86" t="n"/>
      <c r="I439" s="100">
        <f>IF($B439="","",IFERROR(INDEX(Setup!$B$99:$B$128,MATCH($B439,Setup!$A$99:$A$128,0)),"CHECK TYPE"))</f>
        <v/>
      </c>
      <c r="J439">
        <f>IF($A439="","",DATE(YEAR($A439),MONTH($A439),1))</f>
        <v/>
      </c>
    </row>
    <row r="440">
      <c r="A440" s="93" t="n"/>
      <c r="B440" s="95" t="n"/>
      <c r="C440" s="95" t="n"/>
      <c r="D440" s="94" t="n"/>
      <c r="E440" s="95" t="n"/>
      <c r="F440" s="98" t="n"/>
      <c r="G440" s="94" t="n"/>
      <c r="H440" s="94" t="n"/>
      <c r="I440" s="100">
        <f>IF($B440="","",IFERROR(INDEX(Setup!$B$99:$B$128,MATCH($B440,Setup!$A$99:$A$128,0)),"CHECK TYPE"))</f>
        <v/>
      </c>
      <c r="J440">
        <f>IF($A440="","",DATE(YEAR($A440),MONTH($A440),1))</f>
        <v/>
      </c>
    </row>
    <row r="441">
      <c r="A441" s="85" t="n"/>
      <c r="B441" s="87" t="n"/>
      <c r="C441" s="87" t="n"/>
      <c r="D441" s="86" t="n"/>
      <c r="E441" s="87" t="n"/>
      <c r="F441" s="91" t="n"/>
      <c r="G441" s="86" t="n"/>
      <c r="H441" s="86" t="n"/>
      <c r="I441" s="100">
        <f>IF($B441="","",IFERROR(INDEX(Setup!$B$99:$B$128,MATCH($B441,Setup!$A$99:$A$128,0)),"CHECK TYPE"))</f>
        <v/>
      </c>
      <c r="J441">
        <f>IF($A441="","",DATE(YEAR($A441),MONTH($A441),1))</f>
        <v/>
      </c>
    </row>
    <row r="442">
      <c r="A442" s="93" t="n"/>
      <c r="B442" s="95" t="n"/>
      <c r="C442" s="95" t="n"/>
      <c r="D442" s="94" t="n"/>
      <c r="E442" s="95" t="n"/>
      <c r="F442" s="98" t="n"/>
      <c r="G442" s="94" t="n"/>
      <c r="H442" s="94" t="n"/>
      <c r="I442" s="100">
        <f>IF($B442="","",IFERROR(INDEX(Setup!$B$99:$B$128,MATCH($B442,Setup!$A$99:$A$128,0)),"CHECK TYPE"))</f>
        <v/>
      </c>
      <c r="J442">
        <f>IF($A442="","",DATE(YEAR($A442),MONTH($A442),1))</f>
        <v/>
      </c>
    </row>
    <row r="443">
      <c r="A443" s="85" t="n"/>
      <c r="B443" s="87" t="n"/>
      <c r="C443" s="87" t="n"/>
      <c r="D443" s="86" t="n"/>
      <c r="E443" s="87" t="n"/>
      <c r="F443" s="91" t="n"/>
      <c r="G443" s="86" t="n"/>
      <c r="H443" s="86" t="n"/>
      <c r="I443" s="100">
        <f>IF($B443="","",IFERROR(INDEX(Setup!$B$99:$B$128,MATCH($B443,Setup!$A$99:$A$128,0)),"CHECK TYPE"))</f>
        <v/>
      </c>
      <c r="J443">
        <f>IF($A443="","",DATE(YEAR($A443),MONTH($A443),1))</f>
        <v/>
      </c>
    </row>
    <row r="444">
      <c r="A444" s="93" t="n"/>
      <c r="B444" s="95" t="n"/>
      <c r="C444" s="95" t="n"/>
      <c r="D444" s="94" t="n"/>
      <c r="E444" s="95" t="n"/>
      <c r="F444" s="98" t="n"/>
      <c r="G444" s="94" t="n"/>
      <c r="H444" s="94" t="n"/>
      <c r="I444" s="100">
        <f>IF($B444="","",IFERROR(INDEX(Setup!$B$99:$B$128,MATCH($B444,Setup!$A$99:$A$128,0)),"CHECK TYPE"))</f>
        <v/>
      </c>
      <c r="J444">
        <f>IF($A444="","",DATE(YEAR($A444),MONTH($A444),1))</f>
        <v/>
      </c>
    </row>
    <row r="445">
      <c r="A445" s="85" t="n"/>
      <c r="B445" s="87" t="n"/>
      <c r="C445" s="87" t="n"/>
      <c r="D445" s="86" t="n"/>
      <c r="E445" s="87" t="n"/>
      <c r="F445" s="91" t="n"/>
      <c r="G445" s="86" t="n"/>
      <c r="H445" s="86" t="n"/>
      <c r="I445" s="100">
        <f>IF($B445="","",IFERROR(INDEX(Setup!$B$99:$B$128,MATCH($B445,Setup!$A$99:$A$128,0)),"CHECK TYPE"))</f>
        <v/>
      </c>
      <c r="J445">
        <f>IF($A445="","",DATE(YEAR($A445),MONTH($A445),1))</f>
        <v/>
      </c>
    </row>
    <row r="446">
      <c r="A446" s="93" t="n"/>
      <c r="B446" s="95" t="n"/>
      <c r="C446" s="95" t="n"/>
      <c r="D446" s="94" t="n"/>
      <c r="E446" s="95" t="n"/>
      <c r="F446" s="98" t="n"/>
      <c r="G446" s="94" t="n"/>
      <c r="H446" s="94" t="n"/>
      <c r="I446" s="100">
        <f>IF($B446="","",IFERROR(INDEX(Setup!$B$99:$B$128,MATCH($B446,Setup!$A$99:$A$128,0)),"CHECK TYPE"))</f>
        <v/>
      </c>
      <c r="J446">
        <f>IF($A446="","",DATE(YEAR($A446),MONTH($A446),1))</f>
        <v/>
      </c>
    </row>
    <row r="447">
      <c r="A447" s="85" t="n"/>
      <c r="B447" s="87" t="n"/>
      <c r="C447" s="87" t="n"/>
      <c r="D447" s="86" t="n"/>
      <c r="E447" s="87" t="n"/>
      <c r="F447" s="91" t="n"/>
      <c r="G447" s="86" t="n"/>
      <c r="H447" s="86" t="n"/>
      <c r="I447" s="100">
        <f>IF($B447="","",IFERROR(INDEX(Setup!$B$99:$B$128,MATCH($B447,Setup!$A$99:$A$128,0)),"CHECK TYPE"))</f>
        <v/>
      </c>
      <c r="J447">
        <f>IF($A447="","",DATE(YEAR($A447),MONTH($A447),1))</f>
        <v/>
      </c>
    </row>
    <row r="448">
      <c r="A448" s="93" t="n"/>
      <c r="B448" s="95" t="n"/>
      <c r="C448" s="95" t="n"/>
      <c r="D448" s="94" t="n"/>
      <c r="E448" s="95" t="n"/>
      <c r="F448" s="98" t="n"/>
      <c r="G448" s="94" t="n"/>
      <c r="H448" s="94" t="n"/>
      <c r="I448" s="100">
        <f>IF($B448="","",IFERROR(INDEX(Setup!$B$99:$B$128,MATCH($B448,Setup!$A$99:$A$128,0)),"CHECK TYPE"))</f>
        <v/>
      </c>
      <c r="J448">
        <f>IF($A448="","",DATE(YEAR($A448),MONTH($A448),1))</f>
        <v/>
      </c>
    </row>
    <row r="449">
      <c r="A449" s="85" t="n"/>
      <c r="B449" s="87" t="n"/>
      <c r="C449" s="87" t="n"/>
      <c r="D449" s="86" t="n"/>
      <c r="E449" s="87" t="n"/>
      <c r="F449" s="91" t="n"/>
      <c r="G449" s="86" t="n"/>
      <c r="H449" s="86" t="n"/>
      <c r="I449" s="100">
        <f>IF($B449="","",IFERROR(INDEX(Setup!$B$99:$B$128,MATCH($B449,Setup!$A$99:$A$128,0)),"CHECK TYPE"))</f>
        <v/>
      </c>
      <c r="J449">
        <f>IF($A449="","",DATE(YEAR($A449),MONTH($A449),1))</f>
        <v/>
      </c>
    </row>
    <row r="450">
      <c r="A450" s="93" t="n"/>
      <c r="B450" s="95" t="n"/>
      <c r="C450" s="95" t="n"/>
      <c r="D450" s="94" t="n"/>
      <c r="E450" s="95" t="n"/>
      <c r="F450" s="98" t="n"/>
      <c r="G450" s="94" t="n"/>
      <c r="H450" s="94" t="n"/>
      <c r="I450" s="100">
        <f>IF($B450="","",IFERROR(INDEX(Setup!$B$99:$B$128,MATCH($B450,Setup!$A$99:$A$128,0)),"CHECK TYPE"))</f>
        <v/>
      </c>
      <c r="J450">
        <f>IF($A450="","",DATE(YEAR($A450),MONTH($A450),1))</f>
        <v/>
      </c>
    </row>
    <row r="451">
      <c r="A451" s="85" t="n"/>
      <c r="B451" s="87" t="n"/>
      <c r="C451" s="87" t="n"/>
      <c r="D451" s="86" t="n"/>
      <c r="E451" s="87" t="n"/>
      <c r="F451" s="91" t="n"/>
      <c r="G451" s="86" t="n"/>
      <c r="H451" s="86" t="n"/>
      <c r="I451" s="100">
        <f>IF($B451="","",IFERROR(INDEX(Setup!$B$99:$B$128,MATCH($B451,Setup!$A$99:$A$128,0)),"CHECK TYPE"))</f>
        <v/>
      </c>
      <c r="J451">
        <f>IF($A451="","",DATE(YEAR($A451),MONTH($A451),1))</f>
        <v/>
      </c>
    </row>
    <row r="452">
      <c r="A452" s="93" t="n"/>
      <c r="B452" s="95" t="n"/>
      <c r="C452" s="95" t="n"/>
      <c r="D452" s="94" t="n"/>
      <c r="E452" s="95" t="n"/>
      <c r="F452" s="98" t="n"/>
      <c r="G452" s="94" t="n"/>
      <c r="H452" s="94" t="n"/>
      <c r="I452" s="100">
        <f>IF($B452="","",IFERROR(INDEX(Setup!$B$99:$B$128,MATCH($B452,Setup!$A$99:$A$128,0)),"CHECK TYPE"))</f>
        <v/>
      </c>
      <c r="J452">
        <f>IF($A452="","",DATE(YEAR($A452),MONTH($A452),1))</f>
        <v/>
      </c>
    </row>
    <row r="453">
      <c r="A453" s="85" t="n"/>
      <c r="B453" s="87" t="n"/>
      <c r="C453" s="87" t="n"/>
      <c r="D453" s="86" t="n"/>
      <c r="E453" s="87" t="n"/>
      <c r="F453" s="91" t="n"/>
      <c r="G453" s="86" t="n"/>
      <c r="H453" s="86" t="n"/>
      <c r="I453" s="100">
        <f>IF($B453="","",IFERROR(INDEX(Setup!$B$99:$B$128,MATCH($B453,Setup!$A$99:$A$128,0)),"CHECK TYPE"))</f>
        <v/>
      </c>
      <c r="J453">
        <f>IF($A453="","",DATE(YEAR($A453),MONTH($A453),1))</f>
        <v/>
      </c>
    </row>
    <row r="454">
      <c r="A454" s="93" t="n"/>
      <c r="B454" s="95" t="n"/>
      <c r="C454" s="95" t="n"/>
      <c r="D454" s="94" t="n"/>
      <c r="E454" s="95" t="n"/>
      <c r="F454" s="98" t="n"/>
      <c r="G454" s="94" t="n"/>
      <c r="H454" s="94" t="n"/>
      <c r="I454" s="100">
        <f>IF($B454="","",IFERROR(INDEX(Setup!$B$99:$B$128,MATCH($B454,Setup!$A$99:$A$128,0)),"CHECK TYPE"))</f>
        <v/>
      </c>
      <c r="J454">
        <f>IF($A454="","",DATE(YEAR($A454),MONTH($A454),1))</f>
        <v/>
      </c>
    </row>
    <row r="455">
      <c r="A455" s="85" t="n"/>
      <c r="B455" s="87" t="n"/>
      <c r="C455" s="87" t="n"/>
      <c r="D455" s="86" t="n"/>
      <c r="E455" s="87" t="n"/>
      <c r="F455" s="91" t="n"/>
      <c r="G455" s="86" t="n"/>
      <c r="H455" s="86" t="n"/>
      <c r="I455" s="100">
        <f>IF($B455="","",IFERROR(INDEX(Setup!$B$99:$B$128,MATCH($B455,Setup!$A$99:$A$128,0)),"CHECK TYPE"))</f>
        <v/>
      </c>
      <c r="J455">
        <f>IF($A455="","",DATE(YEAR($A455),MONTH($A455),1))</f>
        <v/>
      </c>
    </row>
    <row r="456">
      <c r="A456" s="93" t="n"/>
      <c r="B456" s="95" t="n"/>
      <c r="C456" s="95" t="n"/>
      <c r="D456" s="94" t="n"/>
      <c r="E456" s="95" t="n"/>
      <c r="F456" s="98" t="n"/>
      <c r="G456" s="94" t="n"/>
      <c r="H456" s="94" t="n"/>
      <c r="I456" s="100">
        <f>IF($B456="","",IFERROR(INDEX(Setup!$B$99:$B$128,MATCH($B456,Setup!$A$99:$A$128,0)),"CHECK TYPE"))</f>
        <v/>
      </c>
      <c r="J456">
        <f>IF($A456="","",DATE(YEAR($A456),MONTH($A456),1))</f>
        <v/>
      </c>
    </row>
    <row r="457">
      <c r="A457" s="85" t="n"/>
      <c r="B457" s="87" t="n"/>
      <c r="C457" s="87" t="n"/>
      <c r="D457" s="86" t="n"/>
      <c r="E457" s="87" t="n"/>
      <c r="F457" s="91" t="n"/>
      <c r="G457" s="86" t="n"/>
      <c r="H457" s="86" t="n"/>
      <c r="I457" s="100">
        <f>IF($B457="","",IFERROR(INDEX(Setup!$B$99:$B$128,MATCH($B457,Setup!$A$99:$A$128,0)),"CHECK TYPE"))</f>
        <v/>
      </c>
      <c r="J457">
        <f>IF($A457="","",DATE(YEAR($A457),MONTH($A457),1))</f>
        <v/>
      </c>
    </row>
    <row r="458">
      <c r="A458" s="93" t="n"/>
      <c r="B458" s="95" t="n"/>
      <c r="C458" s="95" t="n"/>
      <c r="D458" s="94" t="n"/>
      <c r="E458" s="95" t="n"/>
      <c r="F458" s="98" t="n"/>
      <c r="G458" s="94" t="n"/>
      <c r="H458" s="94" t="n"/>
      <c r="I458" s="100">
        <f>IF($B458="","",IFERROR(INDEX(Setup!$B$99:$B$128,MATCH($B458,Setup!$A$99:$A$128,0)),"CHECK TYPE"))</f>
        <v/>
      </c>
      <c r="J458">
        <f>IF($A458="","",DATE(YEAR($A458),MONTH($A458),1))</f>
        <v/>
      </c>
    </row>
    <row r="459">
      <c r="A459" s="85" t="n"/>
      <c r="B459" s="87" t="n"/>
      <c r="C459" s="87" t="n"/>
      <c r="D459" s="86" t="n"/>
      <c r="E459" s="87" t="n"/>
      <c r="F459" s="91" t="n"/>
      <c r="G459" s="86" t="n"/>
      <c r="H459" s="86" t="n"/>
      <c r="I459" s="100">
        <f>IF($B459="","",IFERROR(INDEX(Setup!$B$99:$B$128,MATCH($B459,Setup!$A$99:$A$128,0)),"CHECK TYPE"))</f>
        <v/>
      </c>
      <c r="J459">
        <f>IF($A459="","",DATE(YEAR($A459),MONTH($A459),1))</f>
        <v/>
      </c>
    </row>
    <row r="460">
      <c r="A460" s="93" t="n"/>
      <c r="B460" s="95" t="n"/>
      <c r="C460" s="95" t="n"/>
      <c r="D460" s="94" t="n"/>
      <c r="E460" s="95" t="n"/>
      <c r="F460" s="98" t="n"/>
      <c r="G460" s="94" t="n"/>
      <c r="H460" s="94" t="n"/>
      <c r="I460" s="100">
        <f>IF($B460="","",IFERROR(INDEX(Setup!$B$99:$B$128,MATCH($B460,Setup!$A$99:$A$128,0)),"CHECK TYPE"))</f>
        <v/>
      </c>
      <c r="J460">
        <f>IF($A460="","",DATE(YEAR($A460),MONTH($A460),1))</f>
        <v/>
      </c>
    </row>
    <row r="461">
      <c r="A461" s="85" t="n"/>
      <c r="B461" s="87" t="n"/>
      <c r="C461" s="87" t="n"/>
      <c r="D461" s="86" t="n"/>
      <c r="E461" s="87" t="n"/>
      <c r="F461" s="91" t="n"/>
      <c r="G461" s="86" t="n"/>
      <c r="H461" s="86" t="n"/>
      <c r="I461" s="100">
        <f>IF($B461="","",IFERROR(INDEX(Setup!$B$99:$B$128,MATCH($B461,Setup!$A$99:$A$128,0)),"CHECK TYPE"))</f>
        <v/>
      </c>
      <c r="J461">
        <f>IF($A461="","",DATE(YEAR($A461),MONTH($A461),1))</f>
        <v/>
      </c>
    </row>
    <row r="462">
      <c r="A462" s="93" t="n"/>
      <c r="B462" s="95" t="n"/>
      <c r="C462" s="95" t="n"/>
      <c r="D462" s="94" t="n"/>
      <c r="E462" s="95" t="n"/>
      <c r="F462" s="98" t="n"/>
      <c r="G462" s="94" t="n"/>
      <c r="H462" s="94" t="n"/>
      <c r="I462" s="100">
        <f>IF($B462="","",IFERROR(INDEX(Setup!$B$99:$B$128,MATCH($B462,Setup!$A$99:$A$128,0)),"CHECK TYPE"))</f>
        <v/>
      </c>
      <c r="J462">
        <f>IF($A462="","",DATE(YEAR($A462),MONTH($A462),1))</f>
        <v/>
      </c>
    </row>
    <row r="463">
      <c r="A463" s="85" t="n"/>
      <c r="B463" s="87" t="n"/>
      <c r="C463" s="87" t="n"/>
      <c r="D463" s="86" t="n"/>
      <c r="E463" s="87" t="n"/>
      <c r="F463" s="91" t="n"/>
      <c r="G463" s="86" t="n"/>
      <c r="H463" s="86" t="n"/>
      <c r="I463" s="100">
        <f>IF($B463="","",IFERROR(INDEX(Setup!$B$99:$B$128,MATCH($B463,Setup!$A$99:$A$128,0)),"CHECK TYPE"))</f>
        <v/>
      </c>
      <c r="J463">
        <f>IF($A463="","",DATE(YEAR($A463),MONTH($A463),1))</f>
        <v/>
      </c>
    </row>
    <row r="464">
      <c r="A464" s="93" t="n"/>
      <c r="B464" s="95" t="n"/>
      <c r="C464" s="95" t="n"/>
      <c r="D464" s="94" t="n"/>
      <c r="E464" s="95" t="n"/>
      <c r="F464" s="98" t="n"/>
      <c r="G464" s="94" t="n"/>
      <c r="H464" s="94" t="n"/>
      <c r="I464" s="100">
        <f>IF($B464="","",IFERROR(INDEX(Setup!$B$99:$B$128,MATCH($B464,Setup!$A$99:$A$128,0)),"CHECK TYPE"))</f>
        <v/>
      </c>
      <c r="J464">
        <f>IF($A464="","",DATE(YEAR($A464),MONTH($A464),1))</f>
        <v/>
      </c>
    </row>
    <row r="465">
      <c r="A465" s="85" t="n"/>
      <c r="B465" s="87" t="n"/>
      <c r="C465" s="87" t="n"/>
      <c r="D465" s="86" t="n"/>
      <c r="E465" s="87" t="n"/>
      <c r="F465" s="91" t="n"/>
      <c r="G465" s="86" t="n"/>
      <c r="H465" s="86" t="n"/>
      <c r="I465" s="100">
        <f>IF($B465="","",IFERROR(INDEX(Setup!$B$99:$B$128,MATCH($B465,Setup!$A$99:$A$128,0)),"CHECK TYPE"))</f>
        <v/>
      </c>
      <c r="J465">
        <f>IF($A465="","",DATE(YEAR($A465),MONTH($A465),1))</f>
        <v/>
      </c>
    </row>
    <row r="466">
      <c r="A466" s="93" t="n"/>
      <c r="B466" s="95" t="n"/>
      <c r="C466" s="95" t="n"/>
      <c r="D466" s="94" t="n"/>
      <c r="E466" s="95" t="n"/>
      <c r="F466" s="98" t="n"/>
      <c r="G466" s="94" t="n"/>
      <c r="H466" s="94" t="n"/>
      <c r="I466" s="100">
        <f>IF($B466="","",IFERROR(INDEX(Setup!$B$99:$B$128,MATCH($B466,Setup!$A$99:$A$128,0)),"CHECK TYPE"))</f>
        <v/>
      </c>
      <c r="J466">
        <f>IF($A466="","",DATE(YEAR($A466),MONTH($A466),1))</f>
        <v/>
      </c>
    </row>
    <row r="467">
      <c r="A467" s="85" t="n"/>
      <c r="B467" s="87" t="n"/>
      <c r="C467" s="87" t="n"/>
      <c r="D467" s="86" t="n"/>
      <c r="E467" s="87" t="n"/>
      <c r="F467" s="91" t="n"/>
      <c r="G467" s="86" t="n"/>
      <c r="H467" s="86" t="n"/>
      <c r="I467" s="100">
        <f>IF($B467="","",IFERROR(INDEX(Setup!$B$99:$B$128,MATCH($B467,Setup!$A$99:$A$128,0)),"CHECK TYPE"))</f>
        <v/>
      </c>
      <c r="J467">
        <f>IF($A467="","",DATE(YEAR($A467),MONTH($A467),1))</f>
        <v/>
      </c>
    </row>
    <row r="468">
      <c r="A468" s="93" t="n"/>
      <c r="B468" s="95" t="n"/>
      <c r="C468" s="95" t="n"/>
      <c r="D468" s="94" t="n"/>
      <c r="E468" s="95" t="n"/>
      <c r="F468" s="98" t="n"/>
      <c r="G468" s="94" t="n"/>
      <c r="H468" s="94" t="n"/>
      <c r="I468" s="100">
        <f>IF($B468="","",IFERROR(INDEX(Setup!$B$99:$B$128,MATCH($B468,Setup!$A$99:$A$128,0)),"CHECK TYPE"))</f>
        <v/>
      </c>
      <c r="J468">
        <f>IF($A468="","",DATE(YEAR($A468),MONTH($A468),1))</f>
        <v/>
      </c>
    </row>
    <row r="469">
      <c r="A469" s="85" t="n"/>
      <c r="B469" s="87" t="n"/>
      <c r="C469" s="87" t="n"/>
      <c r="D469" s="86" t="n"/>
      <c r="E469" s="87" t="n"/>
      <c r="F469" s="91" t="n"/>
      <c r="G469" s="86" t="n"/>
      <c r="H469" s="86" t="n"/>
      <c r="I469" s="100">
        <f>IF($B469="","",IFERROR(INDEX(Setup!$B$99:$B$128,MATCH($B469,Setup!$A$99:$A$128,0)),"CHECK TYPE"))</f>
        <v/>
      </c>
      <c r="J469">
        <f>IF($A469="","",DATE(YEAR($A469),MONTH($A469),1))</f>
        <v/>
      </c>
    </row>
    <row r="470">
      <c r="A470" s="93" t="n"/>
      <c r="B470" s="95" t="n"/>
      <c r="C470" s="95" t="n"/>
      <c r="D470" s="94" t="n"/>
      <c r="E470" s="95" t="n"/>
      <c r="F470" s="98" t="n"/>
      <c r="G470" s="94" t="n"/>
      <c r="H470" s="94" t="n"/>
      <c r="I470" s="100">
        <f>IF($B470="","",IFERROR(INDEX(Setup!$B$99:$B$128,MATCH($B470,Setup!$A$99:$A$128,0)),"CHECK TYPE"))</f>
        <v/>
      </c>
      <c r="J470">
        <f>IF($A470="","",DATE(YEAR($A470),MONTH($A470),1))</f>
        <v/>
      </c>
    </row>
    <row r="471">
      <c r="A471" s="85" t="n"/>
      <c r="B471" s="87" t="n"/>
      <c r="C471" s="87" t="n"/>
      <c r="D471" s="86" t="n"/>
      <c r="E471" s="87" t="n"/>
      <c r="F471" s="91" t="n"/>
      <c r="G471" s="86" t="n"/>
      <c r="H471" s="86" t="n"/>
      <c r="I471" s="100">
        <f>IF($B471="","",IFERROR(INDEX(Setup!$B$99:$B$128,MATCH($B471,Setup!$A$99:$A$128,0)),"CHECK TYPE"))</f>
        <v/>
      </c>
      <c r="J471">
        <f>IF($A471="","",DATE(YEAR($A471),MONTH($A471),1))</f>
        <v/>
      </c>
    </row>
    <row r="472">
      <c r="A472" s="93" t="n"/>
      <c r="B472" s="95" t="n"/>
      <c r="C472" s="95" t="n"/>
      <c r="D472" s="94" t="n"/>
      <c r="E472" s="95" t="n"/>
      <c r="F472" s="98" t="n"/>
      <c r="G472" s="94" t="n"/>
      <c r="H472" s="94" t="n"/>
      <c r="I472" s="100">
        <f>IF($B472="","",IFERROR(INDEX(Setup!$B$99:$B$128,MATCH($B472,Setup!$A$99:$A$128,0)),"CHECK TYPE"))</f>
        <v/>
      </c>
      <c r="J472">
        <f>IF($A472="","",DATE(YEAR($A472),MONTH($A472),1))</f>
        <v/>
      </c>
    </row>
    <row r="473">
      <c r="A473" s="85" t="n"/>
      <c r="B473" s="87" t="n"/>
      <c r="C473" s="87" t="n"/>
      <c r="D473" s="86" t="n"/>
      <c r="E473" s="87" t="n"/>
      <c r="F473" s="91" t="n"/>
      <c r="G473" s="86" t="n"/>
      <c r="H473" s="86" t="n"/>
      <c r="I473" s="100">
        <f>IF($B473="","",IFERROR(INDEX(Setup!$B$99:$B$128,MATCH($B473,Setup!$A$99:$A$128,0)),"CHECK TYPE"))</f>
        <v/>
      </c>
      <c r="J473">
        <f>IF($A473="","",DATE(YEAR($A473),MONTH($A473),1))</f>
        <v/>
      </c>
    </row>
    <row r="474">
      <c r="A474" s="93" t="n"/>
      <c r="B474" s="95" t="n"/>
      <c r="C474" s="95" t="n"/>
      <c r="D474" s="94" t="n"/>
      <c r="E474" s="95" t="n"/>
      <c r="F474" s="98" t="n"/>
      <c r="G474" s="94" t="n"/>
      <c r="H474" s="94" t="n"/>
      <c r="I474" s="100">
        <f>IF($B474="","",IFERROR(INDEX(Setup!$B$99:$B$128,MATCH($B474,Setup!$A$99:$A$128,0)),"CHECK TYPE"))</f>
        <v/>
      </c>
      <c r="J474">
        <f>IF($A474="","",DATE(YEAR($A474),MONTH($A474),1))</f>
        <v/>
      </c>
    </row>
    <row r="475">
      <c r="A475" s="85" t="n"/>
      <c r="B475" s="87" t="n"/>
      <c r="C475" s="87" t="n"/>
      <c r="D475" s="86" t="n"/>
      <c r="E475" s="87" t="n"/>
      <c r="F475" s="91" t="n"/>
      <c r="G475" s="86" t="n"/>
      <c r="H475" s="86" t="n"/>
      <c r="I475" s="100">
        <f>IF($B475="","",IFERROR(INDEX(Setup!$B$99:$B$128,MATCH($B475,Setup!$A$99:$A$128,0)),"CHECK TYPE"))</f>
        <v/>
      </c>
      <c r="J475">
        <f>IF($A475="","",DATE(YEAR($A475),MONTH($A475),1))</f>
        <v/>
      </c>
    </row>
    <row r="476">
      <c r="A476" s="93" t="n"/>
      <c r="B476" s="95" t="n"/>
      <c r="C476" s="95" t="n"/>
      <c r="D476" s="94" t="n"/>
      <c r="E476" s="95" t="n"/>
      <c r="F476" s="98" t="n"/>
      <c r="G476" s="94" t="n"/>
      <c r="H476" s="94" t="n"/>
      <c r="I476" s="100">
        <f>IF($B476="","",IFERROR(INDEX(Setup!$B$99:$B$128,MATCH($B476,Setup!$A$99:$A$128,0)),"CHECK TYPE"))</f>
        <v/>
      </c>
      <c r="J476">
        <f>IF($A476="","",DATE(YEAR($A476),MONTH($A476),1))</f>
        <v/>
      </c>
    </row>
    <row r="477">
      <c r="A477" s="85" t="n"/>
      <c r="B477" s="87" t="n"/>
      <c r="C477" s="87" t="n"/>
      <c r="D477" s="86" t="n"/>
      <c r="E477" s="87" t="n"/>
      <c r="F477" s="91" t="n"/>
      <c r="G477" s="86" t="n"/>
      <c r="H477" s="86" t="n"/>
      <c r="I477" s="100">
        <f>IF($B477="","",IFERROR(INDEX(Setup!$B$99:$B$128,MATCH($B477,Setup!$A$99:$A$128,0)),"CHECK TYPE"))</f>
        <v/>
      </c>
      <c r="J477">
        <f>IF($A477="","",DATE(YEAR($A477),MONTH($A477),1))</f>
        <v/>
      </c>
    </row>
    <row r="478">
      <c r="A478" s="93" t="n"/>
      <c r="B478" s="95" t="n"/>
      <c r="C478" s="95" t="n"/>
      <c r="D478" s="94" t="n"/>
      <c r="E478" s="95" t="n"/>
      <c r="F478" s="98" t="n"/>
      <c r="G478" s="94" t="n"/>
      <c r="H478" s="94" t="n"/>
      <c r="I478" s="100">
        <f>IF($B478="","",IFERROR(INDEX(Setup!$B$99:$B$128,MATCH($B478,Setup!$A$99:$A$128,0)),"CHECK TYPE"))</f>
        <v/>
      </c>
      <c r="J478">
        <f>IF($A478="","",DATE(YEAR($A478),MONTH($A478),1))</f>
        <v/>
      </c>
    </row>
    <row r="479">
      <c r="A479" s="85" t="n"/>
      <c r="B479" s="87" t="n"/>
      <c r="C479" s="87" t="n"/>
      <c r="D479" s="86" t="n"/>
      <c r="E479" s="87" t="n"/>
      <c r="F479" s="91" t="n"/>
      <c r="G479" s="86" t="n"/>
      <c r="H479" s="86" t="n"/>
      <c r="I479" s="100">
        <f>IF($B479="","",IFERROR(INDEX(Setup!$B$99:$B$128,MATCH($B479,Setup!$A$99:$A$128,0)),"CHECK TYPE"))</f>
        <v/>
      </c>
      <c r="J479">
        <f>IF($A479="","",DATE(YEAR($A479),MONTH($A479),1))</f>
        <v/>
      </c>
    </row>
    <row r="480">
      <c r="A480" s="93" t="n"/>
      <c r="B480" s="95" t="n"/>
      <c r="C480" s="95" t="n"/>
      <c r="D480" s="94" t="n"/>
      <c r="E480" s="95" t="n"/>
      <c r="F480" s="98" t="n"/>
      <c r="G480" s="94" t="n"/>
      <c r="H480" s="94" t="n"/>
      <c r="I480" s="100">
        <f>IF($B480="","",IFERROR(INDEX(Setup!$B$99:$B$128,MATCH($B480,Setup!$A$99:$A$128,0)),"CHECK TYPE"))</f>
        <v/>
      </c>
      <c r="J480">
        <f>IF($A480="","",DATE(YEAR($A480),MONTH($A480),1))</f>
        <v/>
      </c>
    </row>
    <row r="481">
      <c r="A481" s="85" t="n"/>
      <c r="B481" s="87" t="n"/>
      <c r="C481" s="87" t="n"/>
      <c r="D481" s="86" t="n"/>
      <c r="E481" s="87" t="n"/>
      <c r="F481" s="91" t="n"/>
      <c r="G481" s="86" t="n"/>
      <c r="H481" s="86" t="n"/>
      <c r="I481" s="100">
        <f>IF($B481="","",IFERROR(INDEX(Setup!$B$99:$B$128,MATCH($B481,Setup!$A$99:$A$128,0)),"CHECK TYPE"))</f>
        <v/>
      </c>
      <c r="J481">
        <f>IF($A481="","",DATE(YEAR($A481),MONTH($A481),1))</f>
        <v/>
      </c>
    </row>
    <row r="482">
      <c r="A482" s="93" t="n"/>
      <c r="B482" s="95" t="n"/>
      <c r="C482" s="95" t="n"/>
      <c r="D482" s="94" t="n"/>
      <c r="E482" s="95" t="n"/>
      <c r="F482" s="98" t="n"/>
      <c r="G482" s="94" t="n"/>
      <c r="H482" s="94" t="n"/>
      <c r="I482" s="100">
        <f>IF($B482="","",IFERROR(INDEX(Setup!$B$99:$B$128,MATCH($B482,Setup!$A$99:$A$128,0)),"CHECK TYPE"))</f>
        <v/>
      </c>
      <c r="J482">
        <f>IF($A482="","",DATE(YEAR($A482),MONTH($A482),1))</f>
        <v/>
      </c>
    </row>
    <row r="483">
      <c r="A483" s="85" t="n"/>
      <c r="B483" s="87" t="n"/>
      <c r="C483" s="87" t="n"/>
      <c r="D483" s="86" t="n"/>
      <c r="E483" s="87" t="n"/>
      <c r="F483" s="91" t="n"/>
      <c r="G483" s="86" t="n"/>
      <c r="H483" s="86" t="n"/>
      <c r="I483" s="100">
        <f>IF($B483="","",IFERROR(INDEX(Setup!$B$99:$B$128,MATCH($B483,Setup!$A$99:$A$128,0)),"CHECK TYPE"))</f>
        <v/>
      </c>
      <c r="J483">
        <f>IF($A483="","",DATE(YEAR($A483),MONTH($A483),1))</f>
        <v/>
      </c>
    </row>
    <row r="484">
      <c r="A484" s="93" t="n"/>
      <c r="B484" s="95" t="n"/>
      <c r="C484" s="95" t="n"/>
      <c r="D484" s="94" t="n"/>
      <c r="E484" s="95" t="n"/>
      <c r="F484" s="98" t="n"/>
      <c r="G484" s="94" t="n"/>
      <c r="H484" s="94" t="n"/>
      <c r="I484" s="100">
        <f>IF($B484="","",IFERROR(INDEX(Setup!$B$99:$B$128,MATCH($B484,Setup!$A$99:$A$128,0)),"CHECK TYPE"))</f>
        <v/>
      </c>
      <c r="J484">
        <f>IF($A484="","",DATE(YEAR($A484),MONTH($A484),1))</f>
        <v/>
      </c>
    </row>
    <row r="485">
      <c r="A485" s="85" t="n"/>
      <c r="B485" s="87" t="n"/>
      <c r="C485" s="87" t="n"/>
      <c r="D485" s="86" t="n"/>
      <c r="E485" s="87" t="n"/>
      <c r="F485" s="91" t="n"/>
      <c r="G485" s="86" t="n"/>
      <c r="H485" s="86" t="n"/>
      <c r="I485" s="100">
        <f>IF($B485="","",IFERROR(INDEX(Setup!$B$99:$B$128,MATCH($B485,Setup!$A$99:$A$128,0)),"CHECK TYPE"))</f>
        <v/>
      </c>
      <c r="J485">
        <f>IF($A485="","",DATE(YEAR($A485),MONTH($A485),1))</f>
        <v/>
      </c>
    </row>
    <row r="486">
      <c r="A486" s="93" t="n"/>
      <c r="B486" s="95" t="n"/>
      <c r="C486" s="95" t="n"/>
      <c r="D486" s="94" t="n"/>
      <c r="E486" s="95" t="n"/>
      <c r="F486" s="98" t="n"/>
      <c r="G486" s="94" t="n"/>
      <c r="H486" s="94" t="n"/>
      <c r="I486" s="100">
        <f>IF($B486="","",IFERROR(INDEX(Setup!$B$99:$B$128,MATCH($B486,Setup!$A$99:$A$128,0)),"CHECK TYPE"))</f>
        <v/>
      </c>
      <c r="J486">
        <f>IF($A486="","",DATE(YEAR($A486),MONTH($A486),1))</f>
        <v/>
      </c>
    </row>
    <row r="487">
      <c r="A487" s="85" t="n"/>
      <c r="B487" s="87" t="n"/>
      <c r="C487" s="87" t="n"/>
      <c r="D487" s="86" t="n"/>
      <c r="E487" s="87" t="n"/>
      <c r="F487" s="91" t="n"/>
      <c r="G487" s="86" t="n"/>
      <c r="H487" s="86" t="n"/>
      <c r="I487" s="100">
        <f>IF($B487="","",IFERROR(INDEX(Setup!$B$99:$B$128,MATCH($B487,Setup!$A$99:$A$128,0)),"CHECK TYPE"))</f>
        <v/>
      </c>
      <c r="J487">
        <f>IF($A487="","",DATE(YEAR($A487),MONTH($A487),1))</f>
        <v/>
      </c>
    </row>
    <row r="488">
      <c r="A488" s="93" t="n"/>
      <c r="B488" s="95" t="n"/>
      <c r="C488" s="95" t="n"/>
      <c r="D488" s="94" t="n"/>
      <c r="E488" s="95" t="n"/>
      <c r="F488" s="98" t="n"/>
      <c r="G488" s="94" t="n"/>
      <c r="H488" s="94" t="n"/>
      <c r="I488" s="100">
        <f>IF($B488="","",IFERROR(INDEX(Setup!$B$99:$B$128,MATCH($B488,Setup!$A$99:$A$128,0)),"CHECK TYPE"))</f>
        <v/>
      </c>
      <c r="J488">
        <f>IF($A488="","",DATE(YEAR($A488),MONTH($A488),1))</f>
        <v/>
      </c>
    </row>
    <row r="489">
      <c r="A489" s="85" t="n"/>
      <c r="B489" s="87" t="n"/>
      <c r="C489" s="87" t="n"/>
      <c r="D489" s="86" t="n"/>
      <c r="E489" s="87" t="n"/>
      <c r="F489" s="91" t="n"/>
      <c r="G489" s="86" t="n"/>
      <c r="H489" s="86" t="n"/>
      <c r="I489" s="100">
        <f>IF($B489="","",IFERROR(INDEX(Setup!$B$99:$B$128,MATCH($B489,Setup!$A$99:$A$128,0)),"CHECK TYPE"))</f>
        <v/>
      </c>
      <c r="J489">
        <f>IF($A489="","",DATE(YEAR($A489),MONTH($A489),1))</f>
        <v/>
      </c>
    </row>
    <row r="490">
      <c r="A490" s="93" t="n"/>
      <c r="B490" s="95" t="n"/>
      <c r="C490" s="95" t="n"/>
      <c r="D490" s="94" t="n"/>
      <c r="E490" s="95" t="n"/>
      <c r="F490" s="98" t="n"/>
      <c r="G490" s="94" t="n"/>
      <c r="H490" s="94" t="n"/>
      <c r="I490" s="100">
        <f>IF($B490="","",IFERROR(INDEX(Setup!$B$99:$B$128,MATCH($B490,Setup!$A$99:$A$128,0)),"CHECK TYPE"))</f>
        <v/>
      </c>
      <c r="J490">
        <f>IF($A490="","",DATE(YEAR($A490),MONTH($A490),1))</f>
        <v/>
      </c>
    </row>
    <row r="491">
      <c r="A491" s="85" t="n"/>
      <c r="B491" s="87" t="n"/>
      <c r="C491" s="87" t="n"/>
      <c r="D491" s="86" t="n"/>
      <c r="E491" s="87" t="n"/>
      <c r="F491" s="91" t="n"/>
      <c r="G491" s="86" t="n"/>
      <c r="H491" s="86" t="n"/>
      <c r="I491" s="100">
        <f>IF($B491="","",IFERROR(INDEX(Setup!$B$99:$B$128,MATCH($B491,Setup!$A$99:$A$128,0)),"CHECK TYPE"))</f>
        <v/>
      </c>
      <c r="J491">
        <f>IF($A491="","",DATE(YEAR($A491),MONTH($A491),1))</f>
        <v/>
      </c>
    </row>
    <row r="492">
      <c r="A492" s="93" t="n"/>
      <c r="B492" s="95" t="n"/>
      <c r="C492" s="95" t="n"/>
      <c r="D492" s="94" t="n"/>
      <c r="E492" s="95" t="n"/>
      <c r="F492" s="98" t="n"/>
      <c r="G492" s="94" t="n"/>
      <c r="H492" s="94" t="n"/>
      <c r="I492" s="100">
        <f>IF($B492="","",IFERROR(INDEX(Setup!$B$99:$B$128,MATCH($B492,Setup!$A$99:$A$128,0)),"CHECK TYPE"))</f>
        <v/>
      </c>
      <c r="J492">
        <f>IF($A492="","",DATE(YEAR($A492),MONTH($A492),1))</f>
        <v/>
      </c>
    </row>
    <row r="493">
      <c r="A493" s="85" t="n"/>
      <c r="B493" s="87" t="n"/>
      <c r="C493" s="87" t="n"/>
      <c r="D493" s="86" t="n"/>
      <c r="E493" s="87" t="n"/>
      <c r="F493" s="91" t="n"/>
      <c r="G493" s="86" t="n"/>
      <c r="H493" s="86" t="n"/>
      <c r="I493" s="100">
        <f>IF($B493="","",IFERROR(INDEX(Setup!$B$99:$B$128,MATCH($B493,Setup!$A$99:$A$128,0)),"CHECK TYPE"))</f>
        <v/>
      </c>
      <c r="J493">
        <f>IF($A493="","",DATE(YEAR($A493),MONTH($A493),1))</f>
        <v/>
      </c>
    </row>
    <row r="494">
      <c r="A494" s="93" t="n"/>
      <c r="B494" s="95" t="n"/>
      <c r="C494" s="95" t="n"/>
      <c r="D494" s="94" t="n"/>
      <c r="E494" s="95" t="n"/>
      <c r="F494" s="98" t="n"/>
      <c r="G494" s="94" t="n"/>
      <c r="H494" s="94" t="n"/>
      <c r="I494" s="100">
        <f>IF($B494="","",IFERROR(INDEX(Setup!$B$99:$B$128,MATCH($B494,Setup!$A$99:$A$128,0)),"CHECK TYPE"))</f>
        <v/>
      </c>
      <c r="J494">
        <f>IF($A494="","",DATE(YEAR($A494),MONTH($A494),1))</f>
        <v/>
      </c>
    </row>
    <row r="495">
      <c r="A495" s="85" t="n"/>
      <c r="B495" s="87" t="n"/>
      <c r="C495" s="87" t="n"/>
      <c r="D495" s="86" t="n"/>
      <c r="E495" s="87" t="n"/>
      <c r="F495" s="91" t="n"/>
      <c r="G495" s="86" t="n"/>
      <c r="H495" s="86" t="n"/>
      <c r="I495" s="100">
        <f>IF($B495="","",IFERROR(INDEX(Setup!$B$99:$B$128,MATCH($B495,Setup!$A$99:$A$128,0)),"CHECK TYPE"))</f>
        <v/>
      </c>
      <c r="J495">
        <f>IF($A495="","",DATE(YEAR($A495),MONTH($A495),1))</f>
        <v/>
      </c>
    </row>
    <row r="496">
      <c r="A496" s="93" t="n"/>
      <c r="B496" s="95" t="n"/>
      <c r="C496" s="95" t="n"/>
      <c r="D496" s="94" t="n"/>
      <c r="E496" s="95" t="n"/>
      <c r="F496" s="98" t="n"/>
      <c r="G496" s="94" t="n"/>
      <c r="H496" s="94" t="n"/>
      <c r="I496" s="100">
        <f>IF($B496="","",IFERROR(INDEX(Setup!$B$99:$B$128,MATCH($B496,Setup!$A$99:$A$128,0)),"CHECK TYPE"))</f>
        <v/>
      </c>
      <c r="J496">
        <f>IF($A496="","",DATE(YEAR($A496),MONTH($A496),1))</f>
        <v/>
      </c>
    </row>
    <row r="497">
      <c r="A497" s="85" t="n"/>
      <c r="B497" s="87" t="n"/>
      <c r="C497" s="87" t="n"/>
      <c r="D497" s="86" t="n"/>
      <c r="E497" s="87" t="n"/>
      <c r="F497" s="91" t="n"/>
      <c r="G497" s="86" t="n"/>
      <c r="H497" s="86" t="n"/>
      <c r="I497" s="100">
        <f>IF($B497="","",IFERROR(INDEX(Setup!$B$99:$B$128,MATCH($B497,Setup!$A$99:$A$128,0)),"CHECK TYPE"))</f>
        <v/>
      </c>
      <c r="J497">
        <f>IF($A497="","",DATE(YEAR($A497),MONTH($A497),1))</f>
        <v/>
      </c>
    </row>
    <row r="498">
      <c r="A498" s="93" t="n"/>
      <c r="B498" s="95" t="n"/>
      <c r="C498" s="95" t="n"/>
      <c r="D498" s="94" t="n"/>
      <c r="E498" s="95" t="n"/>
      <c r="F498" s="98" t="n"/>
      <c r="G498" s="94" t="n"/>
      <c r="H498" s="94" t="n"/>
      <c r="I498" s="100">
        <f>IF($B498="","",IFERROR(INDEX(Setup!$B$99:$B$128,MATCH($B498,Setup!$A$99:$A$128,0)),"CHECK TYPE"))</f>
        <v/>
      </c>
      <c r="J498">
        <f>IF($A498="","",DATE(YEAR($A498),MONTH($A498),1))</f>
        <v/>
      </c>
    </row>
    <row r="499">
      <c r="A499" s="85" t="n"/>
      <c r="B499" s="87" t="n"/>
      <c r="C499" s="87" t="n"/>
      <c r="D499" s="86" t="n"/>
      <c r="E499" s="87" t="n"/>
      <c r="F499" s="91" t="n"/>
      <c r="G499" s="86" t="n"/>
      <c r="H499" s="86" t="n"/>
      <c r="I499" s="100">
        <f>IF($B499="","",IFERROR(INDEX(Setup!$B$99:$B$128,MATCH($B499,Setup!$A$99:$A$128,0)),"CHECK TYPE"))</f>
        <v/>
      </c>
      <c r="J499">
        <f>IF($A499="","",DATE(YEAR($A499),MONTH($A499),1))</f>
        <v/>
      </c>
    </row>
    <row r="500">
      <c r="A500" s="93" t="n"/>
      <c r="B500" s="95" t="n"/>
      <c r="C500" s="95" t="n"/>
      <c r="D500" s="94" t="n"/>
      <c r="E500" s="95" t="n"/>
      <c r="F500" s="98" t="n"/>
      <c r="G500" s="94" t="n"/>
      <c r="H500" s="94" t="n"/>
      <c r="I500" s="100">
        <f>IF($B500="","",IFERROR(INDEX(Setup!$B$99:$B$128,MATCH($B500,Setup!$A$99:$A$128,0)),"CHECK TYPE"))</f>
        <v/>
      </c>
      <c r="J500">
        <f>IF($A500="","",DATE(YEAR($A500),MONTH($A500),1))</f>
        <v/>
      </c>
    </row>
    <row r="501">
      <c r="A501" s="85" t="n"/>
      <c r="B501" s="87" t="n"/>
      <c r="C501" s="87" t="n"/>
      <c r="D501" s="86" t="n"/>
      <c r="E501" s="87" t="n"/>
      <c r="F501" s="91" t="n"/>
      <c r="G501" s="86" t="n"/>
      <c r="H501" s="86" t="n"/>
      <c r="I501" s="100">
        <f>IF($B501="","",IFERROR(INDEX(Setup!$B$99:$B$128,MATCH($B501,Setup!$A$99:$A$128,0)),"CHECK TYPE"))</f>
        <v/>
      </c>
      <c r="J501">
        <f>IF($A501="","",DATE(YEAR($A501),MONTH($A501),1))</f>
        <v/>
      </c>
    </row>
    <row r="502">
      <c r="A502" s="93" t="n"/>
      <c r="B502" s="95" t="n"/>
      <c r="C502" s="95" t="n"/>
      <c r="D502" s="94" t="n"/>
      <c r="E502" s="95" t="n"/>
      <c r="F502" s="98" t="n"/>
      <c r="G502" s="94" t="n"/>
      <c r="H502" s="94" t="n"/>
      <c r="I502" s="100">
        <f>IF($B502="","",IFERROR(INDEX(Setup!$B$99:$B$128,MATCH($B502,Setup!$A$99:$A$128,0)),"CHECK TYPE"))</f>
        <v/>
      </c>
      <c r="J502">
        <f>IF($A502="","",DATE(YEAR($A502),MONTH($A502),1))</f>
        <v/>
      </c>
    </row>
    <row r="503">
      <c r="A503" s="85" t="n"/>
      <c r="B503" s="87" t="n"/>
      <c r="C503" s="87" t="n"/>
      <c r="D503" s="86" t="n"/>
      <c r="E503" s="87" t="n"/>
      <c r="F503" s="91" t="n"/>
      <c r="G503" s="86" t="n"/>
      <c r="H503" s="86" t="n"/>
      <c r="I503" s="100">
        <f>IF($B503="","",IFERROR(INDEX(Setup!$B$99:$B$128,MATCH($B503,Setup!$A$99:$A$128,0)),"CHECK TYPE"))</f>
        <v/>
      </c>
      <c r="J503">
        <f>IF($A503="","",DATE(YEAR($A503),MONTH($A503),1))</f>
        <v/>
      </c>
    </row>
    <row r="504">
      <c r="A504" s="93" t="n"/>
      <c r="B504" s="95" t="n"/>
      <c r="C504" s="95" t="n"/>
      <c r="D504" s="94" t="n"/>
      <c r="E504" s="95" t="n"/>
      <c r="F504" s="98" t="n"/>
      <c r="G504" s="94" t="n"/>
      <c r="H504" s="94" t="n"/>
      <c r="I504" s="100">
        <f>IF($B504="","",IFERROR(INDEX(Setup!$B$99:$B$128,MATCH($B504,Setup!$A$99:$A$128,0)),"CHECK TYPE"))</f>
        <v/>
      </c>
      <c r="J504">
        <f>IF($A504="","",DATE(YEAR($A504),MONTH($A504),1))</f>
        <v/>
      </c>
    </row>
    <row r="505">
      <c r="A505" s="85" t="n"/>
      <c r="B505" s="87" t="n"/>
      <c r="C505" s="87" t="n"/>
      <c r="D505" s="86" t="n"/>
      <c r="E505" s="87" t="n"/>
      <c r="F505" s="91" t="n"/>
      <c r="G505" s="86" t="n"/>
      <c r="H505" s="86" t="n"/>
      <c r="I505" s="100">
        <f>IF($B505="","",IFERROR(INDEX(Setup!$B$99:$B$128,MATCH($B505,Setup!$A$99:$A$128,0)),"CHECK TYPE"))</f>
        <v/>
      </c>
      <c r="J505">
        <f>IF($A505="","",DATE(YEAR($A505),MONTH($A505),1))</f>
        <v/>
      </c>
    </row>
    <row r="506">
      <c r="A506" s="93" t="n"/>
      <c r="B506" s="95" t="n"/>
      <c r="C506" s="95" t="n"/>
      <c r="D506" s="94" t="n"/>
      <c r="E506" s="95" t="n"/>
      <c r="F506" s="98" t="n"/>
      <c r="G506" s="94" t="n"/>
      <c r="H506" s="94" t="n"/>
      <c r="I506" s="100">
        <f>IF($B506="","",IFERROR(INDEX(Setup!$B$99:$B$128,MATCH($B506,Setup!$A$99:$A$128,0)),"CHECK TYPE"))</f>
        <v/>
      </c>
      <c r="J506">
        <f>IF($A506="","",DATE(YEAR($A506),MONTH($A506),1))</f>
        <v/>
      </c>
    </row>
    <row r="507">
      <c r="A507" s="85" t="n"/>
      <c r="B507" s="87" t="n"/>
      <c r="C507" s="87" t="n"/>
      <c r="D507" s="86" t="n"/>
      <c r="E507" s="87" t="n"/>
      <c r="F507" s="91" t="n"/>
      <c r="G507" s="86" t="n"/>
      <c r="H507" s="86" t="n"/>
      <c r="I507" s="100">
        <f>IF($B507="","",IFERROR(INDEX(Setup!$B$99:$B$128,MATCH($B507,Setup!$A$99:$A$128,0)),"CHECK TYPE"))</f>
        <v/>
      </c>
      <c r="J507">
        <f>IF($A507="","",DATE(YEAR($A507),MONTH($A507),1))</f>
        <v/>
      </c>
    </row>
    <row r="508">
      <c r="A508" s="93" t="n"/>
      <c r="B508" s="95" t="n"/>
      <c r="C508" s="95" t="n"/>
      <c r="D508" s="94" t="n"/>
      <c r="E508" s="95" t="n"/>
      <c r="F508" s="98" t="n"/>
      <c r="G508" s="94" t="n"/>
      <c r="H508" s="94" t="n"/>
      <c r="I508" s="100">
        <f>IF($B508="","",IFERROR(INDEX(Setup!$B$99:$B$128,MATCH($B508,Setup!$A$99:$A$128,0)),"CHECK TYPE"))</f>
        <v/>
      </c>
      <c r="J508">
        <f>IF($A508="","",DATE(YEAR($A508),MONTH($A508),1))</f>
        <v/>
      </c>
    </row>
    <row r="509">
      <c r="A509" s="85" t="n"/>
      <c r="B509" s="87" t="n"/>
      <c r="C509" s="87" t="n"/>
      <c r="D509" s="86" t="n"/>
      <c r="E509" s="87" t="n"/>
      <c r="F509" s="91" t="n"/>
      <c r="G509" s="86" t="n"/>
      <c r="H509" s="86" t="n"/>
      <c r="I509" s="100">
        <f>IF($B509="","",IFERROR(INDEX(Setup!$B$99:$B$128,MATCH($B509,Setup!$A$99:$A$128,0)),"CHECK TYPE"))</f>
        <v/>
      </c>
      <c r="J509">
        <f>IF($A509="","",DATE(YEAR($A509),MONTH($A509),1))</f>
        <v/>
      </c>
    </row>
    <row r="510">
      <c r="A510" s="93" t="n"/>
      <c r="B510" s="95" t="n"/>
      <c r="C510" s="95" t="n"/>
      <c r="D510" s="94" t="n"/>
      <c r="E510" s="95" t="n"/>
      <c r="F510" s="98" t="n"/>
      <c r="G510" s="94" t="n"/>
      <c r="H510" s="94" t="n"/>
      <c r="I510" s="100">
        <f>IF($B510="","",IFERROR(INDEX(Setup!$B$99:$B$128,MATCH($B510,Setup!$A$99:$A$128,0)),"CHECK TYPE"))</f>
        <v/>
      </c>
      <c r="J510">
        <f>IF($A510="","",DATE(YEAR($A510),MONTH($A510),1))</f>
        <v/>
      </c>
    </row>
    <row r="511">
      <c r="A511" s="85" t="n"/>
      <c r="B511" s="87" t="n"/>
      <c r="C511" s="87" t="n"/>
      <c r="D511" s="86" t="n"/>
      <c r="E511" s="87" t="n"/>
      <c r="F511" s="91" t="n"/>
      <c r="G511" s="86" t="n"/>
      <c r="H511" s="86" t="n"/>
      <c r="I511" s="100">
        <f>IF($B511="","",IFERROR(INDEX(Setup!$B$99:$B$128,MATCH($B511,Setup!$A$99:$A$128,0)),"CHECK TYPE"))</f>
        <v/>
      </c>
      <c r="J511">
        <f>IF($A511="","",DATE(YEAR($A511),MONTH($A511),1))</f>
        <v/>
      </c>
    </row>
    <row r="512">
      <c r="A512" s="93" t="n"/>
      <c r="B512" s="95" t="n"/>
      <c r="C512" s="95" t="n"/>
      <c r="D512" s="94" t="n"/>
      <c r="E512" s="95" t="n"/>
      <c r="F512" s="98" t="n"/>
      <c r="G512" s="94" t="n"/>
      <c r="H512" s="94" t="n"/>
      <c r="I512" s="100">
        <f>IF($B512="","",IFERROR(INDEX(Setup!$B$99:$B$128,MATCH($B512,Setup!$A$99:$A$128,0)),"CHECK TYPE"))</f>
        <v/>
      </c>
      <c r="J512">
        <f>IF($A512="","",DATE(YEAR($A512),MONTH($A512),1))</f>
        <v/>
      </c>
    </row>
    <row r="513">
      <c r="A513" s="85" t="n"/>
      <c r="B513" s="87" t="n"/>
      <c r="C513" s="87" t="n"/>
      <c r="D513" s="86" t="n"/>
      <c r="E513" s="87" t="n"/>
      <c r="F513" s="91" t="n"/>
      <c r="G513" s="86" t="n"/>
      <c r="H513" s="86" t="n"/>
      <c r="I513" s="100">
        <f>IF($B513="","",IFERROR(INDEX(Setup!$B$99:$B$128,MATCH($B513,Setup!$A$99:$A$128,0)),"CHECK TYPE"))</f>
        <v/>
      </c>
      <c r="J513">
        <f>IF($A513="","",DATE(YEAR($A513),MONTH($A513),1))</f>
        <v/>
      </c>
    </row>
    <row r="514">
      <c r="A514" s="93" t="n"/>
      <c r="B514" s="95" t="n"/>
      <c r="C514" s="95" t="n"/>
      <c r="D514" s="94" t="n"/>
      <c r="E514" s="95" t="n"/>
      <c r="F514" s="98" t="n"/>
      <c r="G514" s="94" t="n"/>
      <c r="H514" s="94" t="n"/>
      <c r="I514" s="100">
        <f>IF($B514="","",IFERROR(INDEX(Setup!$B$99:$B$128,MATCH($B514,Setup!$A$99:$A$128,0)),"CHECK TYPE"))</f>
        <v/>
      </c>
      <c r="J514">
        <f>IF($A514="","",DATE(YEAR($A514),MONTH($A514),1))</f>
        <v/>
      </c>
    </row>
    <row r="515">
      <c r="A515" s="85" t="n"/>
      <c r="B515" s="87" t="n"/>
      <c r="C515" s="87" t="n"/>
      <c r="D515" s="86" t="n"/>
      <c r="E515" s="87" t="n"/>
      <c r="F515" s="91" t="n"/>
      <c r="G515" s="86" t="n"/>
      <c r="H515" s="86" t="n"/>
      <c r="I515" s="100">
        <f>IF($B515="","",IFERROR(INDEX(Setup!$B$99:$B$128,MATCH($B515,Setup!$A$99:$A$128,0)),"CHECK TYPE"))</f>
        <v/>
      </c>
      <c r="J515">
        <f>IF($A515="","",DATE(YEAR($A515),MONTH($A515),1))</f>
        <v/>
      </c>
    </row>
    <row r="516">
      <c r="A516" s="93" t="n"/>
      <c r="B516" s="95" t="n"/>
      <c r="C516" s="95" t="n"/>
      <c r="D516" s="94" t="n"/>
      <c r="E516" s="95" t="n"/>
      <c r="F516" s="98" t="n"/>
      <c r="G516" s="94" t="n"/>
      <c r="H516" s="94" t="n"/>
      <c r="I516" s="100">
        <f>IF($B516="","",IFERROR(INDEX(Setup!$B$99:$B$128,MATCH($B516,Setup!$A$99:$A$128,0)),"CHECK TYPE"))</f>
        <v/>
      </c>
      <c r="J516">
        <f>IF($A516="","",DATE(YEAR($A516),MONTH($A516),1))</f>
        <v/>
      </c>
    </row>
    <row r="517">
      <c r="A517" s="85" t="n"/>
      <c r="B517" s="87" t="n"/>
      <c r="C517" s="87" t="n"/>
      <c r="D517" s="86" t="n"/>
      <c r="E517" s="87" t="n"/>
      <c r="F517" s="91" t="n"/>
      <c r="G517" s="86" t="n"/>
      <c r="H517" s="86" t="n"/>
      <c r="I517" s="100">
        <f>IF($B517="","",IFERROR(INDEX(Setup!$B$99:$B$128,MATCH($B517,Setup!$A$99:$A$128,0)),"CHECK TYPE"))</f>
        <v/>
      </c>
      <c r="J517">
        <f>IF($A517="","",DATE(YEAR($A517),MONTH($A517),1))</f>
        <v/>
      </c>
    </row>
    <row r="518">
      <c r="A518" s="93" t="n"/>
      <c r="B518" s="95" t="n"/>
      <c r="C518" s="95" t="n"/>
      <c r="D518" s="94" t="n"/>
      <c r="E518" s="95" t="n"/>
      <c r="F518" s="98" t="n"/>
      <c r="G518" s="94" t="n"/>
      <c r="H518" s="94" t="n"/>
      <c r="I518" s="100">
        <f>IF($B518="","",IFERROR(INDEX(Setup!$B$99:$B$128,MATCH($B518,Setup!$A$99:$A$128,0)),"CHECK TYPE"))</f>
        <v/>
      </c>
      <c r="J518">
        <f>IF($A518="","",DATE(YEAR($A518),MONTH($A518),1))</f>
        <v/>
      </c>
    </row>
    <row r="519">
      <c r="A519" s="85" t="n"/>
      <c r="B519" s="87" t="n"/>
      <c r="C519" s="87" t="n"/>
      <c r="D519" s="86" t="n"/>
      <c r="E519" s="87" t="n"/>
      <c r="F519" s="91" t="n"/>
      <c r="G519" s="86" t="n"/>
      <c r="H519" s="86" t="n"/>
      <c r="I519" s="100">
        <f>IF($B519="","",IFERROR(INDEX(Setup!$B$99:$B$128,MATCH($B519,Setup!$A$99:$A$128,0)),"CHECK TYPE"))</f>
        <v/>
      </c>
      <c r="J519">
        <f>IF($A519="","",DATE(YEAR($A519),MONTH($A519),1))</f>
        <v/>
      </c>
    </row>
    <row r="520">
      <c r="A520" s="93" t="n"/>
      <c r="B520" s="95" t="n"/>
      <c r="C520" s="95" t="n"/>
      <c r="D520" s="94" t="n"/>
      <c r="E520" s="95" t="n"/>
      <c r="F520" s="98" t="n"/>
      <c r="G520" s="94" t="n"/>
      <c r="H520" s="94" t="n"/>
      <c r="I520" s="100">
        <f>IF($B520="","",IFERROR(INDEX(Setup!$B$99:$B$128,MATCH($B520,Setup!$A$99:$A$128,0)),"CHECK TYPE"))</f>
        <v/>
      </c>
      <c r="J520">
        <f>IF($A520="","",DATE(YEAR($A520),MONTH($A520),1))</f>
        <v/>
      </c>
    </row>
    <row r="521">
      <c r="A521" s="85" t="n"/>
      <c r="B521" s="87" t="n"/>
      <c r="C521" s="87" t="n"/>
      <c r="D521" s="86" t="n"/>
      <c r="E521" s="87" t="n"/>
      <c r="F521" s="91" t="n"/>
      <c r="G521" s="86" t="n"/>
      <c r="H521" s="86" t="n"/>
      <c r="I521" s="100">
        <f>IF($B521="","",IFERROR(INDEX(Setup!$B$99:$B$128,MATCH($B521,Setup!$A$99:$A$128,0)),"CHECK TYPE"))</f>
        <v/>
      </c>
      <c r="J521">
        <f>IF($A521="","",DATE(YEAR($A521),MONTH($A521),1))</f>
        <v/>
      </c>
    </row>
    <row r="522">
      <c r="A522" s="93" t="n"/>
      <c r="B522" s="95" t="n"/>
      <c r="C522" s="95" t="n"/>
      <c r="D522" s="94" t="n"/>
      <c r="E522" s="95" t="n"/>
      <c r="F522" s="98" t="n"/>
      <c r="G522" s="94" t="n"/>
      <c r="H522" s="94" t="n"/>
      <c r="I522" s="100">
        <f>IF($B522="","",IFERROR(INDEX(Setup!$B$99:$B$128,MATCH($B522,Setup!$A$99:$A$128,0)),"CHECK TYPE"))</f>
        <v/>
      </c>
      <c r="J522">
        <f>IF($A522="","",DATE(YEAR($A522),MONTH($A522),1))</f>
        <v/>
      </c>
    </row>
    <row r="523">
      <c r="A523" s="85" t="n"/>
      <c r="B523" s="87" t="n"/>
      <c r="C523" s="87" t="n"/>
      <c r="D523" s="86" t="n"/>
      <c r="E523" s="87" t="n"/>
      <c r="F523" s="91" t="n"/>
      <c r="G523" s="86" t="n"/>
      <c r="H523" s="86" t="n"/>
      <c r="I523" s="100">
        <f>IF($B523="","",IFERROR(INDEX(Setup!$B$99:$B$128,MATCH($B523,Setup!$A$99:$A$128,0)),"CHECK TYPE"))</f>
        <v/>
      </c>
      <c r="J523">
        <f>IF($A523="","",DATE(YEAR($A523),MONTH($A523),1))</f>
        <v/>
      </c>
    </row>
    <row r="524">
      <c r="A524" s="93" t="n"/>
      <c r="B524" s="95" t="n"/>
      <c r="C524" s="95" t="n"/>
      <c r="D524" s="94" t="n"/>
      <c r="E524" s="95" t="n"/>
      <c r="F524" s="98" t="n"/>
      <c r="G524" s="94" t="n"/>
      <c r="H524" s="94" t="n"/>
      <c r="I524" s="100">
        <f>IF($B524="","",IFERROR(INDEX(Setup!$B$99:$B$128,MATCH($B524,Setup!$A$99:$A$128,0)),"CHECK TYPE"))</f>
        <v/>
      </c>
      <c r="J524">
        <f>IF($A524="","",DATE(YEAR($A524),MONTH($A524),1))</f>
        <v/>
      </c>
    </row>
    <row r="525">
      <c r="A525" s="85" t="n"/>
      <c r="B525" s="87" t="n"/>
      <c r="C525" s="87" t="n"/>
      <c r="D525" s="86" t="n"/>
      <c r="E525" s="87" t="n"/>
      <c r="F525" s="91" t="n"/>
      <c r="G525" s="86" t="n"/>
      <c r="H525" s="86" t="n"/>
      <c r="I525" s="100">
        <f>IF($B525="","",IFERROR(INDEX(Setup!$B$99:$B$128,MATCH($B525,Setup!$A$99:$A$128,0)),"CHECK TYPE"))</f>
        <v/>
      </c>
      <c r="J525">
        <f>IF($A525="","",DATE(YEAR($A525),MONTH($A525),1))</f>
        <v/>
      </c>
    </row>
    <row r="526">
      <c r="A526" s="93" t="n"/>
      <c r="B526" s="95" t="n"/>
      <c r="C526" s="95" t="n"/>
      <c r="D526" s="94" t="n"/>
      <c r="E526" s="95" t="n"/>
      <c r="F526" s="98" t="n"/>
      <c r="G526" s="94" t="n"/>
      <c r="H526" s="94" t="n"/>
      <c r="I526" s="100">
        <f>IF($B526="","",IFERROR(INDEX(Setup!$B$99:$B$128,MATCH($B526,Setup!$A$99:$A$128,0)),"CHECK TYPE"))</f>
        <v/>
      </c>
      <c r="J526">
        <f>IF($A526="","",DATE(YEAR($A526),MONTH($A526),1))</f>
        <v/>
      </c>
    </row>
    <row r="527">
      <c r="A527" s="85" t="n"/>
      <c r="B527" s="87" t="n"/>
      <c r="C527" s="87" t="n"/>
      <c r="D527" s="86" t="n"/>
      <c r="E527" s="87" t="n"/>
      <c r="F527" s="91" t="n"/>
      <c r="G527" s="86" t="n"/>
      <c r="H527" s="86" t="n"/>
      <c r="I527" s="100">
        <f>IF($B527="","",IFERROR(INDEX(Setup!$B$99:$B$128,MATCH($B527,Setup!$A$99:$A$128,0)),"CHECK TYPE"))</f>
        <v/>
      </c>
      <c r="J527">
        <f>IF($A527="","",DATE(YEAR($A527),MONTH($A527),1))</f>
        <v/>
      </c>
    </row>
    <row r="528">
      <c r="A528" s="93" t="n"/>
      <c r="B528" s="95" t="n"/>
      <c r="C528" s="95" t="n"/>
      <c r="D528" s="94" t="n"/>
      <c r="E528" s="95" t="n"/>
      <c r="F528" s="98" t="n"/>
      <c r="G528" s="94" t="n"/>
      <c r="H528" s="94" t="n"/>
      <c r="I528" s="100">
        <f>IF($B528="","",IFERROR(INDEX(Setup!$B$99:$B$128,MATCH($B528,Setup!$A$99:$A$128,0)),"CHECK TYPE"))</f>
        <v/>
      </c>
      <c r="J528">
        <f>IF($A528="","",DATE(YEAR($A528),MONTH($A528),1))</f>
        <v/>
      </c>
    </row>
    <row r="529">
      <c r="A529" s="85" t="n"/>
      <c r="B529" s="87" t="n"/>
      <c r="C529" s="87" t="n"/>
      <c r="D529" s="86" t="n"/>
      <c r="E529" s="87" t="n"/>
      <c r="F529" s="91" t="n"/>
      <c r="G529" s="86" t="n"/>
      <c r="H529" s="86" t="n"/>
      <c r="I529" s="100">
        <f>IF($B529="","",IFERROR(INDEX(Setup!$B$99:$B$128,MATCH($B529,Setup!$A$99:$A$128,0)),"CHECK TYPE"))</f>
        <v/>
      </c>
      <c r="J529">
        <f>IF($A529="","",DATE(YEAR($A529),MONTH($A529),1))</f>
        <v/>
      </c>
    </row>
    <row r="530">
      <c r="A530" s="93" t="n"/>
      <c r="B530" s="95" t="n"/>
      <c r="C530" s="95" t="n"/>
      <c r="D530" s="94" t="n"/>
      <c r="E530" s="95" t="n"/>
      <c r="F530" s="98" t="n"/>
      <c r="G530" s="94" t="n"/>
      <c r="H530" s="94" t="n"/>
      <c r="I530" s="100">
        <f>IF($B530="","",IFERROR(INDEX(Setup!$B$99:$B$128,MATCH($B530,Setup!$A$99:$A$128,0)),"CHECK TYPE"))</f>
        <v/>
      </c>
      <c r="J530">
        <f>IF($A530="","",DATE(YEAR($A530),MONTH($A530),1))</f>
        <v/>
      </c>
    </row>
    <row r="531">
      <c r="A531" s="85" t="n"/>
      <c r="B531" s="87" t="n"/>
      <c r="C531" s="87" t="n"/>
      <c r="D531" s="86" t="n"/>
      <c r="E531" s="87" t="n"/>
      <c r="F531" s="91" t="n"/>
      <c r="G531" s="86" t="n"/>
      <c r="H531" s="86" t="n"/>
      <c r="I531" s="100">
        <f>IF($B531="","",IFERROR(INDEX(Setup!$B$99:$B$128,MATCH($B531,Setup!$A$99:$A$128,0)),"CHECK TYPE"))</f>
        <v/>
      </c>
      <c r="J531">
        <f>IF($A531="","",DATE(YEAR($A531),MONTH($A531),1))</f>
        <v/>
      </c>
    </row>
    <row r="532">
      <c r="A532" s="93" t="n"/>
      <c r="B532" s="95" t="n"/>
      <c r="C532" s="95" t="n"/>
      <c r="D532" s="94" t="n"/>
      <c r="E532" s="95" t="n"/>
      <c r="F532" s="98" t="n"/>
      <c r="G532" s="94" t="n"/>
      <c r="H532" s="94" t="n"/>
      <c r="I532" s="100">
        <f>IF($B532="","",IFERROR(INDEX(Setup!$B$99:$B$128,MATCH($B532,Setup!$A$99:$A$128,0)),"CHECK TYPE"))</f>
        <v/>
      </c>
      <c r="J532">
        <f>IF($A532="","",DATE(YEAR($A532),MONTH($A532),1))</f>
        <v/>
      </c>
    </row>
    <row r="533">
      <c r="A533" s="85" t="n"/>
      <c r="B533" s="87" t="n"/>
      <c r="C533" s="87" t="n"/>
      <c r="D533" s="86" t="n"/>
      <c r="E533" s="87" t="n"/>
      <c r="F533" s="91" t="n"/>
      <c r="G533" s="86" t="n"/>
      <c r="H533" s="86" t="n"/>
      <c r="I533" s="100">
        <f>IF($B533="","",IFERROR(INDEX(Setup!$B$99:$B$128,MATCH($B533,Setup!$A$99:$A$128,0)),"CHECK TYPE"))</f>
        <v/>
      </c>
      <c r="J533">
        <f>IF($A533="","",DATE(YEAR($A533),MONTH($A533),1))</f>
        <v/>
      </c>
    </row>
    <row r="534">
      <c r="A534" s="93" t="n"/>
      <c r="B534" s="95" t="n"/>
      <c r="C534" s="95" t="n"/>
      <c r="D534" s="94" t="n"/>
      <c r="E534" s="95" t="n"/>
      <c r="F534" s="98" t="n"/>
      <c r="G534" s="94" t="n"/>
      <c r="H534" s="94" t="n"/>
      <c r="I534" s="100">
        <f>IF($B534="","",IFERROR(INDEX(Setup!$B$99:$B$128,MATCH($B534,Setup!$A$99:$A$128,0)),"CHECK TYPE"))</f>
        <v/>
      </c>
      <c r="J534">
        <f>IF($A534="","",DATE(YEAR($A534),MONTH($A534),1))</f>
        <v/>
      </c>
    </row>
    <row r="535">
      <c r="A535" s="85" t="n"/>
      <c r="B535" s="87" t="n"/>
      <c r="C535" s="87" t="n"/>
      <c r="D535" s="86" t="n"/>
      <c r="E535" s="87" t="n"/>
      <c r="F535" s="91" t="n"/>
      <c r="G535" s="86" t="n"/>
      <c r="H535" s="86" t="n"/>
      <c r="I535" s="100">
        <f>IF($B535="","",IFERROR(INDEX(Setup!$B$99:$B$128,MATCH($B535,Setup!$A$99:$A$128,0)),"CHECK TYPE"))</f>
        <v/>
      </c>
      <c r="J535">
        <f>IF($A535="","",DATE(YEAR($A535),MONTH($A535),1))</f>
        <v/>
      </c>
    </row>
    <row r="536">
      <c r="A536" s="93" t="n"/>
      <c r="B536" s="95" t="n"/>
      <c r="C536" s="95" t="n"/>
      <c r="D536" s="94" t="n"/>
      <c r="E536" s="95" t="n"/>
      <c r="F536" s="98" t="n"/>
      <c r="G536" s="94" t="n"/>
      <c r="H536" s="94" t="n"/>
      <c r="I536" s="100">
        <f>IF($B536="","",IFERROR(INDEX(Setup!$B$99:$B$128,MATCH($B536,Setup!$A$99:$A$128,0)),"CHECK TYPE"))</f>
        <v/>
      </c>
      <c r="J536">
        <f>IF($A536="","",DATE(YEAR($A536),MONTH($A536),1))</f>
        <v/>
      </c>
    </row>
    <row r="537">
      <c r="A537" s="85" t="n"/>
      <c r="B537" s="87" t="n"/>
      <c r="C537" s="87" t="n"/>
      <c r="D537" s="86" t="n"/>
      <c r="E537" s="87" t="n"/>
      <c r="F537" s="91" t="n"/>
      <c r="G537" s="86" t="n"/>
      <c r="H537" s="86" t="n"/>
      <c r="I537" s="100">
        <f>IF($B537="","",IFERROR(INDEX(Setup!$B$99:$B$128,MATCH($B537,Setup!$A$99:$A$128,0)),"CHECK TYPE"))</f>
        <v/>
      </c>
      <c r="J537">
        <f>IF($A537="","",DATE(YEAR($A537),MONTH($A537),1))</f>
        <v/>
      </c>
    </row>
    <row r="538">
      <c r="A538" s="93" t="n"/>
      <c r="B538" s="95" t="n"/>
      <c r="C538" s="95" t="n"/>
      <c r="D538" s="94" t="n"/>
      <c r="E538" s="95" t="n"/>
      <c r="F538" s="98" t="n"/>
      <c r="G538" s="94" t="n"/>
      <c r="H538" s="94" t="n"/>
      <c r="I538" s="100">
        <f>IF($B538="","",IFERROR(INDEX(Setup!$B$99:$B$128,MATCH($B538,Setup!$A$99:$A$128,0)),"CHECK TYPE"))</f>
        <v/>
      </c>
      <c r="J538">
        <f>IF($A538="","",DATE(YEAR($A538),MONTH($A538),1))</f>
        <v/>
      </c>
    </row>
    <row r="539">
      <c r="A539" s="85" t="n"/>
      <c r="B539" s="87" t="n"/>
      <c r="C539" s="87" t="n"/>
      <c r="D539" s="86" t="n"/>
      <c r="E539" s="87" t="n"/>
      <c r="F539" s="91" t="n"/>
      <c r="G539" s="86" t="n"/>
      <c r="H539" s="86" t="n"/>
      <c r="I539" s="100">
        <f>IF($B539="","",IFERROR(INDEX(Setup!$B$99:$B$128,MATCH($B539,Setup!$A$99:$A$128,0)),"CHECK TYPE"))</f>
        <v/>
      </c>
      <c r="J539">
        <f>IF($A539="","",DATE(YEAR($A539),MONTH($A539),1))</f>
        <v/>
      </c>
    </row>
    <row r="540">
      <c r="A540" s="93" t="n"/>
      <c r="B540" s="95" t="n"/>
      <c r="C540" s="95" t="n"/>
      <c r="D540" s="94" t="n"/>
      <c r="E540" s="95" t="n"/>
      <c r="F540" s="98" t="n"/>
      <c r="G540" s="94" t="n"/>
      <c r="H540" s="94" t="n"/>
      <c r="I540" s="100">
        <f>IF($B540="","",IFERROR(INDEX(Setup!$B$99:$B$128,MATCH($B540,Setup!$A$99:$A$128,0)),"CHECK TYPE"))</f>
        <v/>
      </c>
      <c r="J540">
        <f>IF($A540="","",DATE(YEAR($A540),MONTH($A540),1))</f>
        <v/>
      </c>
    </row>
    <row r="541">
      <c r="A541" s="85" t="n"/>
      <c r="B541" s="87" t="n"/>
      <c r="C541" s="87" t="n"/>
      <c r="D541" s="86" t="n"/>
      <c r="E541" s="87" t="n"/>
      <c r="F541" s="91" t="n"/>
      <c r="G541" s="86" t="n"/>
      <c r="H541" s="86" t="n"/>
      <c r="I541" s="100">
        <f>IF($B541="","",IFERROR(INDEX(Setup!$B$99:$B$128,MATCH($B541,Setup!$A$99:$A$128,0)),"CHECK TYPE"))</f>
        <v/>
      </c>
      <c r="J541">
        <f>IF($A541="","",DATE(YEAR($A541),MONTH($A541),1))</f>
        <v/>
      </c>
    </row>
    <row r="542">
      <c r="A542" s="93" t="n"/>
      <c r="B542" s="95" t="n"/>
      <c r="C542" s="95" t="n"/>
      <c r="D542" s="94" t="n"/>
      <c r="E542" s="95" t="n"/>
      <c r="F542" s="98" t="n"/>
      <c r="G542" s="94" t="n"/>
      <c r="H542" s="94" t="n"/>
      <c r="I542" s="100">
        <f>IF($B542="","",IFERROR(INDEX(Setup!$B$99:$B$128,MATCH($B542,Setup!$A$99:$A$128,0)),"CHECK TYPE"))</f>
        <v/>
      </c>
      <c r="J542">
        <f>IF($A542="","",DATE(YEAR($A542),MONTH($A542),1))</f>
        <v/>
      </c>
    </row>
    <row r="543">
      <c r="A543" s="85" t="n"/>
      <c r="B543" s="87" t="n"/>
      <c r="C543" s="87" t="n"/>
      <c r="D543" s="86" t="n"/>
      <c r="E543" s="87" t="n"/>
      <c r="F543" s="91" t="n"/>
      <c r="G543" s="86" t="n"/>
      <c r="H543" s="86" t="n"/>
      <c r="I543" s="100">
        <f>IF($B543="","",IFERROR(INDEX(Setup!$B$99:$B$128,MATCH($B543,Setup!$A$99:$A$128,0)),"CHECK TYPE"))</f>
        <v/>
      </c>
      <c r="J543">
        <f>IF($A543="","",DATE(YEAR($A543),MONTH($A543),1))</f>
        <v/>
      </c>
    </row>
    <row r="544">
      <c r="A544" s="93" t="n"/>
      <c r="B544" s="95" t="n"/>
      <c r="C544" s="95" t="n"/>
      <c r="D544" s="94" t="n"/>
      <c r="E544" s="95" t="n"/>
      <c r="F544" s="98" t="n"/>
      <c r="G544" s="94" t="n"/>
      <c r="H544" s="94" t="n"/>
      <c r="I544" s="100">
        <f>IF($B544="","",IFERROR(INDEX(Setup!$B$99:$B$128,MATCH($B544,Setup!$A$99:$A$128,0)),"CHECK TYPE"))</f>
        <v/>
      </c>
      <c r="J544">
        <f>IF($A544="","",DATE(YEAR($A544),MONTH($A544),1))</f>
        <v/>
      </c>
    </row>
    <row r="545">
      <c r="A545" s="85" t="n"/>
      <c r="B545" s="87" t="n"/>
      <c r="C545" s="87" t="n"/>
      <c r="D545" s="86" t="n"/>
      <c r="E545" s="87" t="n"/>
      <c r="F545" s="91" t="n"/>
      <c r="G545" s="86" t="n"/>
      <c r="H545" s="86" t="n"/>
      <c r="I545" s="100">
        <f>IF($B545="","",IFERROR(INDEX(Setup!$B$99:$B$128,MATCH($B545,Setup!$A$99:$A$128,0)),"CHECK TYPE"))</f>
        <v/>
      </c>
      <c r="J545">
        <f>IF($A545="","",DATE(YEAR($A545),MONTH($A545),1))</f>
        <v/>
      </c>
    </row>
    <row r="546">
      <c r="A546" s="93" t="n"/>
      <c r="B546" s="95" t="n"/>
      <c r="C546" s="95" t="n"/>
      <c r="D546" s="94" t="n"/>
      <c r="E546" s="95" t="n"/>
      <c r="F546" s="98" t="n"/>
      <c r="G546" s="94" t="n"/>
      <c r="H546" s="94" t="n"/>
      <c r="I546" s="100">
        <f>IF($B546="","",IFERROR(INDEX(Setup!$B$99:$B$128,MATCH($B546,Setup!$A$99:$A$128,0)),"CHECK TYPE"))</f>
        <v/>
      </c>
      <c r="J546">
        <f>IF($A546="","",DATE(YEAR($A546),MONTH($A546),1))</f>
        <v/>
      </c>
    </row>
    <row r="547">
      <c r="A547" s="85" t="n"/>
      <c r="B547" s="87" t="n"/>
      <c r="C547" s="87" t="n"/>
      <c r="D547" s="86" t="n"/>
      <c r="E547" s="87" t="n"/>
      <c r="F547" s="91" t="n"/>
      <c r="G547" s="86" t="n"/>
      <c r="H547" s="86" t="n"/>
      <c r="I547" s="100">
        <f>IF($B547="","",IFERROR(INDEX(Setup!$B$99:$B$128,MATCH($B547,Setup!$A$99:$A$128,0)),"CHECK TYPE"))</f>
        <v/>
      </c>
      <c r="J547">
        <f>IF($A547="","",DATE(YEAR($A547),MONTH($A547),1))</f>
        <v/>
      </c>
    </row>
    <row r="548">
      <c r="A548" s="93" t="n"/>
      <c r="B548" s="95" t="n"/>
      <c r="C548" s="95" t="n"/>
      <c r="D548" s="94" t="n"/>
      <c r="E548" s="95" t="n"/>
      <c r="F548" s="98" t="n"/>
      <c r="G548" s="94" t="n"/>
      <c r="H548" s="94" t="n"/>
      <c r="I548" s="100">
        <f>IF($B548="","",IFERROR(INDEX(Setup!$B$99:$B$128,MATCH($B548,Setup!$A$99:$A$128,0)),"CHECK TYPE"))</f>
        <v/>
      </c>
      <c r="J548">
        <f>IF($A548="","",DATE(YEAR($A548),MONTH($A548),1))</f>
        <v/>
      </c>
    </row>
    <row r="549">
      <c r="A549" s="85" t="n"/>
      <c r="B549" s="87" t="n"/>
      <c r="C549" s="87" t="n"/>
      <c r="D549" s="86" t="n"/>
      <c r="E549" s="87" t="n"/>
      <c r="F549" s="91" t="n"/>
      <c r="G549" s="86" t="n"/>
      <c r="H549" s="86" t="n"/>
      <c r="I549" s="100">
        <f>IF($B549="","",IFERROR(INDEX(Setup!$B$99:$B$128,MATCH($B549,Setup!$A$99:$A$128,0)),"CHECK TYPE"))</f>
        <v/>
      </c>
      <c r="J549">
        <f>IF($A549="","",DATE(YEAR($A549),MONTH($A549),1))</f>
        <v/>
      </c>
    </row>
    <row r="550">
      <c r="A550" s="93" t="n"/>
      <c r="B550" s="95" t="n"/>
      <c r="C550" s="95" t="n"/>
      <c r="D550" s="94" t="n"/>
      <c r="E550" s="95" t="n"/>
      <c r="F550" s="98" t="n"/>
      <c r="G550" s="94" t="n"/>
      <c r="H550" s="94" t="n"/>
      <c r="I550" s="100">
        <f>IF($B550="","",IFERROR(INDEX(Setup!$B$99:$B$128,MATCH($B550,Setup!$A$99:$A$128,0)),"CHECK TYPE"))</f>
        <v/>
      </c>
      <c r="J550">
        <f>IF($A550="","",DATE(YEAR($A550),MONTH($A550),1))</f>
        <v/>
      </c>
    </row>
    <row r="551">
      <c r="A551" s="85" t="n"/>
      <c r="B551" s="87" t="n"/>
      <c r="C551" s="87" t="n"/>
      <c r="D551" s="86" t="n"/>
      <c r="E551" s="87" t="n"/>
      <c r="F551" s="91" t="n"/>
      <c r="G551" s="86" t="n"/>
      <c r="H551" s="86" t="n"/>
      <c r="I551" s="100">
        <f>IF($B551="","",IFERROR(INDEX(Setup!$B$99:$B$128,MATCH($B551,Setup!$A$99:$A$128,0)),"CHECK TYPE"))</f>
        <v/>
      </c>
      <c r="J551">
        <f>IF($A551="","",DATE(YEAR($A551),MONTH($A551),1))</f>
        <v/>
      </c>
    </row>
    <row r="552">
      <c r="A552" s="93" t="n"/>
      <c r="B552" s="95" t="n"/>
      <c r="C552" s="95" t="n"/>
      <c r="D552" s="94" t="n"/>
      <c r="E552" s="95" t="n"/>
      <c r="F552" s="98" t="n"/>
      <c r="G552" s="94" t="n"/>
      <c r="H552" s="94" t="n"/>
      <c r="I552" s="100">
        <f>IF($B552="","",IFERROR(INDEX(Setup!$B$99:$B$128,MATCH($B552,Setup!$A$99:$A$128,0)),"CHECK TYPE"))</f>
        <v/>
      </c>
      <c r="J552">
        <f>IF($A552="","",DATE(YEAR($A552),MONTH($A552),1))</f>
        <v/>
      </c>
    </row>
    <row r="553">
      <c r="A553" s="85" t="n"/>
      <c r="B553" s="87" t="n"/>
      <c r="C553" s="87" t="n"/>
      <c r="D553" s="86" t="n"/>
      <c r="E553" s="87" t="n"/>
      <c r="F553" s="91" t="n"/>
      <c r="G553" s="86" t="n"/>
      <c r="H553" s="86" t="n"/>
      <c r="I553" s="100">
        <f>IF($B553="","",IFERROR(INDEX(Setup!$B$99:$B$128,MATCH($B553,Setup!$A$99:$A$128,0)),"CHECK TYPE"))</f>
        <v/>
      </c>
      <c r="J553">
        <f>IF($A553="","",DATE(YEAR($A553),MONTH($A553),1))</f>
        <v/>
      </c>
    </row>
    <row r="554">
      <c r="A554" s="93" t="n"/>
      <c r="B554" s="95" t="n"/>
      <c r="C554" s="95" t="n"/>
      <c r="D554" s="94" t="n"/>
      <c r="E554" s="95" t="n"/>
      <c r="F554" s="98" t="n"/>
      <c r="G554" s="94" t="n"/>
      <c r="H554" s="94" t="n"/>
      <c r="I554" s="100">
        <f>IF($B554="","",IFERROR(INDEX(Setup!$B$99:$B$128,MATCH($B554,Setup!$A$99:$A$128,0)),"CHECK TYPE"))</f>
        <v/>
      </c>
      <c r="J554">
        <f>IF($A554="","",DATE(YEAR($A554),MONTH($A554),1))</f>
        <v/>
      </c>
    </row>
    <row r="555">
      <c r="A555" s="85" t="n"/>
      <c r="B555" s="87" t="n"/>
      <c r="C555" s="87" t="n"/>
      <c r="D555" s="86" t="n"/>
      <c r="E555" s="87" t="n"/>
      <c r="F555" s="91" t="n"/>
      <c r="G555" s="86" t="n"/>
      <c r="H555" s="86" t="n"/>
      <c r="I555" s="100">
        <f>IF($B555="","",IFERROR(INDEX(Setup!$B$99:$B$128,MATCH($B555,Setup!$A$99:$A$128,0)),"CHECK TYPE"))</f>
        <v/>
      </c>
      <c r="J555">
        <f>IF($A555="","",DATE(YEAR($A555),MONTH($A555),1))</f>
        <v/>
      </c>
    </row>
    <row r="556">
      <c r="A556" s="93" t="n"/>
      <c r="B556" s="95" t="n"/>
      <c r="C556" s="95" t="n"/>
      <c r="D556" s="94" t="n"/>
      <c r="E556" s="95" t="n"/>
      <c r="F556" s="98" t="n"/>
      <c r="G556" s="94" t="n"/>
      <c r="H556" s="94" t="n"/>
      <c r="I556" s="100">
        <f>IF($B556="","",IFERROR(INDEX(Setup!$B$99:$B$128,MATCH($B556,Setup!$A$99:$A$128,0)),"CHECK TYPE"))</f>
        <v/>
      </c>
      <c r="J556">
        <f>IF($A556="","",DATE(YEAR($A556),MONTH($A556),1))</f>
        <v/>
      </c>
    </row>
    <row r="557">
      <c r="A557" s="85" t="n"/>
      <c r="B557" s="87" t="n"/>
      <c r="C557" s="87" t="n"/>
      <c r="D557" s="86" t="n"/>
      <c r="E557" s="87" t="n"/>
      <c r="F557" s="91" t="n"/>
      <c r="G557" s="86" t="n"/>
      <c r="H557" s="86" t="n"/>
      <c r="I557" s="100">
        <f>IF($B557="","",IFERROR(INDEX(Setup!$B$99:$B$128,MATCH($B557,Setup!$A$99:$A$128,0)),"CHECK TYPE"))</f>
        <v/>
      </c>
      <c r="J557">
        <f>IF($A557="","",DATE(YEAR($A557),MONTH($A557),1))</f>
        <v/>
      </c>
    </row>
    <row r="558">
      <c r="A558" s="93" t="n"/>
      <c r="B558" s="95" t="n"/>
      <c r="C558" s="95" t="n"/>
      <c r="D558" s="94" t="n"/>
      <c r="E558" s="95" t="n"/>
      <c r="F558" s="98" t="n"/>
      <c r="G558" s="94" t="n"/>
      <c r="H558" s="94" t="n"/>
      <c r="I558" s="100">
        <f>IF($B558="","",IFERROR(INDEX(Setup!$B$99:$B$128,MATCH($B558,Setup!$A$99:$A$128,0)),"CHECK TYPE"))</f>
        <v/>
      </c>
      <c r="J558">
        <f>IF($A558="","",DATE(YEAR($A558),MONTH($A558),1))</f>
        <v/>
      </c>
    </row>
    <row r="559">
      <c r="A559" s="85" t="n"/>
      <c r="B559" s="87" t="n"/>
      <c r="C559" s="87" t="n"/>
      <c r="D559" s="86" t="n"/>
      <c r="E559" s="87" t="n"/>
      <c r="F559" s="91" t="n"/>
      <c r="G559" s="86" t="n"/>
      <c r="H559" s="86" t="n"/>
      <c r="I559" s="100">
        <f>IF($B559="","",IFERROR(INDEX(Setup!$B$99:$B$128,MATCH($B559,Setup!$A$99:$A$128,0)),"CHECK TYPE"))</f>
        <v/>
      </c>
      <c r="J559">
        <f>IF($A559="","",DATE(YEAR($A559),MONTH($A559),1))</f>
        <v/>
      </c>
    </row>
    <row r="560">
      <c r="A560" s="93" t="n"/>
      <c r="B560" s="95" t="n"/>
      <c r="C560" s="95" t="n"/>
      <c r="D560" s="94" t="n"/>
      <c r="E560" s="95" t="n"/>
      <c r="F560" s="98" t="n"/>
      <c r="G560" s="94" t="n"/>
      <c r="H560" s="94" t="n"/>
      <c r="I560" s="100">
        <f>IF($B560="","",IFERROR(INDEX(Setup!$B$99:$B$128,MATCH($B560,Setup!$A$99:$A$128,0)),"CHECK TYPE"))</f>
        <v/>
      </c>
      <c r="J560">
        <f>IF($A560="","",DATE(YEAR($A560),MONTH($A560),1))</f>
        <v/>
      </c>
    </row>
    <row r="561">
      <c r="A561" s="85" t="n"/>
      <c r="B561" s="87" t="n"/>
      <c r="C561" s="87" t="n"/>
      <c r="D561" s="86" t="n"/>
      <c r="E561" s="87" t="n"/>
      <c r="F561" s="91" t="n"/>
      <c r="G561" s="86" t="n"/>
      <c r="H561" s="86" t="n"/>
      <c r="I561" s="100">
        <f>IF($B561="","",IFERROR(INDEX(Setup!$B$99:$B$128,MATCH($B561,Setup!$A$99:$A$128,0)),"CHECK TYPE"))</f>
        <v/>
      </c>
      <c r="J561">
        <f>IF($A561="","",DATE(YEAR($A561),MONTH($A561),1))</f>
        <v/>
      </c>
    </row>
    <row r="562">
      <c r="A562" s="93" t="n"/>
      <c r="B562" s="95" t="n"/>
      <c r="C562" s="95" t="n"/>
      <c r="D562" s="94" t="n"/>
      <c r="E562" s="95" t="n"/>
      <c r="F562" s="98" t="n"/>
      <c r="G562" s="94" t="n"/>
      <c r="H562" s="94" t="n"/>
      <c r="I562" s="100">
        <f>IF($B562="","",IFERROR(INDEX(Setup!$B$99:$B$128,MATCH($B562,Setup!$A$99:$A$128,0)),"CHECK TYPE"))</f>
        <v/>
      </c>
      <c r="J562">
        <f>IF($A562="","",DATE(YEAR($A562),MONTH($A562),1))</f>
        <v/>
      </c>
    </row>
    <row r="563">
      <c r="A563" s="85" t="n"/>
      <c r="B563" s="87" t="n"/>
      <c r="C563" s="87" t="n"/>
      <c r="D563" s="86" t="n"/>
      <c r="E563" s="87" t="n"/>
      <c r="F563" s="91" t="n"/>
      <c r="G563" s="86" t="n"/>
      <c r="H563" s="86" t="n"/>
      <c r="I563" s="100">
        <f>IF($B563="","",IFERROR(INDEX(Setup!$B$99:$B$128,MATCH($B563,Setup!$A$99:$A$128,0)),"CHECK TYPE"))</f>
        <v/>
      </c>
      <c r="J563">
        <f>IF($A563="","",DATE(YEAR($A563),MONTH($A563),1))</f>
        <v/>
      </c>
    </row>
    <row r="564">
      <c r="A564" s="93" t="n"/>
      <c r="B564" s="95" t="n"/>
      <c r="C564" s="95" t="n"/>
      <c r="D564" s="94" t="n"/>
      <c r="E564" s="95" t="n"/>
      <c r="F564" s="98" t="n"/>
      <c r="G564" s="94" t="n"/>
      <c r="H564" s="94" t="n"/>
      <c r="I564" s="100">
        <f>IF($B564="","",IFERROR(INDEX(Setup!$B$99:$B$128,MATCH($B564,Setup!$A$99:$A$128,0)),"CHECK TYPE"))</f>
        <v/>
      </c>
      <c r="J564">
        <f>IF($A564="","",DATE(YEAR($A564),MONTH($A564),1))</f>
        <v/>
      </c>
    </row>
    <row r="565">
      <c r="A565" s="85" t="n"/>
      <c r="B565" s="87" t="n"/>
      <c r="C565" s="87" t="n"/>
      <c r="D565" s="86" t="n"/>
      <c r="E565" s="87" t="n"/>
      <c r="F565" s="91" t="n"/>
      <c r="G565" s="86" t="n"/>
      <c r="H565" s="86" t="n"/>
      <c r="I565" s="100">
        <f>IF($B565="","",IFERROR(INDEX(Setup!$B$99:$B$128,MATCH($B565,Setup!$A$99:$A$128,0)),"CHECK TYPE"))</f>
        <v/>
      </c>
      <c r="J565">
        <f>IF($A565="","",DATE(YEAR($A565),MONTH($A565),1))</f>
        <v/>
      </c>
    </row>
    <row r="566">
      <c r="A566" s="93" t="n"/>
      <c r="B566" s="95" t="n"/>
      <c r="C566" s="95" t="n"/>
      <c r="D566" s="94" t="n"/>
      <c r="E566" s="95" t="n"/>
      <c r="F566" s="98" t="n"/>
      <c r="G566" s="94" t="n"/>
      <c r="H566" s="94" t="n"/>
      <c r="I566" s="100">
        <f>IF($B566="","",IFERROR(INDEX(Setup!$B$99:$B$128,MATCH($B566,Setup!$A$99:$A$128,0)),"CHECK TYPE"))</f>
        <v/>
      </c>
      <c r="J566">
        <f>IF($A566="","",DATE(YEAR($A566),MONTH($A566),1))</f>
        <v/>
      </c>
    </row>
    <row r="567">
      <c r="A567" s="85" t="n"/>
      <c r="B567" s="87" t="n"/>
      <c r="C567" s="87" t="n"/>
      <c r="D567" s="86" t="n"/>
      <c r="E567" s="87" t="n"/>
      <c r="F567" s="91" t="n"/>
      <c r="G567" s="86" t="n"/>
      <c r="H567" s="86" t="n"/>
      <c r="I567" s="100">
        <f>IF($B567="","",IFERROR(INDEX(Setup!$B$99:$B$128,MATCH($B567,Setup!$A$99:$A$128,0)),"CHECK TYPE"))</f>
        <v/>
      </c>
      <c r="J567">
        <f>IF($A567="","",DATE(YEAR($A567),MONTH($A567),1))</f>
        <v/>
      </c>
    </row>
    <row r="568">
      <c r="A568" s="93" t="n"/>
      <c r="B568" s="95" t="n"/>
      <c r="C568" s="95" t="n"/>
      <c r="D568" s="94" t="n"/>
      <c r="E568" s="95" t="n"/>
      <c r="F568" s="98" t="n"/>
      <c r="G568" s="94" t="n"/>
      <c r="H568" s="94" t="n"/>
      <c r="I568" s="100">
        <f>IF($B568="","",IFERROR(INDEX(Setup!$B$99:$B$128,MATCH($B568,Setup!$A$99:$A$128,0)),"CHECK TYPE"))</f>
        <v/>
      </c>
      <c r="J568">
        <f>IF($A568="","",DATE(YEAR($A568),MONTH($A568),1))</f>
        <v/>
      </c>
    </row>
    <row r="569">
      <c r="A569" s="85" t="n"/>
      <c r="B569" s="87" t="n"/>
      <c r="C569" s="87" t="n"/>
      <c r="D569" s="86" t="n"/>
      <c r="E569" s="87" t="n"/>
      <c r="F569" s="91" t="n"/>
      <c r="G569" s="86" t="n"/>
      <c r="H569" s="86" t="n"/>
      <c r="I569" s="100">
        <f>IF($B569="","",IFERROR(INDEX(Setup!$B$99:$B$128,MATCH($B569,Setup!$A$99:$A$128,0)),"CHECK TYPE"))</f>
        <v/>
      </c>
      <c r="J569">
        <f>IF($A569="","",DATE(YEAR($A569),MONTH($A569),1))</f>
        <v/>
      </c>
    </row>
    <row r="570">
      <c r="A570" s="93" t="n"/>
      <c r="B570" s="95" t="n"/>
      <c r="C570" s="95" t="n"/>
      <c r="D570" s="94" t="n"/>
      <c r="E570" s="95" t="n"/>
      <c r="F570" s="98" t="n"/>
      <c r="G570" s="94" t="n"/>
      <c r="H570" s="94" t="n"/>
      <c r="I570" s="100">
        <f>IF($B570="","",IFERROR(INDEX(Setup!$B$99:$B$128,MATCH($B570,Setup!$A$99:$A$128,0)),"CHECK TYPE"))</f>
        <v/>
      </c>
      <c r="J570">
        <f>IF($A570="","",DATE(YEAR($A570),MONTH($A570),1))</f>
        <v/>
      </c>
    </row>
    <row r="571">
      <c r="A571" s="85" t="n"/>
      <c r="B571" s="87" t="n"/>
      <c r="C571" s="87" t="n"/>
      <c r="D571" s="86" t="n"/>
      <c r="E571" s="87" t="n"/>
      <c r="F571" s="91" t="n"/>
      <c r="G571" s="86" t="n"/>
      <c r="H571" s="86" t="n"/>
      <c r="I571" s="100">
        <f>IF($B571="","",IFERROR(INDEX(Setup!$B$99:$B$128,MATCH($B571,Setup!$A$99:$A$128,0)),"CHECK TYPE"))</f>
        <v/>
      </c>
      <c r="J571">
        <f>IF($A571="","",DATE(YEAR($A571),MONTH($A571),1))</f>
        <v/>
      </c>
    </row>
    <row r="572">
      <c r="A572" s="93" t="n"/>
      <c r="B572" s="95" t="n"/>
      <c r="C572" s="95" t="n"/>
      <c r="D572" s="94" t="n"/>
      <c r="E572" s="95" t="n"/>
      <c r="F572" s="98" t="n"/>
      <c r="G572" s="94" t="n"/>
      <c r="H572" s="94" t="n"/>
      <c r="I572" s="100">
        <f>IF($B572="","",IFERROR(INDEX(Setup!$B$99:$B$128,MATCH($B572,Setup!$A$99:$A$128,0)),"CHECK TYPE"))</f>
        <v/>
      </c>
      <c r="J572">
        <f>IF($A572="","",DATE(YEAR($A572),MONTH($A572),1))</f>
        <v/>
      </c>
    </row>
    <row r="573">
      <c r="A573" s="85" t="n"/>
      <c r="B573" s="87" t="n"/>
      <c r="C573" s="87" t="n"/>
      <c r="D573" s="86" t="n"/>
      <c r="E573" s="87" t="n"/>
      <c r="F573" s="91" t="n"/>
      <c r="G573" s="86" t="n"/>
      <c r="H573" s="86" t="n"/>
      <c r="I573" s="100">
        <f>IF($B573="","",IFERROR(INDEX(Setup!$B$99:$B$128,MATCH($B573,Setup!$A$99:$A$128,0)),"CHECK TYPE"))</f>
        <v/>
      </c>
      <c r="J573">
        <f>IF($A573="","",DATE(YEAR($A573),MONTH($A573),1))</f>
        <v/>
      </c>
    </row>
    <row r="574">
      <c r="A574" s="93" t="n"/>
      <c r="B574" s="95" t="n"/>
      <c r="C574" s="95" t="n"/>
      <c r="D574" s="94" t="n"/>
      <c r="E574" s="95" t="n"/>
      <c r="F574" s="98" t="n"/>
      <c r="G574" s="94" t="n"/>
      <c r="H574" s="94" t="n"/>
      <c r="I574" s="100">
        <f>IF($B574="","",IFERROR(INDEX(Setup!$B$99:$B$128,MATCH($B574,Setup!$A$99:$A$128,0)),"CHECK TYPE"))</f>
        <v/>
      </c>
      <c r="J574">
        <f>IF($A574="","",DATE(YEAR($A574),MONTH($A574),1))</f>
        <v/>
      </c>
    </row>
    <row r="575">
      <c r="A575" s="85" t="n"/>
      <c r="B575" s="87" t="n"/>
      <c r="C575" s="87" t="n"/>
      <c r="D575" s="86" t="n"/>
      <c r="E575" s="87" t="n"/>
      <c r="F575" s="91" t="n"/>
      <c r="G575" s="86" t="n"/>
      <c r="H575" s="86" t="n"/>
      <c r="I575" s="100">
        <f>IF($B575="","",IFERROR(INDEX(Setup!$B$99:$B$128,MATCH($B575,Setup!$A$99:$A$128,0)),"CHECK TYPE"))</f>
        <v/>
      </c>
      <c r="J575">
        <f>IF($A575="","",DATE(YEAR($A575),MONTH($A575),1))</f>
        <v/>
      </c>
    </row>
    <row r="576">
      <c r="A576" s="93" t="n"/>
      <c r="B576" s="95" t="n"/>
      <c r="C576" s="95" t="n"/>
      <c r="D576" s="94" t="n"/>
      <c r="E576" s="95" t="n"/>
      <c r="F576" s="98" t="n"/>
      <c r="G576" s="94" t="n"/>
      <c r="H576" s="94" t="n"/>
      <c r="I576" s="100">
        <f>IF($B576="","",IFERROR(INDEX(Setup!$B$99:$B$128,MATCH($B576,Setup!$A$99:$A$128,0)),"CHECK TYPE"))</f>
        <v/>
      </c>
      <c r="J576">
        <f>IF($A576="","",DATE(YEAR($A576),MONTH($A576),1))</f>
        <v/>
      </c>
    </row>
    <row r="577">
      <c r="A577" s="85" t="n"/>
      <c r="B577" s="87" t="n"/>
      <c r="C577" s="87" t="n"/>
      <c r="D577" s="86" t="n"/>
      <c r="E577" s="87" t="n"/>
      <c r="F577" s="91" t="n"/>
      <c r="G577" s="86" t="n"/>
      <c r="H577" s="86" t="n"/>
      <c r="I577" s="100">
        <f>IF($B577="","",IFERROR(INDEX(Setup!$B$99:$B$128,MATCH($B577,Setup!$A$99:$A$128,0)),"CHECK TYPE"))</f>
        <v/>
      </c>
      <c r="J577">
        <f>IF($A577="","",DATE(YEAR($A577),MONTH($A577),1))</f>
        <v/>
      </c>
    </row>
    <row r="578">
      <c r="A578" s="93" t="n"/>
      <c r="B578" s="95" t="n"/>
      <c r="C578" s="95" t="n"/>
      <c r="D578" s="94" t="n"/>
      <c r="E578" s="95" t="n"/>
      <c r="F578" s="98" t="n"/>
      <c r="G578" s="94" t="n"/>
      <c r="H578" s="94" t="n"/>
      <c r="I578" s="100">
        <f>IF($B578="","",IFERROR(INDEX(Setup!$B$99:$B$128,MATCH($B578,Setup!$A$99:$A$128,0)),"CHECK TYPE"))</f>
        <v/>
      </c>
      <c r="J578">
        <f>IF($A578="","",DATE(YEAR($A578),MONTH($A578),1))</f>
        <v/>
      </c>
    </row>
    <row r="579">
      <c r="A579" s="85" t="n"/>
      <c r="B579" s="87" t="n"/>
      <c r="C579" s="87" t="n"/>
      <c r="D579" s="86" t="n"/>
      <c r="E579" s="87" t="n"/>
      <c r="F579" s="91" t="n"/>
      <c r="G579" s="86" t="n"/>
      <c r="H579" s="86" t="n"/>
      <c r="I579" s="100">
        <f>IF($B579="","",IFERROR(INDEX(Setup!$B$99:$B$128,MATCH($B579,Setup!$A$99:$A$128,0)),"CHECK TYPE"))</f>
        <v/>
      </c>
      <c r="J579">
        <f>IF($A579="","",DATE(YEAR($A579),MONTH($A579),1))</f>
        <v/>
      </c>
    </row>
    <row r="580">
      <c r="A580" s="93" t="n"/>
      <c r="B580" s="95" t="n"/>
      <c r="C580" s="95" t="n"/>
      <c r="D580" s="94" t="n"/>
      <c r="E580" s="95" t="n"/>
      <c r="F580" s="98" t="n"/>
      <c r="G580" s="94" t="n"/>
      <c r="H580" s="94" t="n"/>
      <c r="I580" s="100">
        <f>IF($B580="","",IFERROR(INDEX(Setup!$B$99:$B$128,MATCH($B580,Setup!$A$99:$A$128,0)),"CHECK TYPE"))</f>
        <v/>
      </c>
      <c r="J580">
        <f>IF($A580="","",DATE(YEAR($A580),MONTH($A580),1))</f>
        <v/>
      </c>
    </row>
    <row r="581">
      <c r="A581" s="85" t="n"/>
      <c r="B581" s="87" t="n"/>
      <c r="C581" s="87" t="n"/>
      <c r="D581" s="86" t="n"/>
      <c r="E581" s="87" t="n"/>
      <c r="F581" s="91" t="n"/>
      <c r="G581" s="86" t="n"/>
      <c r="H581" s="86" t="n"/>
      <c r="I581" s="100">
        <f>IF($B581="","",IFERROR(INDEX(Setup!$B$99:$B$128,MATCH($B581,Setup!$A$99:$A$128,0)),"CHECK TYPE"))</f>
        <v/>
      </c>
      <c r="J581">
        <f>IF($A581="","",DATE(YEAR($A581),MONTH($A581),1))</f>
        <v/>
      </c>
    </row>
    <row r="582">
      <c r="A582" s="93" t="n"/>
      <c r="B582" s="95" t="n"/>
      <c r="C582" s="95" t="n"/>
      <c r="D582" s="94" t="n"/>
      <c r="E582" s="95" t="n"/>
      <c r="F582" s="98" t="n"/>
      <c r="G582" s="94" t="n"/>
      <c r="H582" s="94" t="n"/>
      <c r="I582" s="100">
        <f>IF($B582="","",IFERROR(INDEX(Setup!$B$99:$B$128,MATCH($B582,Setup!$A$99:$A$128,0)),"CHECK TYPE"))</f>
        <v/>
      </c>
      <c r="J582">
        <f>IF($A582="","",DATE(YEAR($A582),MONTH($A582),1))</f>
        <v/>
      </c>
    </row>
    <row r="583">
      <c r="A583" s="85" t="n"/>
      <c r="B583" s="87" t="n"/>
      <c r="C583" s="87" t="n"/>
      <c r="D583" s="86" t="n"/>
      <c r="E583" s="87" t="n"/>
      <c r="F583" s="91" t="n"/>
      <c r="G583" s="86" t="n"/>
      <c r="H583" s="86" t="n"/>
      <c r="I583" s="100">
        <f>IF($B583="","",IFERROR(INDEX(Setup!$B$99:$B$128,MATCH($B583,Setup!$A$99:$A$128,0)),"CHECK TYPE"))</f>
        <v/>
      </c>
      <c r="J583">
        <f>IF($A583="","",DATE(YEAR($A583),MONTH($A583),1))</f>
        <v/>
      </c>
    </row>
    <row r="584">
      <c r="A584" s="93" t="n"/>
      <c r="B584" s="95" t="n"/>
      <c r="C584" s="95" t="n"/>
      <c r="D584" s="94" t="n"/>
      <c r="E584" s="95" t="n"/>
      <c r="F584" s="98" t="n"/>
      <c r="G584" s="94" t="n"/>
      <c r="H584" s="94" t="n"/>
      <c r="I584" s="100">
        <f>IF($B584="","",IFERROR(INDEX(Setup!$B$99:$B$128,MATCH($B584,Setup!$A$99:$A$128,0)),"CHECK TYPE"))</f>
        <v/>
      </c>
      <c r="J584">
        <f>IF($A584="","",DATE(YEAR($A584),MONTH($A584),1))</f>
        <v/>
      </c>
    </row>
    <row r="585">
      <c r="A585" s="85" t="n"/>
      <c r="B585" s="87" t="n"/>
      <c r="C585" s="87" t="n"/>
      <c r="D585" s="86" t="n"/>
      <c r="E585" s="87" t="n"/>
      <c r="F585" s="91" t="n"/>
      <c r="G585" s="86" t="n"/>
      <c r="H585" s="86" t="n"/>
      <c r="I585" s="100">
        <f>IF($B585="","",IFERROR(INDEX(Setup!$B$99:$B$128,MATCH($B585,Setup!$A$99:$A$128,0)),"CHECK TYPE"))</f>
        <v/>
      </c>
      <c r="J585">
        <f>IF($A585="","",DATE(YEAR($A585),MONTH($A585),1))</f>
        <v/>
      </c>
    </row>
    <row r="586">
      <c r="A586" s="93" t="n"/>
      <c r="B586" s="95" t="n"/>
      <c r="C586" s="95" t="n"/>
      <c r="D586" s="94" t="n"/>
      <c r="E586" s="95" t="n"/>
      <c r="F586" s="98" t="n"/>
      <c r="G586" s="94" t="n"/>
      <c r="H586" s="94" t="n"/>
      <c r="I586" s="100">
        <f>IF($B586="","",IFERROR(INDEX(Setup!$B$99:$B$128,MATCH($B586,Setup!$A$99:$A$128,0)),"CHECK TYPE"))</f>
        <v/>
      </c>
      <c r="J586">
        <f>IF($A586="","",DATE(YEAR($A586),MONTH($A586),1))</f>
        <v/>
      </c>
    </row>
    <row r="587">
      <c r="A587" s="85" t="n"/>
      <c r="B587" s="87" t="n"/>
      <c r="C587" s="87" t="n"/>
      <c r="D587" s="86" t="n"/>
      <c r="E587" s="87" t="n"/>
      <c r="F587" s="91" t="n"/>
      <c r="G587" s="86" t="n"/>
      <c r="H587" s="86" t="n"/>
      <c r="I587" s="100">
        <f>IF($B587="","",IFERROR(INDEX(Setup!$B$99:$B$128,MATCH($B587,Setup!$A$99:$A$128,0)),"CHECK TYPE"))</f>
        <v/>
      </c>
      <c r="J587">
        <f>IF($A587="","",DATE(YEAR($A587),MONTH($A587),1))</f>
        <v/>
      </c>
    </row>
    <row r="588">
      <c r="A588" s="93" t="n"/>
      <c r="B588" s="95" t="n"/>
      <c r="C588" s="95" t="n"/>
      <c r="D588" s="94" t="n"/>
      <c r="E588" s="95" t="n"/>
      <c r="F588" s="98" t="n"/>
      <c r="G588" s="94" t="n"/>
      <c r="H588" s="94" t="n"/>
      <c r="I588" s="100">
        <f>IF($B588="","",IFERROR(INDEX(Setup!$B$99:$B$128,MATCH($B588,Setup!$A$99:$A$128,0)),"CHECK TYPE"))</f>
        <v/>
      </c>
      <c r="J588">
        <f>IF($A588="","",DATE(YEAR($A588),MONTH($A588),1))</f>
        <v/>
      </c>
    </row>
    <row r="589">
      <c r="A589" s="85" t="n"/>
      <c r="B589" s="87" t="n"/>
      <c r="C589" s="87" t="n"/>
      <c r="D589" s="86" t="n"/>
      <c r="E589" s="87" t="n"/>
      <c r="F589" s="91" t="n"/>
      <c r="G589" s="86" t="n"/>
      <c r="H589" s="86" t="n"/>
      <c r="I589" s="100">
        <f>IF($B589="","",IFERROR(INDEX(Setup!$B$99:$B$128,MATCH($B589,Setup!$A$99:$A$128,0)),"CHECK TYPE"))</f>
        <v/>
      </c>
      <c r="J589">
        <f>IF($A589="","",DATE(YEAR($A589),MONTH($A589),1))</f>
        <v/>
      </c>
    </row>
    <row r="590">
      <c r="A590" s="93" t="n"/>
      <c r="B590" s="95" t="n"/>
      <c r="C590" s="95" t="n"/>
      <c r="D590" s="94" t="n"/>
      <c r="E590" s="95" t="n"/>
      <c r="F590" s="98" t="n"/>
      <c r="G590" s="94" t="n"/>
      <c r="H590" s="94" t="n"/>
      <c r="I590" s="100">
        <f>IF($B590="","",IFERROR(INDEX(Setup!$B$99:$B$128,MATCH($B590,Setup!$A$99:$A$128,0)),"CHECK TYPE"))</f>
        <v/>
      </c>
      <c r="J590">
        <f>IF($A590="","",DATE(YEAR($A590),MONTH($A590),1))</f>
        <v/>
      </c>
    </row>
    <row r="591">
      <c r="A591" s="85" t="n"/>
      <c r="B591" s="87" t="n"/>
      <c r="C591" s="87" t="n"/>
      <c r="D591" s="86" t="n"/>
      <c r="E591" s="87" t="n"/>
      <c r="F591" s="91" t="n"/>
      <c r="G591" s="86" t="n"/>
      <c r="H591" s="86" t="n"/>
      <c r="I591" s="100">
        <f>IF($B591="","",IFERROR(INDEX(Setup!$B$99:$B$128,MATCH($B591,Setup!$A$99:$A$128,0)),"CHECK TYPE"))</f>
        <v/>
      </c>
      <c r="J591">
        <f>IF($A591="","",DATE(YEAR($A591),MONTH($A591),1))</f>
        <v/>
      </c>
    </row>
    <row r="592">
      <c r="A592" s="93" t="n"/>
      <c r="B592" s="95" t="n"/>
      <c r="C592" s="95" t="n"/>
      <c r="D592" s="94" t="n"/>
      <c r="E592" s="95" t="n"/>
      <c r="F592" s="98" t="n"/>
      <c r="G592" s="94" t="n"/>
      <c r="H592" s="94" t="n"/>
      <c r="I592" s="100">
        <f>IF($B592="","",IFERROR(INDEX(Setup!$B$99:$B$128,MATCH($B592,Setup!$A$99:$A$128,0)),"CHECK TYPE"))</f>
        <v/>
      </c>
      <c r="J592">
        <f>IF($A592="","",DATE(YEAR($A592),MONTH($A592),1))</f>
        <v/>
      </c>
    </row>
    <row r="593">
      <c r="A593" s="85" t="n"/>
      <c r="B593" s="87" t="n"/>
      <c r="C593" s="87" t="n"/>
      <c r="D593" s="86" t="n"/>
      <c r="E593" s="87" t="n"/>
      <c r="F593" s="91" t="n"/>
      <c r="G593" s="86" t="n"/>
      <c r="H593" s="86" t="n"/>
      <c r="I593" s="100">
        <f>IF($B593="","",IFERROR(INDEX(Setup!$B$99:$B$128,MATCH($B593,Setup!$A$99:$A$128,0)),"CHECK TYPE"))</f>
        <v/>
      </c>
      <c r="J593">
        <f>IF($A593="","",DATE(YEAR($A593),MONTH($A593),1))</f>
        <v/>
      </c>
    </row>
    <row r="594">
      <c r="A594" s="93" t="n"/>
      <c r="B594" s="95" t="n"/>
      <c r="C594" s="95" t="n"/>
      <c r="D594" s="94" t="n"/>
      <c r="E594" s="95" t="n"/>
      <c r="F594" s="98" t="n"/>
      <c r="G594" s="94" t="n"/>
      <c r="H594" s="94" t="n"/>
      <c r="I594" s="100">
        <f>IF($B594="","",IFERROR(INDEX(Setup!$B$99:$B$128,MATCH($B594,Setup!$A$99:$A$128,0)),"CHECK TYPE"))</f>
        <v/>
      </c>
      <c r="J594">
        <f>IF($A594="","",DATE(YEAR($A594),MONTH($A594),1))</f>
        <v/>
      </c>
    </row>
    <row r="595">
      <c r="A595" s="85" t="n"/>
      <c r="B595" s="87" t="n"/>
      <c r="C595" s="87" t="n"/>
      <c r="D595" s="86" t="n"/>
      <c r="E595" s="87" t="n"/>
      <c r="F595" s="91" t="n"/>
      <c r="G595" s="86" t="n"/>
      <c r="H595" s="86" t="n"/>
      <c r="I595" s="100">
        <f>IF($B595="","",IFERROR(INDEX(Setup!$B$99:$B$128,MATCH($B595,Setup!$A$99:$A$128,0)),"CHECK TYPE"))</f>
        <v/>
      </c>
      <c r="J595">
        <f>IF($A595="","",DATE(YEAR($A595),MONTH($A595),1))</f>
        <v/>
      </c>
    </row>
    <row r="596">
      <c r="A596" s="93" t="n"/>
      <c r="B596" s="95" t="n"/>
      <c r="C596" s="95" t="n"/>
      <c r="D596" s="94" t="n"/>
      <c r="E596" s="95" t="n"/>
      <c r="F596" s="98" t="n"/>
      <c r="G596" s="94" t="n"/>
      <c r="H596" s="94" t="n"/>
      <c r="I596" s="100">
        <f>IF($B596="","",IFERROR(INDEX(Setup!$B$99:$B$128,MATCH($B596,Setup!$A$99:$A$128,0)),"CHECK TYPE"))</f>
        <v/>
      </c>
      <c r="J596">
        <f>IF($A596="","",DATE(YEAR($A596),MONTH($A596),1))</f>
        <v/>
      </c>
    </row>
    <row r="597">
      <c r="A597" s="85" t="n"/>
      <c r="B597" s="87" t="n"/>
      <c r="C597" s="87" t="n"/>
      <c r="D597" s="86" t="n"/>
      <c r="E597" s="87" t="n"/>
      <c r="F597" s="91" t="n"/>
      <c r="G597" s="86" t="n"/>
      <c r="H597" s="86" t="n"/>
      <c r="I597" s="100">
        <f>IF($B597="","",IFERROR(INDEX(Setup!$B$99:$B$128,MATCH($B597,Setup!$A$99:$A$128,0)),"CHECK TYPE"))</f>
        <v/>
      </c>
      <c r="J597">
        <f>IF($A597="","",DATE(YEAR($A597),MONTH($A597),1))</f>
        <v/>
      </c>
    </row>
    <row r="598">
      <c r="A598" s="93" t="n"/>
      <c r="B598" s="95" t="n"/>
      <c r="C598" s="95" t="n"/>
      <c r="D598" s="94" t="n"/>
      <c r="E598" s="95" t="n"/>
      <c r="F598" s="98" t="n"/>
      <c r="G598" s="94" t="n"/>
      <c r="H598" s="94" t="n"/>
      <c r="I598" s="100">
        <f>IF($B598="","",IFERROR(INDEX(Setup!$B$99:$B$128,MATCH($B598,Setup!$A$99:$A$128,0)),"CHECK TYPE"))</f>
        <v/>
      </c>
      <c r="J598">
        <f>IF($A598="","",DATE(YEAR($A598),MONTH($A598),1))</f>
        <v/>
      </c>
    </row>
    <row r="599">
      <c r="A599" s="85" t="n"/>
      <c r="B599" s="87" t="n"/>
      <c r="C599" s="87" t="n"/>
      <c r="D599" s="86" t="n"/>
      <c r="E599" s="87" t="n"/>
      <c r="F599" s="91" t="n"/>
      <c r="G599" s="86" t="n"/>
      <c r="H599" s="86" t="n"/>
      <c r="I599" s="100">
        <f>IF($B599="","",IFERROR(INDEX(Setup!$B$99:$B$128,MATCH($B599,Setup!$A$99:$A$128,0)),"CHECK TYPE"))</f>
        <v/>
      </c>
      <c r="J599">
        <f>IF($A599="","",DATE(YEAR($A599),MONTH($A599),1))</f>
        <v/>
      </c>
    </row>
    <row r="600">
      <c r="A600" s="93" t="n"/>
      <c r="B600" s="95" t="n"/>
      <c r="C600" s="95" t="n"/>
      <c r="D600" s="94" t="n"/>
      <c r="E600" s="95" t="n"/>
      <c r="F600" s="98" t="n"/>
      <c r="G600" s="94" t="n"/>
      <c r="H600" s="94" t="n"/>
      <c r="I600" s="100">
        <f>IF($B600="","",IFERROR(INDEX(Setup!$B$99:$B$128,MATCH($B600,Setup!$A$99:$A$128,0)),"CHECK TYPE"))</f>
        <v/>
      </c>
      <c r="J600">
        <f>IF($A600="","",DATE(YEAR($A600),MONTH($A600),1))</f>
        <v/>
      </c>
    </row>
    <row r="601">
      <c r="A601" s="85" t="n"/>
      <c r="B601" s="87" t="n"/>
      <c r="C601" s="87" t="n"/>
      <c r="D601" s="86" t="n"/>
      <c r="E601" s="87" t="n"/>
      <c r="F601" s="91" t="n"/>
      <c r="G601" s="86" t="n"/>
      <c r="H601" s="86" t="n"/>
      <c r="I601" s="100">
        <f>IF($B601="","",IFERROR(INDEX(Setup!$B$99:$B$128,MATCH($B601,Setup!$A$99:$A$128,0)),"CHECK TYPE"))</f>
        <v/>
      </c>
      <c r="J601">
        <f>IF($A601="","",DATE(YEAR($A601),MONTH($A601),1))</f>
        <v/>
      </c>
    </row>
    <row r="602">
      <c r="A602" s="93" t="n"/>
      <c r="B602" s="95" t="n"/>
      <c r="C602" s="95" t="n"/>
      <c r="D602" s="94" t="n"/>
      <c r="E602" s="95" t="n"/>
      <c r="F602" s="98" t="n"/>
      <c r="G602" s="94" t="n"/>
      <c r="H602" s="94" t="n"/>
      <c r="I602" s="100">
        <f>IF($B602="","",IFERROR(INDEX(Setup!$B$99:$B$128,MATCH($B602,Setup!$A$99:$A$128,0)),"CHECK TYPE"))</f>
        <v/>
      </c>
      <c r="J602">
        <f>IF($A602="","",DATE(YEAR($A602),MONTH($A602),1))</f>
        <v/>
      </c>
    </row>
    <row r="603">
      <c r="A603" s="85" t="n"/>
      <c r="B603" s="87" t="n"/>
      <c r="C603" s="87" t="n"/>
      <c r="D603" s="86" t="n"/>
      <c r="E603" s="87" t="n"/>
      <c r="F603" s="91" t="n"/>
      <c r="G603" s="86" t="n"/>
      <c r="H603" s="86" t="n"/>
      <c r="I603" s="100">
        <f>IF($B603="","",IFERROR(INDEX(Setup!$B$99:$B$128,MATCH($B603,Setup!$A$99:$A$128,0)),"CHECK TYPE"))</f>
        <v/>
      </c>
      <c r="J603">
        <f>IF($A603="","",DATE(YEAR($A603),MONTH($A603),1))</f>
        <v/>
      </c>
    </row>
    <row r="604">
      <c r="A604" s="93" t="n"/>
      <c r="B604" s="95" t="n"/>
      <c r="C604" s="95" t="n"/>
      <c r="D604" s="94" t="n"/>
      <c r="E604" s="95" t="n"/>
      <c r="F604" s="98" t="n"/>
      <c r="G604" s="94" t="n"/>
      <c r="H604" s="94" t="n"/>
      <c r="I604" s="100">
        <f>IF($B604="","",IFERROR(INDEX(Setup!$B$99:$B$128,MATCH($B604,Setup!$A$99:$A$128,0)),"CHECK TYPE"))</f>
        <v/>
      </c>
      <c r="J604">
        <f>IF($A604="","",DATE(YEAR($A604),MONTH($A604),1))</f>
        <v/>
      </c>
    </row>
    <row r="605">
      <c r="A605" s="85" t="n"/>
      <c r="B605" s="87" t="n"/>
      <c r="C605" s="87" t="n"/>
      <c r="D605" s="86" t="n"/>
      <c r="E605" s="87" t="n"/>
      <c r="F605" s="91" t="n"/>
      <c r="G605" s="86" t="n"/>
      <c r="H605" s="86" t="n"/>
      <c r="I605" s="100">
        <f>IF($B605="","",IFERROR(INDEX(Setup!$B$99:$B$128,MATCH($B605,Setup!$A$99:$A$128,0)),"CHECK TYPE"))</f>
        <v/>
      </c>
      <c r="J605">
        <f>IF($A605="","",DATE(YEAR($A605),MONTH($A605),1))</f>
        <v/>
      </c>
    </row>
    <row r="606">
      <c r="A606" s="93" t="n"/>
      <c r="B606" s="95" t="n"/>
      <c r="C606" s="95" t="n"/>
      <c r="D606" s="94" t="n"/>
      <c r="E606" s="95" t="n"/>
      <c r="F606" s="98" t="n"/>
      <c r="G606" s="94" t="n"/>
      <c r="H606" s="94" t="n"/>
      <c r="I606" s="100">
        <f>IF($B606="","",IFERROR(INDEX(Setup!$B$99:$B$128,MATCH($B606,Setup!$A$99:$A$128,0)),"CHECK TYPE"))</f>
        <v/>
      </c>
      <c r="J606">
        <f>IF($A606="","",DATE(YEAR($A606),MONTH($A606),1))</f>
        <v/>
      </c>
    </row>
    <row r="607">
      <c r="A607" s="85" t="n"/>
      <c r="B607" s="87" t="n"/>
      <c r="C607" s="87" t="n"/>
      <c r="D607" s="86" t="n"/>
      <c r="E607" s="87" t="n"/>
      <c r="F607" s="91" t="n"/>
      <c r="G607" s="86" t="n"/>
      <c r="H607" s="86" t="n"/>
      <c r="I607" s="100">
        <f>IF($B607="","",IFERROR(INDEX(Setup!$B$99:$B$128,MATCH($B607,Setup!$A$99:$A$128,0)),"CHECK TYPE"))</f>
        <v/>
      </c>
      <c r="J607">
        <f>IF($A607="","",DATE(YEAR($A607),MONTH($A607),1))</f>
        <v/>
      </c>
    </row>
    <row r="608">
      <c r="A608" s="93" t="n"/>
      <c r="B608" s="95" t="n"/>
      <c r="C608" s="95" t="n"/>
      <c r="D608" s="94" t="n"/>
      <c r="E608" s="95" t="n"/>
      <c r="F608" s="98" t="n"/>
      <c r="G608" s="94" t="n"/>
      <c r="H608" s="94" t="n"/>
      <c r="I608" s="100">
        <f>IF($B608="","",IFERROR(INDEX(Setup!$B$99:$B$128,MATCH($B608,Setup!$A$99:$A$128,0)),"CHECK TYPE"))</f>
        <v/>
      </c>
      <c r="J608">
        <f>IF($A608="","",DATE(YEAR($A608),MONTH($A608),1))</f>
        <v/>
      </c>
    </row>
    <row r="609">
      <c r="A609" s="85" t="n"/>
      <c r="B609" s="87" t="n"/>
      <c r="C609" s="87" t="n"/>
      <c r="D609" s="86" t="n"/>
      <c r="E609" s="87" t="n"/>
      <c r="F609" s="91" t="n"/>
      <c r="G609" s="86" t="n"/>
      <c r="H609" s="86" t="n"/>
      <c r="I609" s="100">
        <f>IF($B609="","",IFERROR(INDEX(Setup!$B$99:$B$128,MATCH($B609,Setup!$A$99:$A$128,0)),"CHECK TYPE"))</f>
        <v/>
      </c>
      <c r="J609">
        <f>IF($A609="","",DATE(YEAR($A609),MONTH($A609),1))</f>
        <v/>
      </c>
    </row>
    <row r="610">
      <c r="A610" s="93" t="n"/>
      <c r="B610" s="95" t="n"/>
      <c r="C610" s="95" t="n"/>
      <c r="D610" s="94" t="n"/>
      <c r="E610" s="95" t="n"/>
      <c r="F610" s="98" t="n"/>
      <c r="G610" s="94" t="n"/>
      <c r="H610" s="94" t="n"/>
      <c r="I610" s="100">
        <f>IF($B610="","",IFERROR(INDEX(Setup!$B$99:$B$128,MATCH($B610,Setup!$A$99:$A$128,0)),"CHECK TYPE"))</f>
        <v/>
      </c>
      <c r="J610">
        <f>IF($A610="","",DATE(YEAR($A610),MONTH($A610),1))</f>
        <v/>
      </c>
    </row>
    <row r="611">
      <c r="A611" s="85" t="n"/>
      <c r="B611" s="87" t="n"/>
      <c r="C611" s="87" t="n"/>
      <c r="D611" s="86" t="n"/>
      <c r="E611" s="87" t="n"/>
      <c r="F611" s="91" t="n"/>
      <c r="G611" s="86" t="n"/>
      <c r="H611" s="86" t="n"/>
      <c r="I611" s="100">
        <f>IF($B611="","",IFERROR(INDEX(Setup!$B$99:$B$128,MATCH($B611,Setup!$A$99:$A$128,0)),"CHECK TYPE"))</f>
        <v/>
      </c>
      <c r="J611">
        <f>IF($A611="","",DATE(YEAR($A611),MONTH($A611),1))</f>
        <v/>
      </c>
    </row>
    <row r="612">
      <c r="A612" s="93" t="n"/>
      <c r="B612" s="95" t="n"/>
      <c r="C612" s="95" t="n"/>
      <c r="D612" s="94" t="n"/>
      <c r="E612" s="95" t="n"/>
      <c r="F612" s="98" t="n"/>
      <c r="G612" s="94" t="n"/>
      <c r="H612" s="94" t="n"/>
      <c r="I612" s="100">
        <f>IF($B612="","",IFERROR(INDEX(Setup!$B$99:$B$128,MATCH($B612,Setup!$A$99:$A$128,0)),"CHECK TYPE"))</f>
        <v/>
      </c>
      <c r="J612">
        <f>IF($A612="","",DATE(YEAR($A612),MONTH($A612),1))</f>
        <v/>
      </c>
    </row>
    <row r="613">
      <c r="A613" s="85" t="n"/>
      <c r="B613" s="87" t="n"/>
      <c r="C613" s="87" t="n"/>
      <c r="D613" s="86" t="n"/>
      <c r="E613" s="87" t="n"/>
      <c r="F613" s="91" t="n"/>
      <c r="G613" s="86" t="n"/>
      <c r="H613" s="86" t="n"/>
      <c r="I613" s="100">
        <f>IF($B613="","",IFERROR(INDEX(Setup!$B$99:$B$128,MATCH($B613,Setup!$A$99:$A$128,0)),"CHECK TYPE"))</f>
        <v/>
      </c>
      <c r="J613">
        <f>IF($A613="","",DATE(YEAR($A613),MONTH($A613),1))</f>
        <v/>
      </c>
    </row>
    <row r="614">
      <c r="A614" s="93" t="n"/>
      <c r="B614" s="95" t="n"/>
      <c r="C614" s="95" t="n"/>
      <c r="D614" s="94" t="n"/>
      <c r="E614" s="95" t="n"/>
      <c r="F614" s="98" t="n"/>
      <c r="G614" s="94" t="n"/>
      <c r="H614" s="94" t="n"/>
      <c r="I614" s="100">
        <f>IF($B614="","",IFERROR(INDEX(Setup!$B$99:$B$128,MATCH($B614,Setup!$A$99:$A$128,0)),"CHECK TYPE"))</f>
        <v/>
      </c>
      <c r="J614">
        <f>IF($A614="","",DATE(YEAR($A614),MONTH($A614),1))</f>
        <v/>
      </c>
    </row>
    <row r="615">
      <c r="A615" s="85" t="n"/>
      <c r="B615" s="87" t="n"/>
      <c r="C615" s="87" t="n"/>
      <c r="D615" s="86" t="n"/>
      <c r="E615" s="87" t="n"/>
      <c r="F615" s="91" t="n"/>
      <c r="G615" s="86" t="n"/>
      <c r="H615" s="86" t="n"/>
      <c r="I615" s="100">
        <f>IF($B615="","",IFERROR(INDEX(Setup!$B$99:$B$128,MATCH($B615,Setup!$A$99:$A$128,0)),"CHECK TYPE"))</f>
        <v/>
      </c>
      <c r="J615">
        <f>IF($A615="","",DATE(YEAR($A615),MONTH($A615),1))</f>
        <v/>
      </c>
    </row>
    <row r="616">
      <c r="A616" s="93" t="n"/>
      <c r="B616" s="95" t="n"/>
      <c r="C616" s="95" t="n"/>
      <c r="D616" s="94" t="n"/>
      <c r="E616" s="95" t="n"/>
      <c r="F616" s="98" t="n"/>
      <c r="G616" s="94" t="n"/>
      <c r="H616" s="94" t="n"/>
      <c r="I616" s="100">
        <f>IF($B616="","",IFERROR(INDEX(Setup!$B$99:$B$128,MATCH($B616,Setup!$A$99:$A$128,0)),"CHECK TYPE"))</f>
        <v/>
      </c>
      <c r="J616">
        <f>IF($A616="","",DATE(YEAR($A616),MONTH($A616),1))</f>
        <v/>
      </c>
    </row>
    <row r="617">
      <c r="A617" s="85" t="n"/>
      <c r="B617" s="87" t="n"/>
      <c r="C617" s="87" t="n"/>
      <c r="D617" s="86" t="n"/>
      <c r="E617" s="87" t="n"/>
      <c r="F617" s="91" t="n"/>
      <c r="G617" s="86" t="n"/>
      <c r="H617" s="86" t="n"/>
      <c r="I617" s="100">
        <f>IF($B617="","",IFERROR(INDEX(Setup!$B$99:$B$128,MATCH($B617,Setup!$A$99:$A$128,0)),"CHECK TYPE"))</f>
        <v/>
      </c>
      <c r="J617">
        <f>IF($A617="","",DATE(YEAR($A617),MONTH($A617),1))</f>
        <v/>
      </c>
    </row>
    <row r="618">
      <c r="A618" s="93" t="n"/>
      <c r="B618" s="95" t="n"/>
      <c r="C618" s="95" t="n"/>
      <c r="D618" s="94" t="n"/>
      <c r="E618" s="95" t="n"/>
      <c r="F618" s="98" t="n"/>
      <c r="G618" s="94" t="n"/>
      <c r="H618" s="94" t="n"/>
      <c r="I618" s="100">
        <f>IF($B618="","",IFERROR(INDEX(Setup!$B$99:$B$128,MATCH($B618,Setup!$A$99:$A$128,0)),"CHECK TYPE"))</f>
        <v/>
      </c>
      <c r="J618">
        <f>IF($A618="","",DATE(YEAR($A618),MONTH($A618),1))</f>
        <v/>
      </c>
    </row>
    <row r="619">
      <c r="A619" s="85" t="n"/>
      <c r="B619" s="87" t="n"/>
      <c r="C619" s="87" t="n"/>
      <c r="D619" s="86" t="n"/>
      <c r="E619" s="87" t="n"/>
      <c r="F619" s="91" t="n"/>
      <c r="G619" s="86" t="n"/>
      <c r="H619" s="86" t="n"/>
      <c r="I619" s="100">
        <f>IF($B619="","",IFERROR(INDEX(Setup!$B$99:$B$128,MATCH($B619,Setup!$A$99:$A$128,0)),"CHECK TYPE"))</f>
        <v/>
      </c>
      <c r="J619">
        <f>IF($A619="","",DATE(YEAR($A619),MONTH($A619),1))</f>
        <v/>
      </c>
    </row>
    <row r="620">
      <c r="A620" s="93" t="n"/>
      <c r="B620" s="95" t="n"/>
      <c r="C620" s="95" t="n"/>
      <c r="D620" s="94" t="n"/>
      <c r="E620" s="95" t="n"/>
      <c r="F620" s="98" t="n"/>
      <c r="G620" s="94" t="n"/>
      <c r="H620" s="94" t="n"/>
      <c r="I620" s="100">
        <f>IF($B620="","",IFERROR(INDEX(Setup!$B$99:$B$128,MATCH($B620,Setup!$A$99:$A$128,0)),"CHECK TYPE"))</f>
        <v/>
      </c>
      <c r="J620">
        <f>IF($A620="","",DATE(YEAR($A620),MONTH($A620),1))</f>
        <v/>
      </c>
    </row>
    <row r="621">
      <c r="A621" s="85" t="n"/>
      <c r="B621" s="87" t="n"/>
      <c r="C621" s="87" t="n"/>
      <c r="D621" s="86" t="n"/>
      <c r="E621" s="87" t="n"/>
      <c r="F621" s="91" t="n"/>
      <c r="G621" s="86" t="n"/>
      <c r="H621" s="86" t="n"/>
      <c r="I621" s="100">
        <f>IF($B621="","",IFERROR(INDEX(Setup!$B$99:$B$128,MATCH($B621,Setup!$A$99:$A$128,0)),"CHECK TYPE"))</f>
        <v/>
      </c>
      <c r="J621">
        <f>IF($A621="","",DATE(YEAR($A621),MONTH($A621),1))</f>
        <v/>
      </c>
    </row>
    <row r="622">
      <c r="A622" s="93" t="n"/>
      <c r="B622" s="95" t="n"/>
      <c r="C622" s="95" t="n"/>
      <c r="D622" s="94" t="n"/>
      <c r="E622" s="95" t="n"/>
      <c r="F622" s="98" t="n"/>
      <c r="G622" s="94" t="n"/>
      <c r="H622" s="94" t="n"/>
      <c r="I622" s="100">
        <f>IF($B622="","",IFERROR(INDEX(Setup!$B$99:$B$128,MATCH($B622,Setup!$A$99:$A$128,0)),"CHECK TYPE"))</f>
        <v/>
      </c>
      <c r="J622">
        <f>IF($A622="","",DATE(YEAR($A622),MONTH($A622),1))</f>
        <v/>
      </c>
    </row>
    <row r="623">
      <c r="A623" s="85" t="n"/>
      <c r="B623" s="87" t="n"/>
      <c r="C623" s="87" t="n"/>
      <c r="D623" s="86" t="n"/>
      <c r="E623" s="87" t="n"/>
      <c r="F623" s="91" t="n"/>
      <c r="G623" s="86" t="n"/>
      <c r="H623" s="86" t="n"/>
      <c r="I623" s="100">
        <f>IF($B623="","",IFERROR(INDEX(Setup!$B$99:$B$128,MATCH($B623,Setup!$A$99:$A$128,0)),"CHECK TYPE"))</f>
        <v/>
      </c>
      <c r="J623">
        <f>IF($A623="","",DATE(YEAR($A623),MONTH($A623),1))</f>
        <v/>
      </c>
    </row>
    <row r="624">
      <c r="A624" s="93" t="n"/>
      <c r="B624" s="95" t="n"/>
      <c r="C624" s="95" t="n"/>
      <c r="D624" s="94" t="n"/>
      <c r="E624" s="95" t="n"/>
      <c r="F624" s="98" t="n"/>
      <c r="G624" s="94" t="n"/>
      <c r="H624" s="94" t="n"/>
      <c r="I624" s="100">
        <f>IF($B624="","",IFERROR(INDEX(Setup!$B$99:$B$128,MATCH($B624,Setup!$A$99:$A$128,0)),"CHECK TYPE"))</f>
        <v/>
      </c>
      <c r="J624">
        <f>IF($A624="","",DATE(YEAR($A624),MONTH($A624),1))</f>
        <v/>
      </c>
    </row>
    <row r="625">
      <c r="A625" s="85" t="n"/>
      <c r="B625" s="87" t="n"/>
      <c r="C625" s="87" t="n"/>
      <c r="D625" s="86" t="n"/>
      <c r="E625" s="87" t="n"/>
      <c r="F625" s="91" t="n"/>
      <c r="G625" s="86" t="n"/>
      <c r="H625" s="86" t="n"/>
      <c r="I625" s="100">
        <f>IF($B625="","",IFERROR(INDEX(Setup!$B$99:$B$128,MATCH($B625,Setup!$A$99:$A$128,0)),"CHECK TYPE"))</f>
        <v/>
      </c>
      <c r="J625">
        <f>IF($A625="","",DATE(YEAR($A625),MONTH($A625),1))</f>
        <v/>
      </c>
    </row>
    <row r="626">
      <c r="A626" s="93" t="n"/>
      <c r="B626" s="95" t="n"/>
      <c r="C626" s="95" t="n"/>
      <c r="D626" s="94" t="n"/>
      <c r="E626" s="95" t="n"/>
      <c r="F626" s="98" t="n"/>
      <c r="G626" s="94" t="n"/>
      <c r="H626" s="94" t="n"/>
      <c r="I626" s="100">
        <f>IF($B626="","",IFERROR(INDEX(Setup!$B$99:$B$128,MATCH($B626,Setup!$A$99:$A$128,0)),"CHECK TYPE"))</f>
        <v/>
      </c>
      <c r="J626">
        <f>IF($A626="","",DATE(YEAR($A626),MONTH($A626),1))</f>
        <v/>
      </c>
    </row>
    <row r="627">
      <c r="A627" s="85" t="n"/>
      <c r="B627" s="87" t="n"/>
      <c r="C627" s="87" t="n"/>
      <c r="D627" s="86" t="n"/>
      <c r="E627" s="87" t="n"/>
      <c r="F627" s="91" t="n"/>
      <c r="G627" s="86" t="n"/>
      <c r="H627" s="86" t="n"/>
      <c r="I627" s="100">
        <f>IF($B627="","",IFERROR(INDEX(Setup!$B$99:$B$128,MATCH($B627,Setup!$A$99:$A$128,0)),"CHECK TYPE"))</f>
        <v/>
      </c>
      <c r="J627">
        <f>IF($A627="","",DATE(YEAR($A627),MONTH($A627),1))</f>
        <v/>
      </c>
    </row>
    <row r="628">
      <c r="A628" s="93" t="n"/>
      <c r="B628" s="95" t="n"/>
      <c r="C628" s="95" t="n"/>
      <c r="D628" s="94" t="n"/>
      <c r="E628" s="95" t="n"/>
      <c r="F628" s="98" t="n"/>
      <c r="G628" s="94" t="n"/>
      <c r="H628" s="94" t="n"/>
      <c r="I628" s="100">
        <f>IF($B628="","",IFERROR(INDEX(Setup!$B$99:$B$128,MATCH($B628,Setup!$A$99:$A$128,0)),"CHECK TYPE"))</f>
        <v/>
      </c>
      <c r="J628">
        <f>IF($A628="","",DATE(YEAR($A628),MONTH($A628),1))</f>
        <v/>
      </c>
    </row>
    <row r="629">
      <c r="A629" s="85" t="n"/>
      <c r="B629" s="87" t="n"/>
      <c r="C629" s="87" t="n"/>
      <c r="D629" s="86" t="n"/>
      <c r="E629" s="87" t="n"/>
      <c r="F629" s="91" t="n"/>
      <c r="G629" s="86" t="n"/>
      <c r="H629" s="86" t="n"/>
      <c r="I629" s="100">
        <f>IF($B629="","",IFERROR(INDEX(Setup!$B$99:$B$128,MATCH($B629,Setup!$A$99:$A$128,0)),"CHECK TYPE"))</f>
        <v/>
      </c>
      <c r="J629">
        <f>IF($A629="","",DATE(YEAR($A629),MONTH($A629),1))</f>
        <v/>
      </c>
    </row>
    <row r="630">
      <c r="A630" s="93" t="n"/>
      <c r="B630" s="95" t="n"/>
      <c r="C630" s="95" t="n"/>
      <c r="D630" s="94" t="n"/>
      <c r="E630" s="95" t="n"/>
      <c r="F630" s="98" t="n"/>
      <c r="G630" s="94" t="n"/>
      <c r="H630" s="94" t="n"/>
      <c r="I630" s="100">
        <f>IF($B630="","",IFERROR(INDEX(Setup!$B$99:$B$128,MATCH($B630,Setup!$A$99:$A$128,0)),"CHECK TYPE"))</f>
        <v/>
      </c>
      <c r="J630">
        <f>IF($A630="","",DATE(YEAR($A630),MONTH($A630),1))</f>
        <v/>
      </c>
    </row>
    <row r="631">
      <c r="A631" s="85" t="n"/>
      <c r="B631" s="87" t="n"/>
      <c r="C631" s="87" t="n"/>
      <c r="D631" s="86" t="n"/>
      <c r="E631" s="87" t="n"/>
      <c r="F631" s="91" t="n"/>
      <c r="G631" s="86" t="n"/>
      <c r="H631" s="86" t="n"/>
      <c r="I631" s="100">
        <f>IF($B631="","",IFERROR(INDEX(Setup!$B$99:$B$128,MATCH($B631,Setup!$A$99:$A$128,0)),"CHECK TYPE"))</f>
        <v/>
      </c>
      <c r="J631">
        <f>IF($A631="","",DATE(YEAR($A631),MONTH($A631),1))</f>
        <v/>
      </c>
    </row>
    <row r="632">
      <c r="A632" s="93" t="n"/>
      <c r="B632" s="95" t="n"/>
      <c r="C632" s="95" t="n"/>
      <c r="D632" s="94" t="n"/>
      <c r="E632" s="95" t="n"/>
      <c r="F632" s="98" t="n"/>
      <c r="G632" s="94" t="n"/>
      <c r="H632" s="94" t="n"/>
      <c r="I632" s="100">
        <f>IF($B632="","",IFERROR(INDEX(Setup!$B$99:$B$128,MATCH($B632,Setup!$A$99:$A$128,0)),"CHECK TYPE"))</f>
        <v/>
      </c>
      <c r="J632">
        <f>IF($A632="","",DATE(YEAR($A632),MONTH($A632),1))</f>
        <v/>
      </c>
    </row>
    <row r="633">
      <c r="A633" s="85" t="n"/>
      <c r="B633" s="87" t="n"/>
      <c r="C633" s="87" t="n"/>
      <c r="D633" s="86" t="n"/>
      <c r="E633" s="87" t="n"/>
      <c r="F633" s="91" t="n"/>
      <c r="G633" s="86" t="n"/>
      <c r="H633" s="86" t="n"/>
      <c r="I633" s="100">
        <f>IF($B633="","",IFERROR(INDEX(Setup!$B$99:$B$128,MATCH($B633,Setup!$A$99:$A$128,0)),"CHECK TYPE"))</f>
        <v/>
      </c>
      <c r="J633">
        <f>IF($A633="","",DATE(YEAR($A633),MONTH($A633),1))</f>
        <v/>
      </c>
    </row>
    <row r="634">
      <c r="A634" s="93" t="n"/>
      <c r="B634" s="95" t="n"/>
      <c r="C634" s="95" t="n"/>
      <c r="D634" s="94" t="n"/>
      <c r="E634" s="95" t="n"/>
      <c r="F634" s="98" t="n"/>
      <c r="G634" s="94" t="n"/>
      <c r="H634" s="94" t="n"/>
      <c r="I634" s="100">
        <f>IF($B634="","",IFERROR(INDEX(Setup!$B$99:$B$128,MATCH($B634,Setup!$A$99:$A$128,0)),"CHECK TYPE"))</f>
        <v/>
      </c>
      <c r="J634">
        <f>IF($A634="","",DATE(YEAR($A634),MONTH($A634),1))</f>
        <v/>
      </c>
    </row>
    <row r="635">
      <c r="A635" s="85" t="n"/>
      <c r="B635" s="87" t="n"/>
      <c r="C635" s="87" t="n"/>
      <c r="D635" s="86" t="n"/>
      <c r="E635" s="87" t="n"/>
      <c r="F635" s="91" t="n"/>
      <c r="G635" s="86" t="n"/>
      <c r="H635" s="86" t="n"/>
      <c r="I635" s="100">
        <f>IF($B635="","",IFERROR(INDEX(Setup!$B$99:$B$128,MATCH($B635,Setup!$A$99:$A$128,0)),"CHECK TYPE"))</f>
        <v/>
      </c>
      <c r="J635">
        <f>IF($A635="","",DATE(YEAR($A635),MONTH($A635),1))</f>
        <v/>
      </c>
    </row>
    <row r="636">
      <c r="A636" s="93" t="n"/>
      <c r="B636" s="95" t="n"/>
      <c r="C636" s="95" t="n"/>
      <c r="D636" s="94" t="n"/>
      <c r="E636" s="95" t="n"/>
      <c r="F636" s="98" t="n"/>
      <c r="G636" s="94" t="n"/>
      <c r="H636" s="94" t="n"/>
      <c r="I636" s="100">
        <f>IF($B636="","",IFERROR(INDEX(Setup!$B$99:$B$128,MATCH($B636,Setup!$A$99:$A$128,0)),"CHECK TYPE"))</f>
        <v/>
      </c>
      <c r="J636">
        <f>IF($A636="","",DATE(YEAR($A636),MONTH($A636),1))</f>
        <v/>
      </c>
    </row>
    <row r="637">
      <c r="A637" s="85" t="n"/>
      <c r="B637" s="87" t="n"/>
      <c r="C637" s="87" t="n"/>
      <c r="D637" s="86" t="n"/>
      <c r="E637" s="87" t="n"/>
      <c r="F637" s="91" t="n"/>
      <c r="G637" s="86" t="n"/>
      <c r="H637" s="86" t="n"/>
      <c r="I637" s="100">
        <f>IF($B637="","",IFERROR(INDEX(Setup!$B$99:$B$128,MATCH($B637,Setup!$A$99:$A$128,0)),"CHECK TYPE"))</f>
        <v/>
      </c>
      <c r="J637">
        <f>IF($A637="","",DATE(YEAR($A637),MONTH($A637),1))</f>
        <v/>
      </c>
    </row>
    <row r="638">
      <c r="A638" s="93" t="n"/>
      <c r="B638" s="95" t="n"/>
      <c r="C638" s="95" t="n"/>
      <c r="D638" s="94" t="n"/>
      <c r="E638" s="95" t="n"/>
      <c r="F638" s="98" t="n"/>
      <c r="G638" s="94" t="n"/>
      <c r="H638" s="94" t="n"/>
      <c r="I638" s="100">
        <f>IF($B638="","",IFERROR(INDEX(Setup!$B$99:$B$128,MATCH($B638,Setup!$A$99:$A$128,0)),"CHECK TYPE"))</f>
        <v/>
      </c>
      <c r="J638">
        <f>IF($A638="","",DATE(YEAR($A638),MONTH($A638),1))</f>
        <v/>
      </c>
    </row>
    <row r="639">
      <c r="A639" s="85" t="n"/>
      <c r="B639" s="87" t="n"/>
      <c r="C639" s="87" t="n"/>
      <c r="D639" s="86" t="n"/>
      <c r="E639" s="87" t="n"/>
      <c r="F639" s="91" t="n"/>
      <c r="G639" s="86" t="n"/>
      <c r="H639" s="86" t="n"/>
      <c r="I639" s="100">
        <f>IF($B639="","",IFERROR(INDEX(Setup!$B$99:$B$128,MATCH($B639,Setup!$A$99:$A$128,0)),"CHECK TYPE"))</f>
        <v/>
      </c>
      <c r="J639">
        <f>IF($A639="","",DATE(YEAR($A639),MONTH($A639),1))</f>
        <v/>
      </c>
    </row>
    <row r="640">
      <c r="A640" s="93" t="n"/>
      <c r="B640" s="95" t="n"/>
      <c r="C640" s="95" t="n"/>
      <c r="D640" s="94" t="n"/>
      <c r="E640" s="95" t="n"/>
      <c r="F640" s="98" t="n"/>
      <c r="G640" s="94" t="n"/>
      <c r="H640" s="94" t="n"/>
      <c r="I640" s="100">
        <f>IF($B640="","",IFERROR(INDEX(Setup!$B$99:$B$128,MATCH($B640,Setup!$A$99:$A$128,0)),"CHECK TYPE"))</f>
        <v/>
      </c>
      <c r="J640">
        <f>IF($A640="","",DATE(YEAR($A640),MONTH($A640),1))</f>
        <v/>
      </c>
    </row>
    <row r="641">
      <c r="A641" s="85" t="n"/>
      <c r="B641" s="87" t="n"/>
      <c r="C641" s="87" t="n"/>
      <c r="D641" s="86" t="n"/>
      <c r="E641" s="87" t="n"/>
      <c r="F641" s="91" t="n"/>
      <c r="G641" s="86" t="n"/>
      <c r="H641" s="86" t="n"/>
      <c r="I641" s="100">
        <f>IF($B641="","",IFERROR(INDEX(Setup!$B$99:$B$128,MATCH($B641,Setup!$A$99:$A$128,0)),"CHECK TYPE"))</f>
        <v/>
      </c>
      <c r="J641">
        <f>IF($A641="","",DATE(YEAR($A641),MONTH($A641),1))</f>
        <v/>
      </c>
    </row>
    <row r="642">
      <c r="A642" s="93" t="n"/>
      <c r="B642" s="95" t="n"/>
      <c r="C642" s="95" t="n"/>
      <c r="D642" s="94" t="n"/>
      <c r="E642" s="95" t="n"/>
      <c r="F642" s="98" t="n"/>
      <c r="G642" s="94" t="n"/>
      <c r="H642" s="94" t="n"/>
      <c r="I642" s="100">
        <f>IF($B642="","",IFERROR(INDEX(Setup!$B$99:$B$128,MATCH($B642,Setup!$A$99:$A$128,0)),"CHECK TYPE"))</f>
        <v/>
      </c>
      <c r="J642">
        <f>IF($A642="","",DATE(YEAR($A642),MONTH($A642),1))</f>
        <v/>
      </c>
    </row>
    <row r="643">
      <c r="A643" s="85" t="n"/>
      <c r="B643" s="87" t="n"/>
      <c r="C643" s="87" t="n"/>
      <c r="D643" s="86" t="n"/>
      <c r="E643" s="87" t="n"/>
      <c r="F643" s="91" t="n"/>
      <c r="G643" s="86" t="n"/>
      <c r="H643" s="86" t="n"/>
      <c r="I643" s="100">
        <f>IF($B643="","",IFERROR(INDEX(Setup!$B$99:$B$128,MATCH($B643,Setup!$A$99:$A$128,0)),"CHECK TYPE"))</f>
        <v/>
      </c>
      <c r="J643">
        <f>IF($A643="","",DATE(YEAR($A643),MONTH($A643),1))</f>
        <v/>
      </c>
    </row>
    <row r="644">
      <c r="A644" s="93" t="n"/>
      <c r="B644" s="95" t="n"/>
      <c r="C644" s="95" t="n"/>
      <c r="D644" s="94" t="n"/>
      <c r="E644" s="95" t="n"/>
      <c r="F644" s="98" t="n"/>
      <c r="G644" s="94" t="n"/>
      <c r="H644" s="94" t="n"/>
      <c r="I644" s="100">
        <f>IF($B644="","",IFERROR(INDEX(Setup!$B$99:$B$128,MATCH($B644,Setup!$A$99:$A$128,0)),"CHECK TYPE"))</f>
        <v/>
      </c>
      <c r="J644">
        <f>IF($A644="","",DATE(YEAR($A644),MONTH($A644),1))</f>
        <v/>
      </c>
    </row>
    <row r="645">
      <c r="A645" s="85" t="n"/>
      <c r="B645" s="87" t="n"/>
      <c r="C645" s="87" t="n"/>
      <c r="D645" s="86" t="n"/>
      <c r="E645" s="87" t="n"/>
      <c r="F645" s="91" t="n"/>
      <c r="G645" s="86" t="n"/>
      <c r="H645" s="86" t="n"/>
      <c r="I645" s="100">
        <f>IF($B645="","",IFERROR(INDEX(Setup!$B$99:$B$128,MATCH($B645,Setup!$A$99:$A$128,0)),"CHECK TYPE"))</f>
        <v/>
      </c>
      <c r="J645">
        <f>IF($A645="","",DATE(YEAR($A645),MONTH($A645),1))</f>
        <v/>
      </c>
    </row>
    <row r="646">
      <c r="A646" s="93" t="n"/>
      <c r="B646" s="95" t="n"/>
      <c r="C646" s="95" t="n"/>
      <c r="D646" s="94" t="n"/>
      <c r="E646" s="95" t="n"/>
      <c r="F646" s="98" t="n"/>
      <c r="G646" s="94" t="n"/>
      <c r="H646" s="94" t="n"/>
      <c r="I646" s="100">
        <f>IF($B646="","",IFERROR(INDEX(Setup!$B$99:$B$128,MATCH($B646,Setup!$A$99:$A$128,0)),"CHECK TYPE"))</f>
        <v/>
      </c>
      <c r="J646">
        <f>IF($A646="","",DATE(YEAR($A646),MONTH($A646),1))</f>
        <v/>
      </c>
    </row>
    <row r="647">
      <c r="A647" s="85" t="n"/>
      <c r="B647" s="87" t="n"/>
      <c r="C647" s="87" t="n"/>
      <c r="D647" s="86" t="n"/>
      <c r="E647" s="87" t="n"/>
      <c r="F647" s="91" t="n"/>
      <c r="G647" s="86" t="n"/>
      <c r="H647" s="86" t="n"/>
      <c r="I647" s="100">
        <f>IF($B647="","",IFERROR(INDEX(Setup!$B$99:$B$128,MATCH($B647,Setup!$A$99:$A$128,0)),"CHECK TYPE"))</f>
        <v/>
      </c>
      <c r="J647">
        <f>IF($A647="","",DATE(YEAR($A647),MONTH($A647),1))</f>
        <v/>
      </c>
    </row>
    <row r="648">
      <c r="A648" s="93" t="n"/>
      <c r="B648" s="95" t="n"/>
      <c r="C648" s="95" t="n"/>
      <c r="D648" s="94" t="n"/>
      <c r="E648" s="95" t="n"/>
      <c r="F648" s="98" t="n"/>
      <c r="G648" s="94" t="n"/>
      <c r="H648" s="94" t="n"/>
      <c r="I648" s="100">
        <f>IF($B648="","",IFERROR(INDEX(Setup!$B$99:$B$128,MATCH($B648,Setup!$A$99:$A$128,0)),"CHECK TYPE"))</f>
        <v/>
      </c>
      <c r="J648">
        <f>IF($A648="","",DATE(YEAR($A648),MONTH($A648),1))</f>
        <v/>
      </c>
    </row>
    <row r="649">
      <c r="A649" s="85" t="n"/>
      <c r="B649" s="87" t="n"/>
      <c r="C649" s="87" t="n"/>
      <c r="D649" s="86" t="n"/>
      <c r="E649" s="87" t="n"/>
      <c r="F649" s="91" t="n"/>
      <c r="G649" s="86" t="n"/>
      <c r="H649" s="86" t="n"/>
      <c r="I649" s="100">
        <f>IF($B649="","",IFERROR(INDEX(Setup!$B$99:$B$128,MATCH($B649,Setup!$A$99:$A$128,0)),"CHECK TYPE"))</f>
        <v/>
      </c>
      <c r="J649">
        <f>IF($A649="","",DATE(YEAR($A649),MONTH($A649),1))</f>
        <v/>
      </c>
    </row>
    <row r="650">
      <c r="A650" s="93" t="n"/>
      <c r="B650" s="95" t="n"/>
      <c r="C650" s="95" t="n"/>
      <c r="D650" s="94" t="n"/>
      <c r="E650" s="95" t="n"/>
      <c r="F650" s="98" t="n"/>
      <c r="G650" s="94" t="n"/>
      <c r="H650" s="94" t="n"/>
      <c r="I650" s="100">
        <f>IF($B650="","",IFERROR(INDEX(Setup!$B$99:$B$128,MATCH($B650,Setup!$A$99:$A$128,0)),"CHECK TYPE"))</f>
        <v/>
      </c>
      <c r="J650">
        <f>IF($A650="","",DATE(YEAR($A650),MONTH($A650),1))</f>
        <v/>
      </c>
    </row>
    <row r="651">
      <c r="A651" s="85" t="n"/>
      <c r="B651" s="87" t="n"/>
      <c r="C651" s="87" t="n"/>
      <c r="D651" s="86" t="n"/>
      <c r="E651" s="87" t="n"/>
      <c r="F651" s="91" t="n"/>
      <c r="G651" s="86" t="n"/>
      <c r="H651" s="86" t="n"/>
      <c r="I651" s="100">
        <f>IF($B651="","",IFERROR(INDEX(Setup!$B$99:$B$128,MATCH($B651,Setup!$A$99:$A$128,0)),"CHECK TYPE"))</f>
        <v/>
      </c>
      <c r="J651">
        <f>IF($A651="","",DATE(YEAR($A651),MONTH($A651),1))</f>
        <v/>
      </c>
    </row>
    <row r="652">
      <c r="A652" s="93" t="n"/>
      <c r="B652" s="95" t="n"/>
      <c r="C652" s="95" t="n"/>
      <c r="D652" s="94" t="n"/>
      <c r="E652" s="95" t="n"/>
      <c r="F652" s="98" t="n"/>
      <c r="G652" s="94" t="n"/>
      <c r="H652" s="94" t="n"/>
      <c r="I652" s="100">
        <f>IF($B652="","",IFERROR(INDEX(Setup!$B$99:$B$128,MATCH($B652,Setup!$A$99:$A$128,0)),"CHECK TYPE"))</f>
        <v/>
      </c>
      <c r="J652">
        <f>IF($A652="","",DATE(YEAR($A652),MONTH($A652),1))</f>
        <v/>
      </c>
    </row>
    <row r="653">
      <c r="A653" s="85" t="n"/>
      <c r="B653" s="87" t="n"/>
      <c r="C653" s="87" t="n"/>
      <c r="D653" s="86" t="n"/>
      <c r="E653" s="87" t="n"/>
      <c r="F653" s="91" t="n"/>
      <c r="G653" s="86" t="n"/>
      <c r="H653" s="86" t="n"/>
      <c r="I653" s="100">
        <f>IF($B653="","",IFERROR(INDEX(Setup!$B$99:$B$128,MATCH($B653,Setup!$A$99:$A$128,0)),"CHECK TYPE"))</f>
        <v/>
      </c>
      <c r="J653">
        <f>IF($A653="","",DATE(YEAR($A653),MONTH($A653),1))</f>
        <v/>
      </c>
    </row>
    <row r="654">
      <c r="A654" s="93" t="n"/>
      <c r="B654" s="95" t="n"/>
      <c r="C654" s="95" t="n"/>
      <c r="D654" s="94" t="n"/>
      <c r="E654" s="95" t="n"/>
      <c r="F654" s="98" t="n"/>
      <c r="G654" s="94" t="n"/>
      <c r="H654" s="94" t="n"/>
      <c r="I654" s="100">
        <f>IF($B654="","",IFERROR(INDEX(Setup!$B$99:$B$128,MATCH($B654,Setup!$A$99:$A$128,0)),"CHECK TYPE"))</f>
        <v/>
      </c>
      <c r="J654">
        <f>IF($A654="","",DATE(YEAR($A654),MONTH($A654),1))</f>
        <v/>
      </c>
    </row>
    <row r="655">
      <c r="A655" s="85" t="n"/>
      <c r="B655" s="87" t="n"/>
      <c r="C655" s="87" t="n"/>
      <c r="D655" s="86" t="n"/>
      <c r="E655" s="87" t="n"/>
      <c r="F655" s="91" t="n"/>
      <c r="G655" s="86" t="n"/>
      <c r="H655" s="86" t="n"/>
      <c r="I655" s="100">
        <f>IF($B655="","",IFERROR(INDEX(Setup!$B$99:$B$128,MATCH($B655,Setup!$A$99:$A$128,0)),"CHECK TYPE"))</f>
        <v/>
      </c>
      <c r="J655">
        <f>IF($A655="","",DATE(YEAR($A655),MONTH($A655),1))</f>
        <v/>
      </c>
    </row>
    <row r="656">
      <c r="A656" s="93" t="n"/>
      <c r="B656" s="95" t="n"/>
      <c r="C656" s="95" t="n"/>
      <c r="D656" s="94" t="n"/>
      <c r="E656" s="95" t="n"/>
      <c r="F656" s="98" t="n"/>
      <c r="G656" s="94" t="n"/>
      <c r="H656" s="94" t="n"/>
      <c r="I656" s="100">
        <f>IF($B656="","",IFERROR(INDEX(Setup!$B$99:$B$128,MATCH($B656,Setup!$A$99:$A$128,0)),"CHECK TYPE"))</f>
        <v/>
      </c>
      <c r="J656">
        <f>IF($A656="","",DATE(YEAR($A656),MONTH($A656),1))</f>
        <v/>
      </c>
    </row>
    <row r="657">
      <c r="A657" s="85" t="n"/>
      <c r="B657" s="87" t="n"/>
      <c r="C657" s="87" t="n"/>
      <c r="D657" s="86" t="n"/>
      <c r="E657" s="87" t="n"/>
      <c r="F657" s="91" t="n"/>
      <c r="G657" s="86" t="n"/>
      <c r="H657" s="86" t="n"/>
      <c r="I657" s="100">
        <f>IF($B657="","",IFERROR(INDEX(Setup!$B$99:$B$128,MATCH($B657,Setup!$A$99:$A$128,0)),"CHECK TYPE"))</f>
        <v/>
      </c>
      <c r="J657">
        <f>IF($A657="","",DATE(YEAR($A657),MONTH($A657),1))</f>
        <v/>
      </c>
    </row>
    <row r="658">
      <c r="A658" s="93" t="n"/>
      <c r="B658" s="95" t="n"/>
      <c r="C658" s="95" t="n"/>
      <c r="D658" s="94" t="n"/>
      <c r="E658" s="95" t="n"/>
      <c r="F658" s="98" t="n"/>
      <c r="G658" s="94" t="n"/>
      <c r="H658" s="94" t="n"/>
      <c r="I658" s="100">
        <f>IF($B658="","",IFERROR(INDEX(Setup!$B$99:$B$128,MATCH($B658,Setup!$A$99:$A$128,0)),"CHECK TYPE"))</f>
        <v/>
      </c>
      <c r="J658">
        <f>IF($A658="","",DATE(YEAR($A658),MONTH($A658),1))</f>
        <v/>
      </c>
    </row>
    <row r="659">
      <c r="A659" s="85" t="n"/>
      <c r="B659" s="87" t="n"/>
      <c r="C659" s="87" t="n"/>
      <c r="D659" s="86" t="n"/>
      <c r="E659" s="87" t="n"/>
      <c r="F659" s="91" t="n"/>
      <c r="G659" s="86" t="n"/>
      <c r="H659" s="86" t="n"/>
      <c r="I659" s="100">
        <f>IF($B659="","",IFERROR(INDEX(Setup!$B$99:$B$128,MATCH($B659,Setup!$A$99:$A$128,0)),"CHECK TYPE"))</f>
        <v/>
      </c>
      <c r="J659">
        <f>IF($A659="","",DATE(YEAR($A659),MONTH($A659),1))</f>
        <v/>
      </c>
    </row>
    <row r="660">
      <c r="A660" s="93" t="n"/>
      <c r="B660" s="95" t="n"/>
      <c r="C660" s="95" t="n"/>
      <c r="D660" s="94" t="n"/>
      <c r="E660" s="95" t="n"/>
      <c r="F660" s="98" t="n"/>
      <c r="G660" s="94" t="n"/>
      <c r="H660" s="94" t="n"/>
      <c r="I660" s="100">
        <f>IF($B660="","",IFERROR(INDEX(Setup!$B$99:$B$128,MATCH($B660,Setup!$A$99:$A$128,0)),"CHECK TYPE"))</f>
        <v/>
      </c>
      <c r="J660">
        <f>IF($A660="","",DATE(YEAR($A660),MONTH($A660),1))</f>
        <v/>
      </c>
    </row>
    <row r="661">
      <c r="A661" s="85" t="n"/>
      <c r="B661" s="87" t="n"/>
      <c r="C661" s="87" t="n"/>
      <c r="D661" s="86" t="n"/>
      <c r="E661" s="87" t="n"/>
      <c r="F661" s="91" t="n"/>
      <c r="G661" s="86" t="n"/>
      <c r="H661" s="86" t="n"/>
      <c r="I661" s="100">
        <f>IF($B661="","",IFERROR(INDEX(Setup!$B$99:$B$128,MATCH($B661,Setup!$A$99:$A$128,0)),"CHECK TYPE"))</f>
        <v/>
      </c>
      <c r="J661">
        <f>IF($A661="","",DATE(YEAR($A661),MONTH($A661),1))</f>
        <v/>
      </c>
    </row>
    <row r="662">
      <c r="A662" s="93" t="n"/>
      <c r="B662" s="95" t="n"/>
      <c r="C662" s="95" t="n"/>
      <c r="D662" s="94" t="n"/>
      <c r="E662" s="95" t="n"/>
      <c r="F662" s="98" t="n"/>
      <c r="G662" s="94" t="n"/>
      <c r="H662" s="94" t="n"/>
      <c r="I662" s="100">
        <f>IF($B662="","",IFERROR(INDEX(Setup!$B$99:$B$128,MATCH($B662,Setup!$A$99:$A$128,0)),"CHECK TYPE"))</f>
        <v/>
      </c>
      <c r="J662">
        <f>IF($A662="","",DATE(YEAR($A662),MONTH($A662),1))</f>
        <v/>
      </c>
    </row>
    <row r="663">
      <c r="A663" s="85" t="n"/>
      <c r="B663" s="87" t="n"/>
      <c r="C663" s="87" t="n"/>
      <c r="D663" s="86" t="n"/>
      <c r="E663" s="87" t="n"/>
      <c r="F663" s="91" t="n"/>
      <c r="G663" s="86" t="n"/>
      <c r="H663" s="86" t="n"/>
      <c r="I663" s="100">
        <f>IF($B663="","",IFERROR(INDEX(Setup!$B$99:$B$128,MATCH($B663,Setup!$A$99:$A$128,0)),"CHECK TYPE"))</f>
        <v/>
      </c>
      <c r="J663">
        <f>IF($A663="","",DATE(YEAR($A663),MONTH($A663),1))</f>
        <v/>
      </c>
    </row>
    <row r="664">
      <c r="A664" s="93" t="n"/>
      <c r="B664" s="95" t="n"/>
      <c r="C664" s="95" t="n"/>
      <c r="D664" s="94" t="n"/>
      <c r="E664" s="95" t="n"/>
      <c r="F664" s="98" t="n"/>
      <c r="G664" s="94" t="n"/>
      <c r="H664" s="94" t="n"/>
      <c r="I664" s="100">
        <f>IF($B664="","",IFERROR(INDEX(Setup!$B$99:$B$128,MATCH($B664,Setup!$A$99:$A$128,0)),"CHECK TYPE"))</f>
        <v/>
      </c>
      <c r="J664">
        <f>IF($A664="","",DATE(YEAR($A664),MONTH($A664),1))</f>
        <v/>
      </c>
    </row>
    <row r="665">
      <c r="A665" s="85" t="n"/>
      <c r="B665" s="87" t="n"/>
      <c r="C665" s="87" t="n"/>
      <c r="D665" s="86" t="n"/>
      <c r="E665" s="87" t="n"/>
      <c r="F665" s="91" t="n"/>
      <c r="G665" s="86" t="n"/>
      <c r="H665" s="86" t="n"/>
      <c r="I665" s="100">
        <f>IF($B665="","",IFERROR(INDEX(Setup!$B$99:$B$128,MATCH($B665,Setup!$A$99:$A$128,0)),"CHECK TYPE"))</f>
        <v/>
      </c>
      <c r="J665">
        <f>IF($A665="","",DATE(YEAR($A665),MONTH($A665),1))</f>
        <v/>
      </c>
    </row>
    <row r="666">
      <c r="A666" s="93" t="n"/>
      <c r="B666" s="95" t="n"/>
      <c r="C666" s="95" t="n"/>
      <c r="D666" s="94" t="n"/>
      <c r="E666" s="95" t="n"/>
      <c r="F666" s="98" t="n"/>
      <c r="G666" s="94" t="n"/>
      <c r="H666" s="94" t="n"/>
      <c r="I666" s="100">
        <f>IF($B666="","",IFERROR(INDEX(Setup!$B$99:$B$128,MATCH($B666,Setup!$A$99:$A$128,0)),"CHECK TYPE"))</f>
        <v/>
      </c>
      <c r="J666">
        <f>IF($A666="","",DATE(YEAR($A666),MONTH($A666),1))</f>
        <v/>
      </c>
    </row>
    <row r="667">
      <c r="A667" s="85" t="n"/>
      <c r="B667" s="87" t="n"/>
      <c r="C667" s="87" t="n"/>
      <c r="D667" s="86" t="n"/>
      <c r="E667" s="87" t="n"/>
      <c r="F667" s="91" t="n"/>
      <c r="G667" s="86" t="n"/>
      <c r="H667" s="86" t="n"/>
      <c r="I667" s="100">
        <f>IF($B667="","",IFERROR(INDEX(Setup!$B$99:$B$128,MATCH($B667,Setup!$A$99:$A$128,0)),"CHECK TYPE"))</f>
        <v/>
      </c>
      <c r="J667">
        <f>IF($A667="","",DATE(YEAR($A667),MONTH($A667),1))</f>
        <v/>
      </c>
    </row>
    <row r="668">
      <c r="A668" s="93" t="n"/>
      <c r="B668" s="95" t="n"/>
      <c r="C668" s="95" t="n"/>
      <c r="D668" s="94" t="n"/>
      <c r="E668" s="95" t="n"/>
      <c r="F668" s="98" t="n"/>
      <c r="G668" s="94" t="n"/>
      <c r="H668" s="94" t="n"/>
      <c r="I668" s="100">
        <f>IF($B668="","",IFERROR(INDEX(Setup!$B$99:$B$128,MATCH($B668,Setup!$A$99:$A$128,0)),"CHECK TYPE"))</f>
        <v/>
      </c>
      <c r="J668">
        <f>IF($A668="","",DATE(YEAR($A668),MONTH($A668),1))</f>
        <v/>
      </c>
    </row>
    <row r="669">
      <c r="A669" s="85" t="n"/>
      <c r="B669" s="87" t="n"/>
      <c r="C669" s="87" t="n"/>
      <c r="D669" s="86" t="n"/>
      <c r="E669" s="87" t="n"/>
      <c r="F669" s="91" t="n"/>
      <c r="G669" s="86" t="n"/>
      <c r="H669" s="86" t="n"/>
      <c r="I669" s="100">
        <f>IF($B669="","",IFERROR(INDEX(Setup!$B$99:$B$128,MATCH($B669,Setup!$A$99:$A$128,0)),"CHECK TYPE"))</f>
        <v/>
      </c>
      <c r="J669">
        <f>IF($A669="","",DATE(YEAR($A669),MONTH($A669),1))</f>
        <v/>
      </c>
    </row>
    <row r="670">
      <c r="A670" s="93" t="n"/>
      <c r="B670" s="95" t="n"/>
      <c r="C670" s="95" t="n"/>
      <c r="D670" s="94" t="n"/>
      <c r="E670" s="95" t="n"/>
      <c r="F670" s="98" t="n"/>
      <c r="G670" s="94" t="n"/>
      <c r="H670" s="94" t="n"/>
      <c r="I670" s="100">
        <f>IF($B670="","",IFERROR(INDEX(Setup!$B$99:$B$128,MATCH($B670,Setup!$A$99:$A$128,0)),"CHECK TYPE"))</f>
        <v/>
      </c>
      <c r="J670">
        <f>IF($A670="","",DATE(YEAR($A670),MONTH($A670),1))</f>
        <v/>
      </c>
    </row>
    <row r="671">
      <c r="A671" s="85" t="n"/>
      <c r="B671" s="87" t="n"/>
      <c r="C671" s="87" t="n"/>
      <c r="D671" s="86" t="n"/>
      <c r="E671" s="87" t="n"/>
      <c r="F671" s="91" t="n"/>
      <c r="G671" s="86" t="n"/>
      <c r="H671" s="86" t="n"/>
      <c r="I671" s="100">
        <f>IF($B671="","",IFERROR(INDEX(Setup!$B$99:$B$128,MATCH($B671,Setup!$A$99:$A$128,0)),"CHECK TYPE"))</f>
        <v/>
      </c>
      <c r="J671">
        <f>IF($A671="","",DATE(YEAR($A671),MONTH($A671),1))</f>
        <v/>
      </c>
    </row>
    <row r="672">
      <c r="A672" s="93" t="n"/>
      <c r="B672" s="95" t="n"/>
      <c r="C672" s="95" t="n"/>
      <c r="D672" s="94" t="n"/>
      <c r="E672" s="95" t="n"/>
      <c r="F672" s="98" t="n"/>
      <c r="G672" s="94" t="n"/>
      <c r="H672" s="94" t="n"/>
      <c r="I672" s="100">
        <f>IF($B672="","",IFERROR(INDEX(Setup!$B$99:$B$128,MATCH($B672,Setup!$A$99:$A$128,0)),"CHECK TYPE"))</f>
        <v/>
      </c>
      <c r="J672">
        <f>IF($A672="","",DATE(YEAR($A672),MONTH($A672),1))</f>
        <v/>
      </c>
    </row>
    <row r="673">
      <c r="A673" s="85" t="n"/>
      <c r="B673" s="87" t="n"/>
      <c r="C673" s="87" t="n"/>
      <c r="D673" s="86" t="n"/>
      <c r="E673" s="87" t="n"/>
      <c r="F673" s="91" t="n"/>
      <c r="G673" s="86" t="n"/>
      <c r="H673" s="86" t="n"/>
      <c r="I673" s="100">
        <f>IF($B673="","",IFERROR(INDEX(Setup!$B$99:$B$128,MATCH($B673,Setup!$A$99:$A$128,0)),"CHECK TYPE"))</f>
        <v/>
      </c>
      <c r="J673">
        <f>IF($A673="","",DATE(YEAR($A673),MONTH($A673),1))</f>
        <v/>
      </c>
    </row>
    <row r="674">
      <c r="A674" s="93" t="n"/>
      <c r="B674" s="95" t="n"/>
      <c r="C674" s="95" t="n"/>
      <c r="D674" s="94" t="n"/>
      <c r="E674" s="95" t="n"/>
      <c r="F674" s="98" t="n"/>
      <c r="G674" s="94" t="n"/>
      <c r="H674" s="94" t="n"/>
      <c r="I674" s="100">
        <f>IF($B674="","",IFERROR(INDEX(Setup!$B$99:$B$128,MATCH($B674,Setup!$A$99:$A$128,0)),"CHECK TYPE"))</f>
        <v/>
      </c>
      <c r="J674">
        <f>IF($A674="","",DATE(YEAR($A674),MONTH($A674),1))</f>
        <v/>
      </c>
    </row>
    <row r="675">
      <c r="A675" s="85" t="n"/>
      <c r="B675" s="87" t="n"/>
      <c r="C675" s="87" t="n"/>
      <c r="D675" s="86" t="n"/>
      <c r="E675" s="87" t="n"/>
      <c r="F675" s="91" t="n"/>
      <c r="G675" s="86" t="n"/>
      <c r="H675" s="86" t="n"/>
      <c r="I675" s="100">
        <f>IF($B675="","",IFERROR(INDEX(Setup!$B$99:$B$128,MATCH($B675,Setup!$A$99:$A$128,0)),"CHECK TYPE"))</f>
        <v/>
      </c>
      <c r="J675">
        <f>IF($A675="","",DATE(YEAR($A675),MONTH($A675),1))</f>
        <v/>
      </c>
    </row>
    <row r="676">
      <c r="A676" s="93" t="n"/>
      <c r="B676" s="95" t="n"/>
      <c r="C676" s="95" t="n"/>
      <c r="D676" s="94" t="n"/>
      <c r="E676" s="95" t="n"/>
      <c r="F676" s="98" t="n"/>
      <c r="G676" s="94" t="n"/>
      <c r="H676" s="94" t="n"/>
      <c r="I676" s="100">
        <f>IF($B676="","",IFERROR(INDEX(Setup!$B$99:$B$128,MATCH($B676,Setup!$A$99:$A$128,0)),"CHECK TYPE"))</f>
        <v/>
      </c>
      <c r="J676">
        <f>IF($A676="","",DATE(YEAR($A676),MONTH($A676),1))</f>
        <v/>
      </c>
    </row>
    <row r="677">
      <c r="A677" s="85" t="n"/>
      <c r="B677" s="87" t="n"/>
      <c r="C677" s="87" t="n"/>
      <c r="D677" s="86" t="n"/>
      <c r="E677" s="87" t="n"/>
      <c r="F677" s="91" t="n"/>
      <c r="G677" s="86" t="n"/>
      <c r="H677" s="86" t="n"/>
      <c r="I677" s="100">
        <f>IF($B677="","",IFERROR(INDEX(Setup!$B$99:$B$128,MATCH($B677,Setup!$A$99:$A$128,0)),"CHECK TYPE"))</f>
        <v/>
      </c>
      <c r="J677">
        <f>IF($A677="","",DATE(YEAR($A677),MONTH($A677),1))</f>
        <v/>
      </c>
    </row>
    <row r="678">
      <c r="A678" s="93" t="n"/>
      <c r="B678" s="95" t="n"/>
      <c r="C678" s="95" t="n"/>
      <c r="D678" s="94" t="n"/>
      <c r="E678" s="95" t="n"/>
      <c r="F678" s="98" t="n"/>
      <c r="G678" s="94" t="n"/>
      <c r="H678" s="94" t="n"/>
      <c r="I678" s="100">
        <f>IF($B678="","",IFERROR(INDEX(Setup!$B$99:$B$128,MATCH($B678,Setup!$A$99:$A$128,0)),"CHECK TYPE"))</f>
        <v/>
      </c>
      <c r="J678">
        <f>IF($A678="","",DATE(YEAR($A678),MONTH($A678),1))</f>
        <v/>
      </c>
    </row>
    <row r="679">
      <c r="A679" s="85" t="n"/>
      <c r="B679" s="87" t="n"/>
      <c r="C679" s="87" t="n"/>
      <c r="D679" s="86" t="n"/>
      <c r="E679" s="87" t="n"/>
      <c r="F679" s="91" t="n"/>
      <c r="G679" s="86" t="n"/>
      <c r="H679" s="86" t="n"/>
      <c r="I679" s="100">
        <f>IF($B679="","",IFERROR(INDEX(Setup!$B$99:$B$128,MATCH($B679,Setup!$A$99:$A$128,0)),"CHECK TYPE"))</f>
        <v/>
      </c>
      <c r="J679">
        <f>IF($A679="","",DATE(YEAR($A679),MONTH($A679),1))</f>
        <v/>
      </c>
    </row>
    <row r="680">
      <c r="A680" s="93" t="n"/>
      <c r="B680" s="95" t="n"/>
      <c r="C680" s="95" t="n"/>
      <c r="D680" s="94" t="n"/>
      <c r="E680" s="95" t="n"/>
      <c r="F680" s="98" t="n"/>
      <c r="G680" s="94" t="n"/>
      <c r="H680" s="94" t="n"/>
      <c r="I680" s="100">
        <f>IF($B680="","",IFERROR(INDEX(Setup!$B$99:$B$128,MATCH($B680,Setup!$A$99:$A$128,0)),"CHECK TYPE"))</f>
        <v/>
      </c>
      <c r="J680">
        <f>IF($A680="","",DATE(YEAR($A680),MONTH($A680),1))</f>
        <v/>
      </c>
    </row>
    <row r="681">
      <c r="A681" s="85" t="n"/>
      <c r="B681" s="87" t="n"/>
      <c r="C681" s="87" t="n"/>
      <c r="D681" s="86" t="n"/>
      <c r="E681" s="87" t="n"/>
      <c r="F681" s="91" t="n"/>
      <c r="G681" s="86" t="n"/>
      <c r="H681" s="86" t="n"/>
      <c r="I681" s="100">
        <f>IF($B681="","",IFERROR(INDEX(Setup!$B$99:$B$128,MATCH($B681,Setup!$A$99:$A$128,0)),"CHECK TYPE"))</f>
        <v/>
      </c>
      <c r="J681">
        <f>IF($A681="","",DATE(YEAR($A681),MONTH($A681),1))</f>
        <v/>
      </c>
    </row>
    <row r="682">
      <c r="A682" s="93" t="n"/>
      <c r="B682" s="95" t="n"/>
      <c r="C682" s="95" t="n"/>
      <c r="D682" s="94" t="n"/>
      <c r="E682" s="95" t="n"/>
      <c r="F682" s="98" t="n"/>
      <c r="G682" s="94" t="n"/>
      <c r="H682" s="94" t="n"/>
      <c r="I682" s="100">
        <f>IF($B682="","",IFERROR(INDEX(Setup!$B$99:$B$128,MATCH($B682,Setup!$A$99:$A$128,0)),"CHECK TYPE"))</f>
        <v/>
      </c>
      <c r="J682">
        <f>IF($A682="","",DATE(YEAR($A682),MONTH($A682),1))</f>
        <v/>
      </c>
    </row>
    <row r="683">
      <c r="A683" s="85" t="n"/>
      <c r="B683" s="87" t="n"/>
      <c r="C683" s="87" t="n"/>
      <c r="D683" s="86" t="n"/>
      <c r="E683" s="87" t="n"/>
      <c r="F683" s="91" t="n"/>
      <c r="G683" s="86" t="n"/>
      <c r="H683" s="86" t="n"/>
      <c r="I683" s="100">
        <f>IF($B683="","",IFERROR(INDEX(Setup!$B$99:$B$128,MATCH($B683,Setup!$A$99:$A$128,0)),"CHECK TYPE"))</f>
        <v/>
      </c>
      <c r="J683">
        <f>IF($A683="","",DATE(YEAR($A683),MONTH($A683),1))</f>
        <v/>
      </c>
    </row>
    <row r="684">
      <c r="A684" s="93" t="n"/>
      <c r="B684" s="95" t="n"/>
      <c r="C684" s="95" t="n"/>
      <c r="D684" s="94" t="n"/>
      <c r="E684" s="95" t="n"/>
      <c r="F684" s="98" t="n"/>
      <c r="G684" s="94" t="n"/>
      <c r="H684" s="94" t="n"/>
      <c r="I684" s="100">
        <f>IF($B684="","",IFERROR(INDEX(Setup!$B$99:$B$128,MATCH($B684,Setup!$A$99:$A$128,0)),"CHECK TYPE"))</f>
        <v/>
      </c>
      <c r="J684">
        <f>IF($A684="","",DATE(YEAR($A684),MONTH($A684),1))</f>
        <v/>
      </c>
    </row>
    <row r="685">
      <c r="A685" s="85" t="n"/>
      <c r="B685" s="87" t="n"/>
      <c r="C685" s="87" t="n"/>
      <c r="D685" s="86" t="n"/>
      <c r="E685" s="87" t="n"/>
      <c r="F685" s="91" t="n"/>
      <c r="G685" s="86" t="n"/>
      <c r="H685" s="86" t="n"/>
      <c r="I685" s="100">
        <f>IF($B685="","",IFERROR(INDEX(Setup!$B$99:$B$128,MATCH($B685,Setup!$A$99:$A$128,0)),"CHECK TYPE"))</f>
        <v/>
      </c>
      <c r="J685">
        <f>IF($A685="","",DATE(YEAR($A685),MONTH($A685),1))</f>
        <v/>
      </c>
    </row>
    <row r="686">
      <c r="A686" s="93" t="n"/>
      <c r="B686" s="95" t="n"/>
      <c r="C686" s="95" t="n"/>
      <c r="D686" s="94" t="n"/>
      <c r="E686" s="95" t="n"/>
      <c r="F686" s="98" t="n"/>
      <c r="G686" s="94" t="n"/>
      <c r="H686" s="94" t="n"/>
      <c r="I686" s="100">
        <f>IF($B686="","",IFERROR(INDEX(Setup!$B$99:$B$128,MATCH($B686,Setup!$A$99:$A$128,0)),"CHECK TYPE"))</f>
        <v/>
      </c>
      <c r="J686">
        <f>IF($A686="","",DATE(YEAR($A686),MONTH($A686),1))</f>
        <v/>
      </c>
    </row>
    <row r="687">
      <c r="A687" s="85" t="n"/>
      <c r="B687" s="87" t="n"/>
      <c r="C687" s="87" t="n"/>
      <c r="D687" s="86" t="n"/>
      <c r="E687" s="87" t="n"/>
      <c r="F687" s="91" t="n"/>
      <c r="G687" s="86" t="n"/>
      <c r="H687" s="86" t="n"/>
      <c r="I687" s="100">
        <f>IF($B687="","",IFERROR(INDEX(Setup!$B$99:$B$128,MATCH($B687,Setup!$A$99:$A$128,0)),"CHECK TYPE"))</f>
        <v/>
      </c>
      <c r="J687">
        <f>IF($A687="","",DATE(YEAR($A687),MONTH($A687),1))</f>
        <v/>
      </c>
    </row>
    <row r="688">
      <c r="A688" s="93" t="n"/>
      <c r="B688" s="95" t="n"/>
      <c r="C688" s="95" t="n"/>
      <c r="D688" s="94" t="n"/>
      <c r="E688" s="95" t="n"/>
      <c r="F688" s="98" t="n"/>
      <c r="G688" s="94" t="n"/>
      <c r="H688" s="94" t="n"/>
      <c r="I688" s="100">
        <f>IF($B688="","",IFERROR(INDEX(Setup!$B$99:$B$128,MATCH($B688,Setup!$A$99:$A$128,0)),"CHECK TYPE"))</f>
        <v/>
      </c>
      <c r="J688">
        <f>IF($A688="","",DATE(YEAR($A688),MONTH($A688),1))</f>
        <v/>
      </c>
    </row>
    <row r="689">
      <c r="A689" s="85" t="n"/>
      <c r="B689" s="87" t="n"/>
      <c r="C689" s="87" t="n"/>
      <c r="D689" s="86" t="n"/>
      <c r="E689" s="87" t="n"/>
      <c r="F689" s="91" t="n"/>
      <c r="G689" s="86" t="n"/>
      <c r="H689" s="86" t="n"/>
      <c r="I689" s="100">
        <f>IF($B689="","",IFERROR(INDEX(Setup!$B$99:$B$128,MATCH($B689,Setup!$A$99:$A$128,0)),"CHECK TYPE"))</f>
        <v/>
      </c>
      <c r="J689">
        <f>IF($A689="","",DATE(YEAR($A689),MONTH($A689),1))</f>
        <v/>
      </c>
    </row>
    <row r="690">
      <c r="A690" s="93" t="n"/>
      <c r="B690" s="95" t="n"/>
      <c r="C690" s="95" t="n"/>
      <c r="D690" s="94" t="n"/>
      <c r="E690" s="95" t="n"/>
      <c r="F690" s="98" t="n"/>
      <c r="G690" s="94" t="n"/>
      <c r="H690" s="94" t="n"/>
      <c r="I690" s="100">
        <f>IF($B690="","",IFERROR(INDEX(Setup!$B$99:$B$128,MATCH($B690,Setup!$A$99:$A$128,0)),"CHECK TYPE"))</f>
        <v/>
      </c>
      <c r="J690">
        <f>IF($A690="","",DATE(YEAR($A690),MONTH($A690),1))</f>
        <v/>
      </c>
    </row>
    <row r="691">
      <c r="A691" s="85" t="n"/>
      <c r="B691" s="87" t="n"/>
      <c r="C691" s="87" t="n"/>
      <c r="D691" s="86" t="n"/>
      <c r="E691" s="87" t="n"/>
      <c r="F691" s="91" t="n"/>
      <c r="G691" s="86" t="n"/>
      <c r="H691" s="86" t="n"/>
      <c r="I691" s="100">
        <f>IF($B691="","",IFERROR(INDEX(Setup!$B$99:$B$128,MATCH($B691,Setup!$A$99:$A$128,0)),"CHECK TYPE"))</f>
        <v/>
      </c>
      <c r="J691">
        <f>IF($A691="","",DATE(YEAR($A691),MONTH($A691),1))</f>
        <v/>
      </c>
    </row>
    <row r="692">
      <c r="A692" s="93" t="n"/>
      <c r="B692" s="95" t="n"/>
      <c r="C692" s="95" t="n"/>
      <c r="D692" s="94" t="n"/>
      <c r="E692" s="95" t="n"/>
      <c r="F692" s="98" t="n"/>
      <c r="G692" s="94" t="n"/>
      <c r="H692" s="94" t="n"/>
      <c r="I692" s="100">
        <f>IF($B692="","",IFERROR(INDEX(Setup!$B$99:$B$128,MATCH($B692,Setup!$A$99:$A$128,0)),"CHECK TYPE"))</f>
        <v/>
      </c>
      <c r="J692">
        <f>IF($A692="","",DATE(YEAR($A692),MONTH($A692),1))</f>
        <v/>
      </c>
    </row>
    <row r="693">
      <c r="A693" s="85" t="n"/>
      <c r="B693" s="87" t="n"/>
      <c r="C693" s="87" t="n"/>
      <c r="D693" s="86" t="n"/>
      <c r="E693" s="87" t="n"/>
      <c r="F693" s="91" t="n"/>
      <c r="G693" s="86" t="n"/>
      <c r="H693" s="86" t="n"/>
      <c r="I693" s="100">
        <f>IF($B693="","",IFERROR(INDEX(Setup!$B$99:$B$128,MATCH($B693,Setup!$A$99:$A$128,0)),"CHECK TYPE"))</f>
        <v/>
      </c>
      <c r="J693">
        <f>IF($A693="","",DATE(YEAR($A693),MONTH($A693),1))</f>
        <v/>
      </c>
    </row>
    <row r="694">
      <c r="A694" s="93" t="n"/>
      <c r="B694" s="95" t="n"/>
      <c r="C694" s="95" t="n"/>
      <c r="D694" s="94" t="n"/>
      <c r="E694" s="95" t="n"/>
      <c r="F694" s="98" t="n"/>
      <c r="G694" s="94" t="n"/>
      <c r="H694" s="94" t="n"/>
      <c r="I694" s="100">
        <f>IF($B694="","",IFERROR(INDEX(Setup!$B$99:$B$128,MATCH($B694,Setup!$A$99:$A$128,0)),"CHECK TYPE"))</f>
        <v/>
      </c>
      <c r="J694">
        <f>IF($A694="","",DATE(YEAR($A694),MONTH($A694),1))</f>
        <v/>
      </c>
    </row>
    <row r="695">
      <c r="A695" s="85" t="n"/>
      <c r="B695" s="87" t="n"/>
      <c r="C695" s="87" t="n"/>
      <c r="D695" s="86" t="n"/>
      <c r="E695" s="87" t="n"/>
      <c r="F695" s="91" t="n"/>
      <c r="G695" s="86" t="n"/>
      <c r="H695" s="86" t="n"/>
      <c r="I695" s="100">
        <f>IF($B695="","",IFERROR(INDEX(Setup!$B$99:$B$128,MATCH($B695,Setup!$A$99:$A$128,0)),"CHECK TYPE"))</f>
        <v/>
      </c>
      <c r="J695">
        <f>IF($A695="","",DATE(YEAR($A695),MONTH($A695),1))</f>
        <v/>
      </c>
    </row>
    <row r="696">
      <c r="A696" s="93" t="n"/>
      <c r="B696" s="95" t="n"/>
      <c r="C696" s="95" t="n"/>
      <c r="D696" s="94" t="n"/>
      <c r="E696" s="95" t="n"/>
      <c r="F696" s="98" t="n"/>
      <c r="G696" s="94" t="n"/>
      <c r="H696" s="94" t="n"/>
      <c r="I696" s="100">
        <f>IF($B696="","",IFERROR(INDEX(Setup!$B$99:$B$128,MATCH($B696,Setup!$A$99:$A$128,0)),"CHECK TYPE"))</f>
        <v/>
      </c>
      <c r="J696">
        <f>IF($A696="","",DATE(YEAR($A696),MONTH($A696),1))</f>
        <v/>
      </c>
    </row>
    <row r="697">
      <c r="A697" s="85" t="n"/>
      <c r="B697" s="87" t="n"/>
      <c r="C697" s="87" t="n"/>
      <c r="D697" s="86" t="n"/>
      <c r="E697" s="87" t="n"/>
      <c r="F697" s="91" t="n"/>
      <c r="G697" s="86" t="n"/>
      <c r="H697" s="86" t="n"/>
      <c r="I697" s="100">
        <f>IF($B697="","",IFERROR(INDEX(Setup!$B$99:$B$128,MATCH($B697,Setup!$A$99:$A$128,0)),"CHECK TYPE"))</f>
        <v/>
      </c>
      <c r="J697">
        <f>IF($A697="","",DATE(YEAR($A697),MONTH($A697),1))</f>
        <v/>
      </c>
    </row>
    <row r="698">
      <c r="A698" s="93" t="n"/>
      <c r="B698" s="95" t="n"/>
      <c r="C698" s="95" t="n"/>
      <c r="D698" s="94" t="n"/>
      <c r="E698" s="95" t="n"/>
      <c r="F698" s="98" t="n"/>
      <c r="G698" s="94" t="n"/>
      <c r="H698" s="94" t="n"/>
      <c r="I698" s="100">
        <f>IF($B698="","",IFERROR(INDEX(Setup!$B$99:$B$128,MATCH($B698,Setup!$A$99:$A$128,0)),"CHECK TYPE"))</f>
        <v/>
      </c>
      <c r="J698">
        <f>IF($A698="","",DATE(YEAR($A698),MONTH($A698),1))</f>
        <v/>
      </c>
    </row>
    <row r="699">
      <c r="A699" s="85" t="n"/>
      <c r="B699" s="87" t="n"/>
      <c r="C699" s="87" t="n"/>
      <c r="D699" s="86" t="n"/>
      <c r="E699" s="87" t="n"/>
      <c r="F699" s="91" t="n"/>
      <c r="G699" s="86" t="n"/>
      <c r="H699" s="86" t="n"/>
      <c r="I699" s="100">
        <f>IF($B699="","",IFERROR(INDEX(Setup!$B$99:$B$128,MATCH($B699,Setup!$A$99:$A$128,0)),"CHECK TYPE"))</f>
        <v/>
      </c>
      <c r="J699">
        <f>IF($A699="","",DATE(YEAR($A699),MONTH($A699),1))</f>
        <v/>
      </c>
    </row>
    <row r="700">
      <c r="A700" s="93" t="n"/>
      <c r="B700" s="95" t="n"/>
      <c r="C700" s="95" t="n"/>
      <c r="D700" s="94" t="n"/>
      <c r="E700" s="95" t="n"/>
      <c r="F700" s="98" t="n"/>
      <c r="G700" s="94" t="n"/>
      <c r="H700" s="94" t="n"/>
      <c r="I700" s="100">
        <f>IF($B700="","",IFERROR(INDEX(Setup!$B$99:$B$128,MATCH($B700,Setup!$A$99:$A$128,0)),"CHECK TYPE"))</f>
        <v/>
      </c>
      <c r="J700">
        <f>IF($A700="","",DATE(YEAR($A700),MONTH($A700),1))</f>
        <v/>
      </c>
    </row>
    <row r="701">
      <c r="A701" s="85" t="n"/>
      <c r="B701" s="87" t="n"/>
      <c r="C701" s="87" t="n"/>
      <c r="D701" s="86" t="n"/>
      <c r="E701" s="87" t="n"/>
      <c r="F701" s="91" t="n"/>
      <c r="G701" s="86" t="n"/>
      <c r="H701" s="86" t="n"/>
      <c r="I701" s="100">
        <f>IF($B701="","",IFERROR(INDEX(Setup!$B$99:$B$128,MATCH($B701,Setup!$A$99:$A$128,0)),"CHECK TYPE"))</f>
        <v/>
      </c>
      <c r="J701">
        <f>IF($A701="","",DATE(YEAR($A701),MONTH($A701),1))</f>
        <v/>
      </c>
    </row>
    <row r="702">
      <c r="A702" s="93" t="n"/>
      <c r="B702" s="95" t="n"/>
      <c r="C702" s="95" t="n"/>
      <c r="D702" s="94" t="n"/>
      <c r="E702" s="95" t="n"/>
      <c r="F702" s="98" t="n"/>
      <c r="G702" s="94" t="n"/>
      <c r="H702" s="94" t="n"/>
      <c r="I702" s="100">
        <f>IF($B702="","",IFERROR(INDEX(Setup!$B$99:$B$128,MATCH($B702,Setup!$A$99:$A$128,0)),"CHECK TYPE"))</f>
        <v/>
      </c>
      <c r="J702">
        <f>IF($A702="","",DATE(YEAR($A702),MONTH($A702),1))</f>
        <v/>
      </c>
    </row>
    <row r="703">
      <c r="A703" s="85" t="n"/>
      <c r="B703" s="87" t="n"/>
      <c r="C703" s="87" t="n"/>
      <c r="D703" s="86" t="n"/>
      <c r="E703" s="87" t="n"/>
      <c r="F703" s="91" t="n"/>
      <c r="G703" s="86" t="n"/>
      <c r="H703" s="86" t="n"/>
      <c r="I703" s="100">
        <f>IF($B703="","",IFERROR(INDEX(Setup!$B$99:$B$128,MATCH($B703,Setup!$A$99:$A$128,0)),"CHECK TYPE"))</f>
        <v/>
      </c>
      <c r="J703">
        <f>IF($A703="","",DATE(YEAR($A703),MONTH($A703),1))</f>
        <v/>
      </c>
    </row>
    <row r="704">
      <c r="A704" s="93" t="n"/>
      <c r="B704" s="95" t="n"/>
      <c r="C704" s="95" t="n"/>
      <c r="D704" s="94" t="n"/>
      <c r="E704" s="95" t="n"/>
      <c r="F704" s="98" t="n"/>
      <c r="G704" s="94" t="n"/>
      <c r="H704" s="94" t="n"/>
      <c r="I704" s="100">
        <f>IF($B704="","",IFERROR(INDEX(Setup!$B$99:$B$128,MATCH($B704,Setup!$A$99:$A$128,0)),"CHECK TYPE"))</f>
        <v/>
      </c>
      <c r="J704">
        <f>IF($A704="","",DATE(YEAR($A704),MONTH($A704),1))</f>
        <v/>
      </c>
    </row>
    <row r="705">
      <c r="A705" s="85" t="n"/>
      <c r="B705" s="87" t="n"/>
      <c r="C705" s="87" t="n"/>
      <c r="D705" s="86" t="n"/>
      <c r="E705" s="87" t="n"/>
      <c r="F705" s="91" t="n"/>
      <c r="G705" s="86" t="n"/>
      <c r="H705" s="86" t="n"/>
      <c r="I705" s="100">
        <f>IF($B705="","",IFERROR(INDEX(Setup!$B$99:$B$128,MATCH($B705,Setup!$A$99:$A$128,0)),"CHECK TYPE"))</f>
        <v/>
      </c>
      <c r="J705">
        <f>IF($A705="","",DATE(YEAR($A705),MONTH($A705),1))</f>
        <v/>
      </c>
    </row>
    <row r="706">
      <c r="A706" s="93" t="n"/>
      <c r="B706" s="95" t="n"/>
      <c r="C706" s="95" t="n"/>
      <c r="D706" s="94" t="n"/>
      <c r="E706" s="95" t="n"/>
      <c r="F706" s="98" t="n"/>
      <c r="G706" s="94" t="n"/>
      <c r="H706" s="94" t="n"/>
      <c r="I706" s="100">
        <f>IF($B706="","",IFERROR(INDEX(Setup!$B$99:$B$128,MATCH($B706,Setup!$A$99:$A$128,0)),"CHECK TYPE"))</f>
        <v/>
      </c>
      <c r="J706">
        <f>IF($A706="","",DATE(YEAR($A706),MONTH($A706),1))</f>
        <v/>
      </c>
    </row>
    <row r="707">
      <c r="A707" s="85" t="n"/>
      <c r="B707" s="87" t="n"/>
      <c r="C707" s="87" t="n"/>
      <c r="D707" s="86" t="n"/>
      <c r="E707" s="87" t="n"/>
      <c r="F707" s="91" t="n"/>
      <c r="G707" s="86" t="n"/>
      <c r="H707" s="86" t="n"/>
      <c r="I707" s="100">
        <f>IF($B707="","",IFERROR(INDEX(Setup!$B$99:$B$128,MATCH($B707,Setup!$A$99:$A$128,0)),"CHECK TYPE"))</f>
        <v/>
      </c>
      <c r="J707">
        <f>IF($A707="","",DATE(YEAR($A707),MONTH($A707),1))</f>
        <v/>
      </c>
    </row>
    <row r="708">
      <c r="A708" s="93" t="n"/>
      <c r="B708" s="95" t="n"/>
      <c r="C708" s="95" t="n"/>
      <c r="D708" s="94" t="n"/>
      <c r="E708" s="95" t="n"/>
      <c r="F708" s="98" t="n"/>
      <c r="G708" s="94" t="n"/>
      <c r="H708" s="94" t="n"/>
      <c r="I708" s="100">
        <f>IF($B708="","",IFERROR(INDEX(Setup!$B$99:$B$128,MATCH($B708,Setup!$A$99:$A$128,0)),"CHECK TYPE"))</f>
        <v/>
      </c>
      <c r="J708">
        <f>IF($A708="","",DATE(YEAR($A708),MONTH($A708),1))</f>
        <v/>
      </c>
    </row>
    <row r="709">
      <c r="A709" s="85" t="n"/>
      <c r="B709" s="87" t="n"/>
      <c r="C709" s="87" t="n"/>
      <c r="D709" s="86" t="n"/>
      <c r="E709" s="87" t="n"/>
      <c r="F709" s="91" t="n"/>
      <c r="G709" s="86" t="n"/>
      <c r="H709" s="86" t="n"/>
      <c r="I709" s="100">
        <f>IF($B709="","",IFERROR(INDEX(Setup!$B$99:$B$128,MATCH($B709,Setup!$A$99:$A$128,0)),"CHECK TYPE"))</f>
        <v/>
      </c>
      <c r="J709">
        <f>IF($A709="","",DATE(YEAR($A709),MONTH($A709),1))</f>
        <v/>
      </c>
    </row>
    <row r="710">
      <c r="A710" s="93" t="n"/>
      <c r="B710" s="95" t="n"/>
      <c r="C710" s="95" t="n"/>
      <c r="D710" s="94" t="n"/>
      <c r="E710" s="95" t="n"/>
      <c r="F710" s="98" t="n"/>
      <c r="G710" s="94" t="n"/>
      <c r="H710" s="94" t="n"/>
      <c r="I710" s="100">
        <f>IF($B710="","",IFERROR(INDEX(Setup!$B$99:$B$128,MATCH($B710,Setup!$A$99:$A$128,0)),"CHECK TYPE"))</f>
        <v/>
      </c>
      <c r="J710">
        <f>IF($A710="","",DATE(YEAR($A710),MONTH($A710),1))</f>
        <v/>
      </c>
    </row>
    <row r="711">
      <c r="A711" s="85" t="n"/>
      <c r="B711" s="87" t="n"/>
      <c r="C711" s="87" t="n"/>
      <c r="D711" s="86" t="n"/>
      <c r="E711" s="87" t="n"/>
      <c r="F711" s="91" t="n"/>
      <c r="G711" s="86" t="n"/>
      <c r="H711" s="86" t="n"/>
      <c r="I711" s="100">
        <f>IF($B711="","",IFERROR(INDEX(Setup!$B$99:$B$128,MATCH($B711,Setup!$A$99:$A$128,0)),"CHECK TYPE"))</f>
        <v/>
      </c>
      <c r="J711">
        <f>IF($A711="","",DATE(YEAR($A711),MONTH($A711),1))</f>
        <v/>
      </c>
    </row>
    <row r="712">
      <c r="A712" s="93" t="n"/>
      <c r="B712" s="95" t="n"/>
      <c r="C712" s="95" t="n"/>
      <c r="D712" s="94" t="n"/>
      <c r="E712" s="95" t="n"/>
      <c r="F712" s="98" t="n"/>
      <c r="G712" s="94" t="n"/>
      <c r="H712" s="94" t="n"/>
      <c r="I712" s="100">
        <f>IF($B712="","",IFERROR(INDEX(Setup!$B$99:$B$128,MATCH($B712,Setup!$A$99:$A$128,0)),"CHECK TYPE"))</f>
        <v/>
      </c>
      <c r="J712">
        <f>IF($A712="","",DATE(YEAR($A712),MONTH($A712),1))</f>
        <v/>
      </c>
    </row>
    <row r="713">
      <c r="A713" s="85" t="n"/>
      <c r="B713" s="87" t="n"/>
      <c r="C713" s="87" t="n"/>
      <c r="D713" s="86" t="n"/>
      <c r="E713" s="87" t="n"/>
      <c r="F713" s="91" t="n"/>
      <c r="G713" s="86" t="n"/>
      <c r="H713" s="86" t="n"/>
      <c r="I713" s="100">
        <f>IF($B713="","",IFERROR(INDEX(Setup!$B$99:$B$128,MATCH($B713,Setup!$A$99:$A$128,0)),"CHECK TYPE"))</f>
        <v/>
      </c>
      <c r="J713">
        <f>IF($A713="","",DATE(YEAR($A713),MONTH($A713),1))</f>
        <v/>
      </c>
    </row>
    <row r="714">
      <c r="A714" s="93" t="n"/>
      <c r="B714" s="95" t="n"/>
      <c r="C714" s="95" t="n"/>
      <c r="D714" s="94" t="n"/>
      <c r="E714" s="95" t="n"/>
      <c r="F714" s="98" t="n"/>
      <c r="G714" s="94" t="n"/>
      <c r="H714" s="94" t="n"/>
      <c r="I714" s="100">
        <f>IF($B714="","",IFERROR(INDEX(Setup!$B$99:$B$128,MATCH($B714,Setup!$A$99:$A$128,0)),"CHECK TYPE"))</f>
        <v/>
      </c>
      <c r="J714">
        <f>IF($A714="","",DATE(YEAR($A714),MONTH($A714),1))</f>
        <v/>
      </c>
    </row>
    <row r="715">
      <c r="A715" s="85" t="n"/>
      <c r="B715" s="87" t="n"/>
      <c r="C715" s="87" t="n"/>
      <c r="D715" s="86" t="n"/>
      <c r="E715" s="87" t="n"/>
      <c r="F715" s="91" t="n"/>
      <c r="G715" s="86" t="n"/>
      <c r="H715" s="86" t="n"/>
      <c r="I715" s="100">
        <f>IF($B715="","",IFERROR(INDEX(Setup!$B$99:$B$128,MATCH($B715,Setup!$A$99:$A$128,0)),"CHECK TYPE"))</f>
        <v/>
      </c>
      <c r="J715">
        <f>IF($A715="","",DATE(YEAR($A715),MONTH($A715),1))</f>
        <v/>
      </c>
    </row>
    <row r="716">
      <c r="A716" s="93" t="n"/>
      <c r="B716" s="95" t="n"/>
      <c r="C716" s="95" t="n"/>
      <c r="D716" s="94" t="n"/>
      <c r="E716" s="95" t="n"/>
      <c r="F716" s="98" t="n"/>
      <c r="G716" s="94" t="n"/>
      <c r="H716" s="94" t="n"/>
      <c r="I716" s="100">
        <f>IF($B716="","",IFERROR(INDEX(Setup!$B$99:$B$128,MATCH($B716,Setup!$A$99:$A$128,0)),"CHECK TYPE"))</f>
        <v/>
      </c>
      <c r="J716">
        <f>IF($A716="","",DATE(YEAR($A716),MONTH($A716),1))</f>
        <v/>
      </c>
    </row>
    <row r="717">
      <c r="A717" s="85" t="n"/>
      <c r="B717" s="87" t="n"/>
      <c r="C717" s="87" t="n"/>
      <c r="D717" s="86" t="n"/>
      <c r="E717" s="87" t="n"/>
      <c r="F717" s="91" t="n"/>
      <c r="G717" s="86" t="n"/>
      <c r="H717" s="86" t="n"/>
      <c r="I717" s="100">
        <f>IF($B717="","",IFERROR(INDEX(Setup!$B$99:$B$128,MATCH($B717,Setup!$A$99:$A$128,0)),"CHECK TYPE"))</f>
        <v/>
      </c>
      <c r="J717">
        <f>IF($A717="","",DATE(YEAR($A717),MONTH($A717),1))</f>
        <v/>
      </c>
    </row>
    <row r="718">
      <c r="A718" s="93" t="n"/>
      <c r="B718" s="95" t="n"/>
      <c r="C718" s="95" t="n"/>
      <c r="D718" s="94" t="n"/>
      <c r="E718" s="95" t="n"/>
      <c r="F718" s="98" t="n"/>
      <c r="G718" s="94" t="n"/>
      <c r="H718" s="94" t="n"/>
      <c r="I718" s="100">
        <f>IF($B718="","",IFERROR(INDEX(Setup!$B$99:$B$128,MATCH($B718,Setup!$A$99:$A$128,0)),"CHECK TYPE"))</f>
        <v/>
      </c>
      <c r="J718">
        <f>IF($A718="","",DATE(YEAR($A718),MONTH($A718),1))</f>
        <v/>
      </c>
    </row>
    <row r="719">
      <c r="A719" s="85" t="n"/>
      <c r="B719" s="87" t="n"/>
      <c r="C719" s="87" t="n"/>
      <c r="D719" s="86" t="n"/>
      <c r="E719" s="87" t="n"/>
      <c r="F719" s="91" t="n"/>
      <c r="G719" s="86" t="n"/>
      <c r="H719" s="86" t="n"/>
      <c r="I719" s="100">
        <f>IF($B719="","",IFERROR(INDEX(Setup!$B$99:$B$128,MATCH($B719,Setup!$A$99:$A$128,0)),"CHECK TYPE"))</f>
        <v/>
      </c>
      <c r="J719">
        <f>IF($A719="","",DATE(YEAR($A719),MONTH($A719),1))</f>
        <v/>
      </c>
    </row>
    <row r="720">
      <c r="A720" s="93" t="n"/>
      <c r="B720" s="95" t="n"/>
      <c r="C720" s="95" t="n"/>
      <c r="D720" s="94" t="n"/>
      <c r="E720" s="95" t="n"/>
      <c r="F720" s="98" t="n"/>
      <c r="G720" s="94" t="n"/>
      <c r="H720" s="94" t="n"/>
      <c r="I720" s="100">
        <f>IF($B720="","",IFERROR(INDEX(Setup!$B$99:$B$128,MATCH($B720,Setup!$A$99:$A$128,0)),"CHECK TYPE"))</f>
        <v/>
      </c>
      <c r="J720">
        <f>IF($A720="","",DATE(YEAR($A720),MONTH($A720),1))</f>
        <v/>
      </c>
    </row>
    <row r="721">
      <c r="A721" s="85" t="n"/>
      <c r="B721" s="87" t="n"/>
      <c r="C721" s="87" t="n"/>
      <c r="D721" s="86" t="n"/>
      <c r="E721" s="87" t="n"/>
      <c r="F721" s="91" t="n"/>
      <c r="G721" s="86" t="n"/>
      <c r="H721" s="86" t="n"/>
      <c r="I721" s="100">
        <f>IF($B721="","",IFERROR(INDEX(Setup!$B$99:$B$128,MATCH($B721,Setup!$A$99:$A$128,0)),"CHECK TYPE"))</f>
        <v/>
      </c>
      <c r="J721">
        <f>IF($A721="","",DATE(YEAR($A721),MONTH($A721),1))</f>
        <v/>
      </c>
    </row>
    <row r="722">
      <c r="A722" s="93" t="n"/>
      <c r="B722" s="95" t="n"/>
      <c r="C722" s="95" t="n"/>
      <c r="D722" s="94" t="n"/>
      <c r="E722" s="95" t="n"/>
      <c r="F722" s="98" t="n"/>
      <c r="G722" s="94" t="n"/>
      <c r="H722" s="94" t="n"/>
      <c r="I722" s="100">
        <f>IF($B722="","",IFERROR(INDEX(Setup!$B$99:$B$128,MATCH($B722,Setup!$A$99:$A$128,0)),"CHECK TYPE"))</f>
        <v/>
      </c>
      <c r="J722">
        <f>IF($A722="","",DATE(YEAR($A722),MONTH($A722),1))</f>
        <v/>
      </c>
    </row>
    <row r="723">
      <c r="A723" s="85" t="n"/>
      <c r="B723" s="87" t="n"/>
      <c r="C723" s="87" t="n"/>
      <c r="D723" s="86" t="n"/>
      <c r="E723" s="87" t="n"/>
      <c r="F723" s="91" t="n"/>
      <c r="G723" s="86" t="n"/>
      <c r="H723" s="86" t="n"/>
      <c r="I723" s="100">
        <f>IF($B723="","",IFERROR(INDEX(Setup!$B$99:$B$128,MATCH($B723,Setup!$A$99:$A$128,0)),"CHECK TYPE"))</f>
        <v/>
      </c>
      <c r="J723">
        <f>IF($A723="","",DATE(YEAR($A723),MONTH($A723),1))</f>
        <v/>
      </c>
    </row>
    <row r="724">
      <c r="A724" s="93" t="n"/>
      <c r="B724" s="95" t="n"/>
      <c r="C724" s="95" t="n"/>
      <c r="D724" s="94" t="n"/>
      <c r="E724" s="95" t="n"/>
      <c r="F724" s="98" t="n"/>
      <c r="G724" s="94" t="n"/>
      <c r="H724" s="94" t="n"/>
      <c r="I724" s="100">
        <f>IF($B724="","",IFERROR(INDEX(Setup!$B$99:$B$128,MATCH($B724,Setup!$A$99:$A$128,0)),"CHECK TYPE"))</f>
        <v/>
      </c>
      <c r="J724">
        <f>IF($A724="","",DATE(YEAR($A724),MONTH($A724),1))</f>
        <v/>
      </c>
    </row>
    <row r="725">
      <c r="A725" s="85" t="n"/>
      <c r="B725" s="87" t="n"/>
      <c r="C725" s="87" t="n"/>
      <c r="D725" s="86" t="n"/>
      <c r="E725" s="87" t="n"/>
      <c r="F725" s="91" t="n"/>
      <c r="G725" s="86" t="n"/>
      <c r="H725" s="86" t="n"/>
      <c r="I725" s="100">
        <f>IF($B725="","",IFERROR(INDEX(Setup!$B$99:$B$128,MATCH($B725,Setup!$A$99:$A$128,0)),"CHECK TYPE"))</f>
        <v/>
      </c>
      <c r="J725">
        <f>IF($A725="","",DATE(YEAR($A725),MONTH($A725),1))</f>
        <v/>
      </c>
    </row>
    <row r="726">
      <c r="A726" s="93" t="n"/>
      <c r="B726" s="95" t="n"/>
      <c r="C726" s="95" t="n"/>
      <c r="D726" s="94" t="n"/>
      <c r="E726" s="95" t="n"/>
      <c r="F726" s="98" t="n"/>
      <c r="G726" s="94" t="n"/>
      <c r="H726" s="94" t="n"/>
      <c r="I726" s="100">
        <f>IF($B726="","",IFERROR(INDEX(Setup!$B$99:$B$128,MATCH($B726,Setup!$A$99:$A$128,0)),"CHECK TYPE"))</f>
        <v/>
      </c>
      <c r="J726">
        <f>IF($A726="","",DATE(YEAR($A726),MONTH($A726),1))</f>
        <v/>
      </c>
    </row>
    <row r="727">
      <c r="A727" s="85" t="n"/>
      <c r="B727" s="87" t="n"/>
      <c r="C727" s="87" t="n"/>
      <c r="D727" s="86" t="n"/>
      <c r="E727" s="87" t="n"/>
      <c r="F727" s="91" t="n"/>
      <c r="G727" s="86" t="n"/>
      <c r="H727" s="86" t="n"/>
      <c r="I727" s="100">
        <f>IF($B727="","",IFERROR(INDEX(Setup!$B$99:$B$128,MATCH($B727,Setup!$A$99:$A$128,0)),"CHECK TYPE"))</f>
        <v/>
      </c>
      <c r="J727">
        <f>IF($A727="","",DATE(YEAR($A727),MONTH($A727),1))</f>
        <v/>
      </c>
    </row>
    <row r="728">
      <c r="A728" s="93" t="n"/>
      <c r="B728" s="95" t="n"/>
      <c r="C728" s="95" t="n"/>
      <c r="D728" s="94" t="n"/>
      <c r="E728" s="95" t="n"/>
      <c r="F728" s="98" t="n"/>
      <c r="G728" s="94" t="n"/>
      <c r="H728" s="94" t="n"/>
      <c r="I728" s="100">
        <f>IF($B728="","",IFERROR(INDEX(Setup!$B$99:$B$128,MATCH($B728,Setup!$A$99:$A$128,0)),"CHECK TYPE"))</f>
        <v/>
      </c>
      <c r="J728">
        <f>IF($A728="","",DATE(YEAR($A728),MONTH($A728),1))</f>
        <v/>
      </c>
    </row>
    <row r="729">
      <c r="A729" s="85" t="n"/>
      <c r="B729" s="87" t="n"/>
      <c r="C729" s="87" t="n"/>
      <c r="D729" s="86" t="n"/>
      <c r="E729" s="87" t="n"/>
      <c r="F729" s="91" t="n"/>
      <c r="G729" s="86" t="n"/>
      <c r="H729" s="86" t="n"/>
      <c r="I729" s="100">
        <f>IF($B729="","",IFERROR(INDEX(Setup!$B$99:$B$128,MATCH($B729,Setup!$A$99:$A$128,0)),"CHECK TYPE"))</f>
        <v/>
      </c>
      <c r="J729">
        <f>IF($A729="","",DATE(YEAR($A729),MONTH($A729),1))</f>
        <v/>
      </c>
    </row>
    <row r="730">
      <c r="A730" s="93" t="n"/>
      <c r="B730" s="95" t="n"/>
      <c r="C730" s="95" t="n"/>
      <c r="D730" s="94" t="n"/>
      <c r="E730" s="95" t="n"/>
      <c r="F730" s="98" t="n"/>
      <c r="G730" s="94" t="n"/>
      <c r="H730" s="94" t="n"/>
      <c r="I730" s="100">
        <f>IF($B730="","",IFERROR(INDEX(Setup!$B$99:$B$128,MATCH($B730,Setup!$A$99:$A$128,0)),"CHECK TYPE"))</f>
        <v/>
      </c>
      <c r="J730">
        <f>IF($A730="","",DATE(YEAR($A730),MONTH($A730),1))</f>
        <v/>
      </c>
    </row>
    <row r="731">
      <c r="A731" s="85" t="n"/>
      <c r="B731" s="87" t="n"/>
      <c r="C731" s="87" t="n"/>
      <c r="D731" s="86" t="n"/>
      <c r="E731" s="87" t="n"/>
      <c r="F731" s="91" t="n"/>
      <c r="G731" s="86" t="n"/>
      <c r="H731" s="86" t="n"/>
      <c r="I731" s="100">
        <f>IF($B731="","",IFERROR(INDEX(Setup!$B$99:$B$128,MATCH($B731,Setup!$A$99:$A$128,0)),"CHECK TYPE"))</f>
        <v/>
      </c>
      <c r="J731">
        <f>IF($A731="","",DATE(YEAR($A731),MONTH($A731),1))</f>
        <v/>
      </c>
    </row>
    <row r="732">
      <c r="A732" s="93" t="n"/>
      <c r="B732" s="95" t="n"/>
      <c r="C732" s="95" t="n"/>
      <c r="D732" s="94" t="n"/>
      <c r="E732" s="95" t="n"/>
      <c r="F732" s="98" t="n"/>
      <c r="G732" s="94" t="n"/>
      <c r="H732" s="94" t="n"/>
      <c r="I732" s="100">
        <f>IF($B732="","",IFERROR(INDEX(Setup!$B$99:$B$128,MATCH($B732,Setup!$A$99:$A$128,0)),"CHECK TYPE"))</f>
        <v/>
      </c>
      <c r="J732">
        <f>IF($A732="","",DATE(YEAR($A732),MONTH($A732),1))</f>
        <v/>
      </c>
    </row>
    <row r="733">
      <c r="A733" s="85" t="n"/>
      <c r="B733" s="87" t="n"/>
      <c r="C733" s="87" t="n"/>
      <c r="D733" s="86" t="n"/>
      <c r="E733" s="87" t="n"/>
      <c r="F733" s="91" t="n"/>
      <c r="G733" s="86" t="n"/>
      <c r="H733" s="86" t="n"/>
      <c r="I733" s="100">
        <f>IF($B733="","",IFERROR(INDEX(Setup!$B$99:$B$128,MATCH($B733,Setup!$A$99:$A$128,0)),"CHECK TYPE"))</f>
        <v/>
      </c>
      <c r="J733">
        <f>IF($A733="","",DATE(YEAR($A733),MONTH($A733),1))</f>
        <v/>
      </c>
    </row>
    <row r="734">
      <c r="A734" s="93" t="n"/>
      <c r="B734" s="95" t="n"/>
      <c r="C734" s="95" t="n"/>
      <c r="D734" s="94" t="n"/>
      <c r="E734" s="95" t="n"/>
      <c r="F734" s="98" t="n"/>
      <c r="G734" s="94" t="n"/>
      <c r="H734" s="94" t="n"/>
      <c r="I734" s="100">
        <f>IF($B734="","",IFERROR(INDEX(Setup!$B$99:$B$128,MATCH($B734,Setup!$A$99:$A$128,0)),"CHECK TYPE"))</f>
        <v/>
      </c>
      <c r="J734">
        <f>IF($A734="","",DATE(YEAR($A734),MONTH($A734),1))</f>
        <v/>
      </c>
    </row>
    <row r="735">
      <c r="A735" s="85" t="n"/>
      <c r="B735" s="87" t="n"/>
      <c r="C735" s="87" t="n"/>
      <c r="D735" s="86" t="n"/>
      <c r="E735" s="87" t="n"/>
      <c r="F735" s="91" t="n"/>
      <c r="G735" s="86" t="n"/>
      <c r="H735" s="86" t="n"/>
      <c r="I735" s="100">
        <f>IF($B735="","",IFERROR(INDEX(Setup!$B$99:$B$128,MATCH($B735,Setup!$A$99:$A$128,0)),"CHECK TYPE"))</f>
        <v/>
      </c>
      <c r="J735">
        <f>IF($A735="","",DATE(YEAR($A735),MONTH($A735),1))</f>
        <v/>
      </c>
    </row>
    <row r="736">
      <c r="A736" s="93" t="n"/>
      <c r="B736" s="95" t="n"/>
      <c r="C736" s="95" t="n"/>
      <c r="D736" s="94" t="n"/>
      <c r="E736" s="95" t="n"/>
      <c r="F736" s="98" t="n"/>
      <c r="G736" s="94" t="n"/>
      <c r="H736" s="94" t="n"/>
      <c r="I736" s="100">
        <f>IF($B736="","",IFERROR(INDEX(Setup!$B$99:$B$128,MATCH($B736,Setup!$A$99:$A$128,0)),"CHECK TYPE"))</f>
        <v/>
      </c>
      <c r="J736">
        <f>IF($A736="","",DATE(YEAR($A736),MONTH($A736),1))</f>
        <v/>
      </c>
    </row>
    <row r="737">
      <c r="A737" s="85" t="n"/>
      <c r="B737" s="87" t="n"/>
      <c r="C737" s="87" t="n"/>
      <c r="D737" s="86" t="n"/>
      <c r="E737" s="87" t="n"/>
      <c r="F737" s="91" t="n"/>
      <c r="G737" s="86" t="n"/>
      <c r="H737" s="86" t="n"/>
      <c r="I737" s="100">
        <f>IF($B737="","",IFERROR(INDEX(Setup!$B$99:$B$128,MATCH($B737,Setup!$A$99:$A$128,0)),"CHECK TYPE"))</f>
        <v/>
      </c>
      <c r="J737">
        <f>IF($A737="","",DATE(YEAR($A737),MONTH($A737),1))</f>
        <v/>
      </c>
    </row>
    <row r="738">
      <c r="A738" s="93" t="n"/>
      <c r="B738" s="95" t="n"/>
      <c r="C738" s="95" t="n"/>
      <c r="D738" s="94" t="n"/>
      <c r="E738" s="95" t="n"/>
      <c r="F738" s="98" t="n"/>
      <c r="G738" s="94" t="n"/>
      <c r="H738" s="94" t="n"/>
      <c r="I738" s="100">
        <f>IF($B738="","",IFERROR(INDEX(Setup!$B$99:$B$128,MATCH($B738,Setup!$A$99:$A$128,0)),"CHECK TYPE"))</f>
        <v/>
      </c>
      <c r="J738">
        <f>IF($A738="","",DATE(YEAR($A738),MONTH($A738),1))</f>
        <v/>
      </c>
    </row>
    <row r="739">
      <c r="A739" s="85" t="n"/>
      <c r="B739" s="87" t="n"/>
      <c r="C739" s="87" t="n"/>
      <c r="D739" s="86" t="n"/>
      <c r="E739" s="87" t="n"/>
      <c r="F739" s="91" t="n"/>
      <c r="G739" s="86" t="n"/>
      <c r="H739" s="86" t="n"/>
      <c r="I739" s="100">
        <f>IF($B739="","",IFERROR(INDEX(Setup!$B$99:$B$128,MATCH($B739,Setup!$A$99:$A$128,0)),"CHECK TYPE"))</f>
        <v/>
      </c>
      <c r="J739">
        <f>IF($A739="","",DATE(YEAR($A739),MONTH($A739),1))</f>
        <v/>
      </c>
    </row>
    <row r="740">
      <c r="A740" s="93" t="n"/>
      <c r="B740" s="95" t="n"/>
      <c r="C740" s="95" t="n"/>
      <c r="D740" s="94" t="n"/>
      <c r="E740" s="95" t="n"/>
      <c r="F740" s="98" t="n"/>
      <c r="G740" s="94" t="n"/>
      <c r="H740" s="94" t="n"/>
      <c r="I740" s="100">
        <f>IF($B740="","",IFERROR(INDEX(Setup!$B$99:$B$128,MATCH($B740,Setup!$A$99:$A$128,0)),"CHECK TYPE"))</f>
        <v/>
      </c>
      <c r="J740">
        <f>IF($A740="","",DATE(YEAR($A740),MONTH($A740),1))</f>
        <v/>
      </c>
    </row>
    <row r="741">
      <c r="A741" s="85" t="n"/>
      <c r="B741" s="87" t="n"/>
      <c r="C741" s="87" t="n"/>
      <c r="D741" s="86" t="n"/>
      <c r="E741" s="87" t="n"/>
      <c r="F741" s="91" t="n"/>
      <c r="G741" s="86" t="n"/>
      <c r="H741" s="86" t="n"/>
      <c r="I741" s="100">
        <f>IF($B741="","",IFERROR(INDEX(Setup!$B$99:$B$128,MATCH($B741,Setup!$A$99:$A$128,0)),"CHECK TYPE"))</f>
        <v/>
      </c>
      <c r="J741">
        <f>IF($A741="","",DATE(YEAR($A741),MONTH($A741),1))</f>
        <v/>
      </c>
    </row>
    <row r="742">
      <c r="A742" s="93" t="n"/>
      <c r="B742" s="95" t="n"/>
      <c r="C742" s="95" t="n"/>
      <c r="D742" s="94" t="n"/>
      <c r="E742" s="95" t="n"/>
      <c r="F742" s="98" t="n"/>
      <c r="G742" s="94" t="n"/>
      <c r="H742" s="94" t="n"/>
      <c r="I742" s="100">
        <f>IF($B742="","",IFERROR(INDEX(Setup!$B$99:$B$128,MATCH($B742,Setup!$A$99:$A$128,0)),"CHECK TYPE"))</f>
        <v/>
      </c>
      <c r="J742">
        <f>IF($A742="","",DATE(YEAR($A742),MONTH($A742),1))</f>
        <v/>
      </c>
    </row>
    <row r="743">
      <c r="A743" s="85" t="n"/>
      <c r="B743" s="87" t="n"/>
      <c r="C743" s="87" t="n"/>
      <c r="D743" s="86" t="n"/>
      <c r="E743" s="87" t="n"/>
      <c r="F743" s="91" t="n"/>
      <c r="G743" s="86" t="n"/>
      <c r="H743" s="86" t="n"/>
      <c r="I743" s="100">
        <f>IF($B743="","",IFERROR(INDEX(Setup!$B$99:$B$128,MATCH($B743,Setup!$A$99:$A$128,0)),"CHECK TYPE"))</f>
        <v/>
      </c>
      <c r="J743">
        <f>IF($A743="","",DATE(YEAR($A743),MONTH($A743),1))</f>
        <v/>
      </c>
    </row>
    <row r="744">
      <c r="A744" s="93" t="n"/>
      <c r="B744" s="95" t="n"/>
      <c r="C744" s="95" t="n"/>
      <c r="D744" s="94" t="n"/>
      <c r="E744" s="95" t="n"/>
      <c r="F744" s="98" t="n"/>
      <c r="G744" s="94" t="n"/>
      <c r="H744" s="94" t="n"/>
      <c r="I744" s="100">
        <f>IF($B744="","",IFERROR(INDEX(Setup!$B$99:$B$128,MATCH($B744,Setup!$A$99:$A$128,0)),"CHECK TYPE"))</f>
        <v/>
      </c>
      <c r="J744">
        <f>IF($A744="","",DATE(YEAR($A744),MONTH($A744),1))</f>
        <v/>
      </c>
    </row>
    <row r="745">
      <c r="A745" s="85" t="n"/>
      <c r="B745" s="87" t="n"/>
      <c r="C745" s="87" t="n"/>
      <c r="D745" s="86" t="n"/>
      <c r="E745" s="87" t="n"/>
      <c r="F745" s="91" t="n"/>
      <c r="G745" s="86" t="n"/>
      <c r="H745" s="86" t="n"/>
      <c r="I745" s="100">
        <f>IF($B745="","",IFERROR(INDEX(Setup!$B$99:$B$128,MATCH($B745,Setup!$A$99:$A$128,0)),"CHECK TYPE"))</f>
        <v/>
      </c>
      <c r="J745">
        <f>IF($A745="","",DATE(YEAR($A745),MONTH($A745),1))</f>
        <v/>
      </c>
    </row>
    <row r="746">
      <c r="A746" s="93" t="n"/>
      <c r="B746" s="95" t="n"/>
      <c r="C746" s="95" t="n"/>
      <c r="D746" s="94" t="n"/>
      <c r="E746" s="95" t="n"/>
      <c r="F746" s="98" t="n"/>
      <c r="G746" s="94" t="n"/>
      <c r="H746" s="94" t="n"/>
      <c r="I746" s="100">
        <f>IF($B746="","",IFERROR(INDEX(Setup!$B$99:$B$128,MATCH($B746,Setup!$A$99:$A$128,0)),"CHECK TYPE"))</f>
        <v/>
      </c>
      <c r="J746">
        <f>IF($A746="","",DATE(YEAR($A746),MONTH($A746),1))</f>
        <v/>
      </c>
    </row>
    <row r="747">
      <c r="A747" s="85" t="n"/>
      <c r="B747" s="87" t="n"/>
      <c r="C747" s="87" t="n"/>
      <c r="D747" s="86" t="n"/>
      <c r="E747" s="87" t="n"/>
      <c r="F747" s="91" t="n"/>
      <c r="G747" s="86" t="n"/>
      <c r="H747" s="86" t="n"/>
      <c r="I747" s="100">
        <f>IF($B747="","",IFERROR(INDEX(Setup!$B$99:$B$128,MATCH($B747,Setup!$A$99:$A$128,0)),"CHECK TYPE"))</f>
        <v/>
      </c>
      <c r="J747">
        <f>IF($A747="","",DATE(YEAR($A747),MONTH($A747),1))</f>
        <v/>
      </c>
    </row>
    <row r="748">
      <c r="A748" s="93" t="n"/>
      <c r="B748" s="95" t="n"/>
      <c r="C748" s="95" t="n"/>
      <c r="D748" s="94" t="n"/>
      <c r="E748" s="95" t="n"/>
      <c r="F748" s="98" t="n"/>
      <c r="G748" s="94" t="n"/>
      <c r="H748" s="94" t="n"/>
      <c r="I748" s="100">
        <f>IF($B748="","",IFERROR(INDEX(Setup!$B$99:$B$128,MATCH($B748,Setup!$A$99:$A$128,0)),"CHECK TYPE"))</f>
        <v/>
      </c>
      <c r="J748">
        <f>IF($A748="","",DATE(YEAR($A748),MONTH($A748),1))</f>
        <v/>
      </c>
    </row>
    <row r="749">
      <c r="A749" s="85" t="n"/>
      <c r="B749" s="87" t="n"/>
      <c r="C749" s="87" t="n"/>
      <c r="D749" s="86" t="n"/>
      <c r="E749" s="87" t="n"/>
      <c r="F749" s="91" t="n"/>
      <c r="G749" s="86" t="n"/>
      <c r="H749" s="86" t="n"/>
      <c r="I749" s="100">
        <f>IF($B749="","",IFERROR(INDEX(Setup!$B$99:$B$128,MATCH($B749,Setup!$A$99:$A$128,0)),"CHECK TYPE"))</f>
        <v/>
      </c>
      <c r="J749">
        <f>IF($A749="","",DATE(YEAR($A749),MONTH($A749),1))</f>
        <v/>
      </c>
    </row>
    <row r="750">
      <c r="A750" s="93" t="n"/>
      <c r="B750" s="95" t="n"/>
      <c r="C750" s="95" t="n"/>
      <c r="D750" s="94" t="n"/>
      <c r="E750" s="95" t="n"/>
      <c r="F750" s="98" t="n"/>
      <c r="G750" s="94" t="n"/>
      <c r="H750" s="94" t="n"/>
      <c r="I750" s="100">
        <f>IF($B750="","",IFERROR(INDEX(Setup!$B$99:$B$128,MATCH($B750,Setup!$A$99:$A$128,0)),"CHECK TYPE"))</f>
        <v/>
      </c>
      <c r="J750">
        <f>IF($A750="","",DATE(YEAR($A750),MONTH($A750),1))</f>
        <v/>
      </c>
    </row>
    <row r="751">
      <c r="A751" s="85" t="n"/>
      <c r="B751" s="87" t="n"/>
      <c r="C751" s="87" t="n"/>
      <c r="D751" s="86" t="n"/>
      <c r="E751" s="87" t="n"/>
      <c r="F751" s="91" t="n"/>
      <c r="G751" s="86" t="n"/>
      <c r="H751" s="86" t="n"/>
      <c r="I751" s="100">
        <f>IF($B751="","",IFERROR(INDEX(Setup!$B$99:$B$128,MATCH($B751,Setup!$A$99:$A$128,0)),"CHECK TYPE"))</f>
        <v/>
      </c>
      <c r="J751">
        <f>IF($A751="","",DATE(YEAR($A751),MONTH($A751),1))</f>
        <v/>
      </c>
    </row>
    <row r="752">
      <c r="A752" s="93" t="n"/>
      <c r="B752" s="95" t="n"/>
      <c r="C752" s="95" t="n"/>
      <c r="D752" s="94" t="n"/>
      <c r="E752" s="95" t="n"/>
      <c r="F752" s="98" t="n"/>
      <c r="G752" s="94" t="n"/>
      <c r="H752" s="94" t="n"/>
      <c r="I752" s="100">
        <f>IF($B752="","",IFERROR(INDEX(Setup!$B$99:$B$128,MATCH($B752,Setup!$A$99:$A$128,0)),"CHECK TYPE"))</f>
        <v/>
      </c>
      <c r="J752">
        <f>IF($A752="","",DATE(YEAR($A752),MONTH($A752),1))</f>
        <v/>
      </c>
    </row>
    <row r="753">
      <c r="A753" s="85" t="n"/>
      <c r="B753" s="87" t="n"/>
      <c r="C753" s="87" t="n"/>
      <c r="D753" s="86" t="n"/>
      <c r="E753" s="87" t="n"/>
      <c r="F753" s="91" t="n"/>
      <c r="G753" s="86" t="n"/>
      <c r="H753" s="86" t="n"/>
      <c r="I753" s="100">
        <f>IF($B753="","",IFERROR(INDEX(Setup!$B$99:$B$128,MATCH($B753,Setup!$A$99:$A$128,0)),"CHECK TYPE"))</f>
        <v/>
      </c>
      <c r="J753">
        <f>IF($A753="","",DATE(YEAR($A753),MONTH($A753),1))</f>
        <v/>
      </c>
    </row>
    <row r="754">
      <c r="A754" s="93" t="n"/>
      <c r="B754" s="95" t="n"/>
      <c r="C754" s="95" t="n"/>
      <c r="D754" s="94" t="n"/>
      <c r="E754" s="95" t="n"/>
      <c r="F754" s="98" t="n"/>
      <c r="G754" s="94" t="n"/>
      <c r="H754" s="94" t="n"/>
      <c r="I754" s="100">
        <f>IF($B754="","",IFERROR(INDEX(Setup!$B$99:$B$128,MATCH($B754,Setup!$A$99:$A$128,0)),"CHECK TYPE"))</f>
        <v/>
      </c>
      <c r="J754">
        <f>IF($A754="","",DATE(YEAR($A754),MONTH($A754),1))</f>
        <v/>
      </c>
    </row>
    <row r="755">
      <c r="A755" s="85" t="n"/>
      <c r="B755" s="87" t="n"/>
      <c r="C755" s="87" t="n"/>
      <c r="D755" s="86" t="n"/>
      <c r="E755" s="87" t="n"/>
      <c r="F755" s="91" t="n"/>
      <c r="G755" s="86" t="n"/>
      <c r="H755" s="86" t="n"/>
      <c r="I755" s="100">
        <f>IF($B755="","",IFERROR(INDEX(Setup!$B$99:$B$128,MATCH($B755,Setup!$A$99:$A$128,0)),"CHECK TYPE"))</f>
        <v/>
      </c>
      <c r="J755">
        <f>IF($A755="","",DATE(YEAR($A755),MONTH($A755),1))</f>
        <v/>
      </c>
    </row>
    <row r="756">
      <c r="A756" s="93" t="n"/>
      <c r="B756" s="95" t="n"/>
      <c r="C756" s="95" t="n"/>
      <c r="D756" s="94" t="n"/>
      <c r="E756" s="95" t="n"/>
      <c r="F756" s="98" t="n"/>
      <c r="G756" s="94" t="n"/>
      <c r="H756" s="94" t="n"/>
      <c r="I756" s="100">
        <f>IF($B756="","",IFERROR(INDEX(Setup!$B$99:$B$128,MATCH($B756,Setup!$A$99:$A$128,0)),"CHECK TYPE"))</f>
        <v/>
      </c>
      <c r="J756">
        <f>IF($A756="","",DATE(YEAR($A756),MONTH($A756),1))</f>
        <v/>
      </c>
    </row>
    <row r="757">
      <c r="A757" s="85" t="n"/>
      <c r="B757" s="87" t="n"/>
      <c r="C757" s="87" t="n"/>
      <c r="D757" s="86" t="n"/>
      <c r="E757" s="87" t="n"/>
      <c r="F757" s="91" t="n"/>
      <c r="G757" s="86" t="n"/>
      <c r="H757" s="86" t="n"/>
      <c r="I757" s="100">
        <f>IF($B757="","",IFERROR(INDEX(Setup!$B$99:$B$128,MATCH($B757,Setup!$A$99:$A$128,0)),"CHECK TYPE"))</f>
        <v/>
      </c>
      <c r="J757">
        <f>IF($A757="","",DATE(YEAR($A757),MONTH($A757),1))</f>
        <v/>
      </c>
    </row>
    <row r="758">
      <c r="A758" s="93" t="n"/>
      <c r="B758" s="95" t="n"/>
      <c r="C758" s="95" t="n"/>
      <c r="D758" s="94" t="n"/>
      <c r="E758" s="95" t="n"/>
      <c r="F758" s="98" t="n"/>
      <c r="G758" s="94" t="n"/>
      <c r="H758" s="94" t="n"/>
      <c r="I758" s="100">
        <f>IF($B758="","",IFERROR(INDEX(Setup!$B$99:$B$128,MATCH($B758,Setup!$A$99:$A$128,0)),"CHECK TYPE"))</f>
        <v/>
      </c>
      <c r="J758">
        <f>IF($A758="","",DATE(YEAR($A758),MONTH($A758),1))</f>
        <v/>
      </c>
    </row>
    <row r="759">
      <c r="A759" s="85" t="n"/>
      <c r="B759" s="87" t="n"/>
      <c r="C759" s="87" t="n"/>
      <c r="D759" s="86" t="n"/>
      <c r="E759" s="87" t="n"/>
      <c r="F759" s="91" t="n"/>
      <c r="G759" s="86" t="n"/>
      <c r="H759" s="86" t="n"/>
      <c r="I759" s="100">
        <f>IF($B759="","",IFERROR(INDEX(Setup!$B$99:$B$128,MATCH($B759,Setup!$A$99:$A$128,0)),"CHECK TYPE"))</f>
        <v/>
      </c>
      <c r="J759">
        <f>IF($A759="","",DATE(YEAR($A759),MONTH($A759),1))</f>
        <v/>
      </c>
    </row>
    <row r="760">
      <c r="A760" s="93" t="n"/>
      <c r="B760" s="95" t="n"/>
      <c r="C760" s="95" t="n"/>
      <c r="D760" s="94" t="n"/>
      <c r="E760" s="95" t="n"/>
      <c r="F760" s="98" t="n"/>
      <c r="G760" s="94" t="n"/>
      <c r="H760" s="94" t="n"/>
      <c r="I760" s="100">
        <f>IF($B760="","",IFERROR(INDEX(Setup!$B$99:$B$128,MATCH($B760,Setup!$A$99:$A$128,0)),"CHECK TYPE"))</f>
        <v/>
      </c>
      <c r="J760">
        <f>IF($A760="","",DATE(YEAR($A760),MONTH($A760),1))</f>
        <v/>
      </c>
    </row>
    <row r="761">
      <c r="A761" s="85" t="n"/>
      <c r="B761" s="87" t="n"/>
      <c r="C761" s="87" t="n"/>
      <c r="D761" s="86" t="n"/>
      <c r="E761" s="87" t="n"/>
      <c r="F761" s="91" t="n"/>
      <c r="G761" s="86" t="n"/>
      <c r="H761" s="86" t="n"/>
      <c r="I761" s="100">
        <f>IF($B761="","",IFERROR(INDEX(Setup!$B$99:$B$128,MATCH($B761,Setup!$A$99:$A$128,0)),"CHECK TYPE"))</f>
        <v/>
      </c>
      <c r="J761">
        <f>IF($A761="","",DATE(YEAR($A761),MONTH($A761),1))</f>
        <v/>
      </c>
    </row>
    <row r="762">
      <c r="A762" s="93" t="n"/>
      <c r="B762" s="95" t="n"/>
      <c r="C762" s="95" t="n"/>
      <c r="D762" s="94" t="n"/>
      <c r="E762" s="95" t="n"/>
      <c r="F762" s="98" t="n"/>
      <c r="G762" s="94" t="n"/>
      <c r="H762" s="94" t="n"/>
      <c r="I762" s="100">
        <f>IF($B762="","",IFERROR(INDEX(Setup!$B$99:$B$128,MATCH($B762,Setup!$A$99:$A$128,0)),"CHECK TYPE"))</f>
        <v/>
      </c>
      <c r="J762">
        <f>IF($A762="","",DATE(YEAR($A762),MONTH($A762),1))</f>
        <v/>
      </c>
    </row>
    <row r="763">
      <c r="A763" s="85" t="n"/>
      <c r="B763" s="87" t="n"/>
      <c r="C763" s="87" t="n"/>
      <c r="D763" s="86" t="n"/>
      <c r="E763" s="87" t="n"/>
      <c r="F763" s="91" t="n"/>
      <c r="G763" s="86" t="n"/>
      <c r="H763" s="86" t="n"/>
      <c r="I763" s="100">
        <f>IF($B763="","",IFERROR(INDEX(Setup!$B$99:$B$128,MATCH($B763,Setup!$A$99:$A$128,0)),"CHECK TYPE"))</f>
        <v/>
      </c>
      <c r="J763">
        <f>IF($A763="","",DATE(YEAR($A763),MONTH($A763),1))</f>
        <v/>
      </c>
    </row>
    <row r="764">
      <c r="A764" s="93" t="n"/>
      <c r="B764" s="95" t="n"/>
      <c r="C764" s="95" t="n"/>
      <c r="D764" s="94" t="n"/>
      <c r="E764" s="95" t="n"/>
      <c r="F764" s="98" t="n"/>
      <c r="G764" s="94" t="n"/>
      <c r="H764" s="94" t="n"/>
      <c r="I764" s="100">
        <f>IF($B764="","",IFERROR(INDEX(Setup!$B$99:$B$128,MATCH($B764,Setup!$A$99:$A$128,0)),"CHECK TYPE"))</f>
        <v/>
      </c>
      <c r="J764">
        <f>IF($A764="","",DATE(YEAR($A764),MONTH($A764),1))</f>
        <v/>
      </c>
    </row>
    <row r="765">
      <c r="A765" s="85" t="n"/>
      <c r="B765" s="87" t="n"/>
      <c r="C765" s="87" t="n"/>
      <c r="D765" s="86" t="n"/>
      <c r="E765" s="87" t="n"/>
      <c r="F765" s="91" t="n"/>
      <c r="G765" s="86" t="n"/>
      <c r="H765" s="86" t="n"/>
      <c r="I765" s="100">
        <f>IF($B765="","",IFERROR(INDEX(Setup!$B$99:$B$128,MATCH($B765,Setup!$A$99:$A$128,0)),"CHECK TYPE"))</f>
        <v/>
      </c>
      <c r="J765">
        <f>IF($A765="","",DATE(YEAR($A765),MONTH($A765),1))</f>
        <v/>
      </c>
    </row>
    <row r="766">
      <c r="A766" s="93" t="n"/>
      <c r="B766" s="95" t="n"/>
      <c r="C766" s="95" t="n"/>
      <c r="D766" s="94" t="n"/>
      <c r="E766" s="95" t="n"/>
      <c r="F766" s="98" t="n"/>
      <c r="G766" s="94" t="n"/>
      <c r="H766" s="94" t="n"/>
      <c r="I766" s="100">
        <f>IF($B766="","",IFERROR(INDEX(Setup!$B$99:$B$128,MATCH($B766,Setup!$A$99:$A$128,0)),"CHECK TYPE"))</f>
        <v/>
      </c>
      <c r="J766">
        <f>IF($A766="","",DATE(YEAR($A766),MONTH($A766),1))</f>
        <v/>
      </c>
    </row>
    <row r="767">
      <c r="A767" s="85" t="n"/>
      <c r="B767" s="87" t="n"/>
      <c r="C767" s="87" t="n"/>
      <c r="D767" s="86" t="n"/>
      <c r="E767" s="87" t="n"/>
      <c r="F767" s="91" t="n"/>
      <c r="G767" s="86" t="n"/>
      <c r="H767" s="86" t="n"/>
      <c r="I767" s="100">
        <f>IF($B767="","",IFERROR(INDEX(Setup!$B$99:$B$128,MATCH($B767,Setup!$A$99:$A$128,0)),"CHECK TYPE"))</f>
        <v/>
      </c>
      <c r="J767">
        <f>IF($A767="","",DATE(YEAR($A767),MONTH($A767),1))</f>
        <v/>
      </c>
    </row>
    <row r="768">
      <c r="A768" s="93" t="n"/>
      <c r="B768" s="95" t="n"/>
      <c r="C768" s="95" t="n"/>
      <c r="D768" s="94" t="n"/>
      <c r="E768" s="95" t="n"/>
      <c r="F768" s="98" t="n"/>
      <c r="G768" s="94" t="n"/>
      <c r="H768" s="94" t="n"/>
      <c r="I768" s="100">
        <f>IF($B768="","",IFERROR(INDEX(Setup!$B$99:$B$128,MATCH($B768,Setup!$A$99:$A$128,0)),"CHECK TYPE"))</f>
        <v/>
      </c>
      <c r="J768">
        <f>IF($A768="","",DATE(YEAR($A768),MONTH($A768),1))</f>
        <v/>
      </c>
    </row>
    <row r="769">
      <c r="A769" s="85" t="n"/>
      <c r="B769" s="87" t="n"/>
      <c r="C769" s="87" t="n"/>
      <c r="D769" s="86" t="n"/>
      <c r="E769" s="87" t="n"/>
      <c r="F769" s="91" t="n"/>
      <c r="G769" s="86" t="n"/>
      <c r="H769" s="86" t="n"/>
      <c r="I769" s="100">
        <f>IF($B769="","",IFERROR(INDEX(Setup!$B$99:$B$128,MATCH($B769,Setup!$A$99:$A$128,0)),"CHECK TYPE"))</f>
        <v/>
      </c>
      <c r="J769">
        <f>IF($A769="","",DATE(YEAR($A769),MONTH($A769),1))</f>
        <v/>
      </c>
    </row>
    <row r="770">
      <c r="A770" s="93" t="n"/>
      <c r="B770" s="95" t="n"/>
      <c r="C770" s="95" t="n"/>
      <c r="D770" s="94" t="n"/>
      <c r="E770" s="95" t="n"/>
      <c r="F770" s="98" t="n"/>
      <c r="G770" s="94" t="n"/>
      <c r="H770" s="94" t="n"/>
      <c r="I770" s="100">
        <f>IF($B770="","",IFERROR(INDEX(Setup!$B$99:$B$128,MATCH($B770,Setup!$A$99:$A$128,0)),"CHECK TYPE"))</f>
        <v/>
      </c>
      <c r="J770">
        <f>IF($A770="","",DATE(YEAR($A770),MONTH($A770),1))</f>
        <v/>
      </c>
    </row>
    <row r="771">
      <c r="A771" s="85" t="n"/>
      <c r="B771" s="87" t="n"/>
      <c r="C771" s="87" t="n"/>
      <c r="D771" s="86" t="n"/>
      <c r="E771" s="87" t="n"/>
      <c r="F771" s="91" t="n"/>
      <c r="G771" s="86" t="n"/>
      <c r="H771" s="86" t="n"/>
      <c r="I771" s="100">
        <f>IF($B771="","",IFERROR(INDEX(Setup!$B$99:$B$128,MATCH($B771,Setup!$A$99:$A$128,0)),"CHECK TYPE"))</f>
        <v/>
      </c>
      <c r="J771">
        <f>IF($A771="","",DATE(YEAR($A771),MONTH($A771),1))</f>
        <v/>
      </c>
    </row>
    <row r="772">
      <c r="A772" s="93" t="n"/>
      <c r="B772" s="95" t="n"/>
      <c r="C772" s="95" t="n"/>
      <c r="D772" s="94" t="n"/>
      <c r="E772" s="95" t="n"/>
      <c r="F772" s="98" t="n"/>
      <c r="G772" s="94" t="n"/>
      <c r="H772" s="94" t="n"/>
      <c r="I772" s="100">
        <f>IF($B772="","",IFERROR(INDEX(Setup!$B$99:$B$128,MATCH($B772,Setup!$A$99:$A$128,0)),"CHECK TYPE"))</f>
        <v/>
      </c>
      <c r="J772">
        <f>IF($A772="","",DATE(YEAR($A772),MONTH($A772),1))</f>
        <v/>
      </c>
    </row>
    <row r="773">
      <c r="A773" s="85" t="n"/>
      <c r="B773" s="87" t="n"/>
      <c r="C773" s="87" t="n"/>
      <c r="D773" s="86" t="n"/>
      <c r="E773" s="87" t="n"/>
      <c r="F773" s="91" t="n"/>
      <c r="G773" s="86" t="n"/>
      <c r="H773" s="86" t="n"/>
      <c r="I773" s="100">
        <f>IF($B773="","",IFERROR(INDEX(Setup!$B$99:$B$128,MATCH($B773,Setup!$A$99:$A$128,0)),"CHECK TYPE"))</f>
        <v/>
      </c>
      <c r="J773">
        <f>IF($A773="","",DATE(YEAR($A773),MONTH($A773),1))</f>
        <v/>
      </c>
    </row>
    <row r="774">
      <c r="A774" s="93" t="n"/>
      <c r="B774" s="95" t="n"/>
      <c r="C774" s="95" t="n"/>
      <c r="D774" s="94" t="n"/>
      <c r="E774" s="95" t="n"/>
      <c r="F774" s="98" t="n"/>
      <c r="G774" s="94" t="n"/>
      <c r="H774" s="94" t="n"/>
      <c r="I774" s="100">
        <f>IF($B774="","",IFERROR(INDEX(Setup!$B$99:$B$128,MATCH($B774,Setup!$A$99:$A$128,0)),"CHECK TYPE"))</f>
        <v/>
      </c>
      <c r="J774">
        <f>IF($A774="","",DATE(YEAR($A774),MONTH($A774),1))</f>
        <v/>
      </c>
    </row>
    <row r="775">
      <c r="A775" s="85" t="n"/>
      <c r="B775" s="87" t="n"/>
      <c r="C775" s="87" t="n"/>
      <c r="D775" s="86" t="n"/>
      <c r="E775" s="87" t="n"/>
      <c r="F775" s="91" t="n"/>
      <c r="G775" s="86" t="n"/>
      <c r="H775" s="86" t="n"/>
      <c r="I775" s="100">
        <f>IF($B775="","",IFERROR(INDEX(Setup!$B$99:$B$128,MATCH($B775,Setup!$A$99:$A$128,0)),"CHECK TYPE"))</f>
        <v/>
      </c>
      <c r="J775">
        <f>IF($A775="","",DATE(YEAR($A775),MONTH($A775),1))</f>
        <v/>
      </c>
    </row>
    <row r="776">
      <c r="A776" s="93" t="n"/>
      <c r="B776" s="95" t="n"/>
      <c r="C776" s="95" t="n"/>
      <c r="D776" s="94" t="n"/>
      <c r="E776" s="95" t="n"/>
      <c r="F776" s="98" t="n"/>
      <c r="G776" s="94" t="n"/>
      <c r="H776" s="94" t="n"/>
      <c r="I776" s="100">
        <f>IF($B776="","",IFERROR(INDEX(Setup!$B$99:$B$128,MATCH($B776,Setup!$A$99:$A$128,0)),"CHECK TYPE"))</f>
        <v/>
      </c>
      <c r="J776">
        <f>IF($A776="","",DATE(YEAR($A776),MONTH($A776),1))</f>
        <v/>
      </c>
    </row>
    <row r="777">
      <c r="A777" s="85" t="n"/>
      <c r="B777" s="87" t="n"/>
      <c r="C777" s="87" t="n"/>
      <c r="D777" s="86" t="n"/>
      <c r="E777" s="87" t="n"/>
      <c r="F777" s="91" t="n"/>
      <c r="G777" s="86" t="n"/>
      <c r="H777" s="86" t="n"/>
      <c r="I777" s="100">
        <f>IF($B777="","",IFERROR(INDEX(Setup!$B$99:$B$128,MATCH($B777,Setup!$A$99:$A$128,0)),"CHECK TYPE"))</f>
        <v/>
      </c>
      <c r="J777">
        <f>IF($A777="","",DATE(YEAR($A777),MONTH($A777),1))</f>
        <v/>
      </c>
    </row>
    <row r="778">
      <c r="A778" s="93" t="n"/>
      <c r="B778" s="95" t="n"/>
      <c r="C778" s="95" t="n"/>
      <c r="D778" s="94" t="n"/>
      <c r="E778" s="95" t="n"/>
      <c r="F778" s="98" t="n"/>
      <c r="G778" s="94" t="n"/>
      <c r="H778" s="94" t="n"/>
      <c r="I778" s="100">
        <f>IF($B778="","",IFERROR(INDEX(Setup!$B$99:$B$128,MATCH($B778,Setup!$A$99:$A$128,0)),"CHECK TYPE"))</f>
        <v/>
      </c>
      <c r="J778">
        <f>IF($A778="","",DATE(YEAR($A778),MONTH($A778),1))</f>
        <v/>
      </c>
    </row>
    <row r="779">
      <c r="A779" s="85" t="n"/>
      <c r="B779" s="87" t="n"/>
      <c r="C779" s="87" t="n"/>
      <c r="D779" s="86" t="n"/>
      <c r="E779" s="87" t="n"/>
      <c r="F779" s="91" t="n"/>
      <c r="G779" s="86" t="n"/>
      <c r="H779" s="86" t="n"/>
      <c r="I779" s="100">
        <f>IF($B779="","",IFERROR(INDEX(Setup!$B$99:$B$128,MATCH($B779,Setup!$A$99:$A$128,0)),"CHECK TYPE"))</f>
        <v/>
      </c>
      <c r="J779">
        <f>IF($A779="","",DATE(YEAR($A779),MONTH($A779),1))</f>
        <v/>
      </c>
    </row>
    <row r="780">
      <c r="A780" s="93" t="n"/>
      <c r="B780" s="95" t="n"/>
      <c r="C780" s="95" t="n"/>
      <c r="D780" s="94" t="n"/>
      <c r="E780" s="95" t="n"/>
      <c r="F780" s="98" t="n"/>
      <c r="G780" s="94" t="n"/>
      <c r="H780" s="94" t="n"/>
      <c r="I780" s="100">
        <f>IF($B780="","",IFERROR(INDEX(Setup!$B$99:$B$128,MATCH($B780,Setup!$A$99:$A$128,0)),"CHECK TYPE"))</f>
        <v/>
      </c>
      <c r="J780">
        <f>IF($A780="","",DATE(YEAR($A780),MONTH($A780),1))</f>
        <v/>
      </c>
    </row>
    <row r="781">
      <c r="A781" s="85" t="n"/>
      <c r="B781" s="87" t="n"/>
      <c r="C781" s="87" t="n"/>
      <c r="D781" s="86" t="n"/>
      <c r="E781" s="87" t="n"/>
      <c r="F781" s="91" t="n"/>
      <c r="G781" s="86" t="n"/>
      <c r="H781" s="86" t="n"/>
      <c r="I781" s="100">
        <f>IF($B781="","",IFERROR(INDEX(Setup!$B$99:$B$128,MATCH($B781,Setup!$A$99:$A$128,0)),"CHECK TYPE"))</f>
        <v/>
      </c>
      <c r="J781">
        <f>IF($A781="","",DATE(YEAR($A781),MONTH($A781),1))</f>
        <v/>
      </c>
    </row>
    <row r="782">
      <c r="A782" s="93" t="n"/>
      <c r="B782" s="95" t="n"/>
      <c r="C782" s="95" t="n"/>
      <c r="D782" s="94" t="n"/>
      <c r="E782" s="95" t="n"/>
      <c r="F782" s="98" t="n"/>
      <c r="G782" s="94" t="n"/>
      <c r="H782" s="94" t="n"/>
      <c r="I782" s="100">
        <f>IF($B782="","",IFERROR(INDEX(Setup!$B$99:$B$128,MATCH($B782,Setup!$A$99:$A$128,0)),"CHECK TYPE"))</f>
        <v/>
      </c>
      <c r="J782">
        <f>IF($A782="","",DATE(YEAR($A782),MONTH($A782),1))</f>
        <v/>
      </c>
    </row>
    <row r="783">
      <c r="A783" s="85" t="n"/>
      <c r="B783" s="87" t="n"/>
      <c r="C783" s="87" t="n"/>
      <c r="D783" s="86" t="n"/>
      <c r="E783" s="87" t="n"/>
      <c r="F783" s="91" t="n"/>
      <c r="G783" s="86" t="n"/>
      <c r="H783" s="86" t="n"/>
      <c r="I783" s="100">
        <f>IF($B783="","",IFERROR(INDEX(Setup!$B$99:$B$128,MATCH($B783,Setup!$A$99:$A$128,0)),"CHECK TYPE"))</f>
        <v/>
      </c>
      <c r="J783">
        <f>IF($A783="","",DATE(YEAR($A783),MONTH($A783),1))</f>
        <v/>
      </c>
    </row>
    <row r="784">
      <c r="A784" s="93" t="n"/>
      <c r="B784" s="95" t="n"/>
      <c r="C784" s="95" t="n"/>
      <c r="D784" s="94" t="n"/>
      <c r="E784" s="95" t="n"/>
      <c r="F784" s="98" t="n"/>
      <c r="G784" s="94" t="n"/>
      <c r="H784" s="94" t="n"/>
      <c r="I784" s="100">
        <f>IF($B784="","",IFERROR(INDEX(Setup!$B$99:$B$128,MATCH($B784,Setup!$A$99:$A$128,0)),"CHECK TYPE"))</f>
        <v/>
      </c>
      <c r="J784">
        <f>IF($A784="","",DATE(YEAR($A784),MONTH($A784),1))</f>
        <v/>
      </c>
    </row>
    <row r="785">
      <c r="A785" s="85" t="n"/>
      <c r="B785" s="87" t="n"/>
      <c r="C785" s="87" t="n"/>
      <c r="D785" s="86" t="n"/>
      <c r="E785" s="87" t="n"/>
      <c r="F785" s="91" t="n"/>
      <c r="G785" s="86" t="n"/>
      <c r="H785" s="86" t="n"/>
      <c r="I785" s="100">
        <f>IF($B785="","",IFERROR(INDEX(Setup!$B$99:$B$128,MATCH($B785,Setup!$A$99:$A$128,0)),"CHECK TYPE"))</f>
        <v/>
      </c>
      <c r="J785">
        <f>IF($A785="","",DATE(YEAR($A785),MONTH($A785),1))</f>
        <v/>
      </c>
    </row>
    <row r="786">
      <c r="A786" s="93" t="n"/>
      <c r="B786" s="95" t="n"/>
      <c r="C786" s="95" t="n"/>
      <c r="D786" s="94" t="n"/>
      <c r="E786" s="95" t="n"/>
      <c r="F786" s="98" t="n"/>
      <c r="G786" s="94" t="n"/>
      <c r="H786" s="94" t="n"/>
      <c r="I786" s="100">
        <f>IF($B786="","",IFERROR(INDEX(Setup!$B$99:$B$128,MATCH($B786,Setup!$A$99:$A$128,0)),"CHECK TYPE"))</f>
        <v/>
      </c>
      <c r="J786">
        <f>IF($A786="","",DATE(YEAR($A786),MONTH($A786),1))</f>
        <v/>
      </c>
    </row>
    <row r="787">
      <c r="A787" s="85" t="n"/>
      <c r="B787" s="87" t="n"/>
      <c r="C787" s="87" t="n"/>
      <c r="D787" s="86" t="n"/>
      <c r="E787" s="87" t="n"/>
      <c r="F787" s="91" t="n"/>
      <c r="G787" s="86" t="n"/>
      <c r="H787" s="86" t="n"/>
      <c r="I787" s="100">
        <f>IF($B787="","",IFERROR(INDEX(Setup!$B$99:$B$128,MATCH($B787,Setup!$A$99:$A$128,0)),"CHECK TYPE"))</f>
        <v/>
      </c>
      <c r="J787">
        <f>IF($A787="","",DATE(YEAR($A787),MONTH($A787),1))</f>
        <v/>
      </c>
    </row>
    <row r="788">
      <c r="A788" s="93" t="n"/>
      <c r="B788" s="95" t="n"/>
      <c r="C788" s="95" t="n"/>
      <c r="D788" s="94" t="n"/>
      <c r="E788" s="95" t="n"/>
      <c r="F788" s="98" t="n"/>
      <c r="G788" s="94" t="n"/>
      <c r="H788" s="94" t="n"/>
      <c r="I788" s="100">
        <f>IF($B788="","",IFERROR(INDEX(Setup!$B$99:$B$128,MATCH($B788,Setup!$A$99:$A$128,0)),"CHECK TYPE"))</f>
        <v/>
      </c>
      <c r="J788">
        <f>IF($A788="","",DATE(YEAR($A788),MONTH($A788),1))</f>
        <v/>
      </c>
    </row>
    <row r="789">
      <c r="A789" s="85" t="n"/>
      <c r="B789" s="87" t="n"/>
      <c r="C789" s="87" t="n"/>
      <c r="D789" s="86" t="n"/>
      <c r="E789" s="87" t="n"/>
      <c r="F789" s="91" t="n"/>
      <c r="G789" s="86" t="n"/>
      <c r="H789" s="86" t="n"/>
      <c r="I789" s="100">
        <f>IF($B789="","",IFERROR(INDEX(Setup!$B$99:$B$128,MATCH($B789,Setup!$A$99:$A$128,0)),"CHECK TYPE"))</f>
        <v/>
      </c>
      <c r="J789">
        <f>IF($A789="","",DATE(YEAR($A789),MONTH($A789),1))</f>
        <v/>
      </c>
    </row>
    <row r="790">
      <c r="A790" s="93" t="n"/>
      <c r="B790" s="95" t="n"/>
      <c r="C790" s="95" t="n"/>
      <c r="D790" s="94" t="n"/>
      <c r="E790" s="95" t="n"/>
      <c r="F790" s="98" t="n"/>
      <c r="G790" s="94" t="n"/>
      <c r="H790" s="94" t="n"/>
      <c r="I790" s="100">
        <f>IF($B790="","",IFERROR(INDEX(Setup!$B$99:$B$128,MATCH($B790,Setup!$A$99:$A$128,0)),"CHECK TYPE"))</f>
        <v/>
      </c>
      <c r="J790">
        <f>IF($A790="","",DATE(YEAR($A790),MONTH($A790),1))</f>
        <v/>
      </c>
    </row>
    <row r="791">
      <c r="A791" s="85" t="n"/>
      <c r="B791" s="87" t="n"/>
      <c r="C791" s="87" t="n"/>
      <c r="D791" s="86" t="n"/>
      <c r="E791" s="87" t="n"/>
      <c r="F791" s="91" t="n"/>
      <c r="G791" s="86" t="n"/>
      <c r="H791" s="86" t="n"/>
      <c r="I791" s="100">
        <f>IF($B791="","",IFERROR(INDEX(Setup!$B$99:$B$128,MATCH($B791,Setup!$A$99:$A$128,0)),"CHECK TYPE"))</f>
        <v/>
      </c>
      <c r="J791">
        <f>IF($A791="","",DATE(YEAR($A791),MONTH($A791),1))</f>
        <v/>
      </c>
    </row>
    <row r="792">
      <c r="A792" s="93" t="n"/>
      <c r="B792" s="95" t="n"/>
      <c r="C792" s="95" t="n"/>
      <c r="D792" s="94" t="n"/>
      <c r="E792" s="95" t="n"/>
      <c r="F792" s="98" t="n"/>
      <c r="G792" s="94" t="n"/>
      <c r="H792" s="94" t="n"/>
      <c r="I792" s="100">
        <f>IF($B792="","",IFERROR(INDEX(Setup!$B$99:$B$128,MATCH($B792,Setup!$A$99:$A$128,0)),"CHECK TYPE"))</f>
        <v/>
      </c>
      <c r="J792">
        <f>IF($A792="","",DATE(YEAR($A792),MONTH($A792),1))</f>
        <v/>
      </c>
    </row>
    <row r="793">
      <c r="A793" s="85" t="n"/>
      <c r="B793" s="87" t="n"/>
      <c r="C793" s="87" t="n"/>
      <c r="D793" s="86" t="n"/>
      <c r="E793" s="87" t="n"/>
      <c r="F793" s="91" t="n"/>
      <c r="G793" s="86" t="n"/>
      <c r="H793" s="86" t="n"/>
      <c r="I793" s="100">
        <f>IF($B793="","",IFERROR(INDEX(Setup!$B$99:$B$128,MATCH($B793,Setup!$A$99:$A$128,0)),"CHECK TYPE"))</f>
        <v/>
      </c>
      <c r="J793">
        <f>IF($A793="","",DATE(YEAR($A793),MONTH($A793),1))</f>
        <v/>
      </c>
    </row>
    <row r="794">
      <c r="A794" s="93" t="n"/>
      <c r="B794" s="95" t="n"/>
      <c r="C794" s="95" t="n"/>
      <c r="D794" s="94" t="n"/>
      <c r="E794" s="95" t="n"/>
      <c r="F794" s="98" t="n"/>
      <c r="G794" s="94" t="n"/>
      <c r="H794" s="94" t="n"/>
      <c r="I794" s="100">
        <f>IF($B794="","",IFERROR(INDEX(Setup!$B$99:$B$128,MATCH($B794,Setup!$A$99:$A$128,0)),"CHECK TYPE"))</f>
        <v/>
      </c>
      <c r="J794">
        <f>IF($A794="","",DATE(YEAR($A794),MONTH($A794),1))</f>
        <v/>
      </c>
    </row>
    <row r="795">
      <c r="A795" s="85" t="n"/>
      <c r="B795" s="87" t="n"/>
      <c r="C795" s="87" t="n"/>
      <c r="D795" s="86" t="n"/>
      <c r="E795" s="87" t="n"/>
      <c r="F795" s="91" t="n"/>
      <c r="G795" s="86" t="n"/>
      <c r="H795" s="86" t="n"/>
      <c r="I795" s="100">
        <f>IF($B795="","",IFERROR(INDEX(Setup!$B$99:$B$128,MATCH($B795,Setup!$A$99:$A$128,0)),"CHECK TYPE"))</f>
        <v/>
      </c>
      <c r="J795">
        <f>IF($A795="","",DATE(YEAR($A795),MONTH($A795),1))</f>
        <v/>
      </c>
    </row>
    <row r="796">
      <c r="A796" s="93" t="n"/>
      <c r="B796" s="95" t="n"/>
      <c r="C796" s="95" t="n"/>
      <c r="D796" s="94" t="n"/>
      <c r="E796" s="95" t="n"/>
      <c r="F796" s="98" t="n"/>
      <c r="G796" s="94" t="n"/>
      <c r="H796" s="94" t="n"/>
      <c r="I796" s="100">
        <f>IF($B796="","",IFERROR(INDEX(Setup!$B$99:$B$128,MATCH($B796,Setup!$A$99:$A$128,0)),"CHECK TYPE"))</f>
        <v/>
      </c>
      <c r="J796">
        <f>IF($A796="","",DATE(YEAR($A796),MONTH($A796),1))</f>
        <v/>
      </c>
    </row>
    <row r="797">
      <c r="A797" s="85" t="n"/>
      <c r="B797" s="87" t="n"/>
      <c r="C797" s="87" t="n"/>
      <c r="D797" s="86" t="n"/>
      <c r="E797" s="87" t="n"/>
      <c r="F797" s="91" t="n"/>
      <c r="G797" s="86" t="n"/>
      <c r="H797" s="86" t="n"/>
      <c r="I797" s="100">
        <f>IF($B797="","",IFERROR(INDEX(Setup!$B$99:$B$128,MATCH($B797,Setup!$A$99:$A$128,0)),"CHECK TYPE"))</f>
        <v/>
      </c>
      <c r="J797">
        <f>IF($A797="","",DATE(YEAR($A797),MONTH($A797),1))</f>
        <v/>
      </c>
    </row>
    <row r="798">
      <c r="A798" s="93" t="n"/>
      <c r="B798" s="95" t="n"/>
      <c r="C798" s="95" t="n"/>
      <c r="D798" s="94" t="n"/>
      <c r="E798" s="95" t="n"/>
      <c r="F798" s="98" t="n"/>
      <c r="G798" s="94" t="n"/>
      <c r="H798" s="94" t="n"/>
      <c r="I798" s="100">
        <f>IF($B798="","",IFERROR(INDEX(Setup!$B$99:$B$128,MATCH($B798,Setup!$A$99:$A$128,0)),"CHECK TYPE"))</f>
        <v/>
      </c>
      <c r="J798">
        <f>IF($A798="","",DATE(YEAR($A798),MONTH($A798),1))</f>
        <v/>
      </c>
    </row>
    <row r="799">
      <c r="A799" s="85" t="n"/>
      <c r="B799" s="87" t="n"/>
      <c r="C799" s="87" t="n"/>
      <c r="D799" s="86" t="n"/>
      <c r="E799" s="87" t="n"/>
      <c r="F799" s="91" t="n"/>
      <c r="G799" s="86" t="n"/>
      <c r="H799" s="86" t="n"/>
      <c r="I799" s="100">
        <f>IF($B799="","",IFERROR(INDEX(Setup!$B$99:$B$128,MATCH($B799,Setup!$A$99:$A$128,0)),"CHECK TYPE"))</f>
        <v/>
      </c>
      <c r="J799">
        <f>IF($A799="","",DATE(YEAR($A799),MONTH($A799),1))</f>
        <v/>
      </c>
    </row>
    <row r="800">
      <c r="A800" s="93" t="n"/>
      <c r="B800" s="95" t="n"/>
      <c r="C800" s="95" t="n"/>
      <c r="D800" s="94" t="n"/>
      <c r="E800" s="95" t="n"/>
      <c r="F800" s="98" t="n"/>
      <c r="G800" s="94" t="n"/>
      <c r="H800" s="94" t="n"/>
      <c r="I800" s="100">
        <f>IF($B800="","",IFERROR(INDEX(Setup!$B$99:$B$128,MATCH($B800,Setup!$A$99:$A$128,0)),"CHECK TYPE"))</f>
        <v/>
      </c>
      <c r="J800">
        <f>IF($A800="","",DATE(YEAR($A800),MONTH($A800),1))</f>
        <v/>
      </c>
    </row>
    <row r="801">
      <c r="A801" s="85" t="n"/>
      <c r="B801" s="87" t="n"/>
      <c r="C801" s="87" t="n"/>
      <c r="D801" s="86" t="n"/>
      <c r="E801" s="87" t="n"/>
      <c r="F801" s="91" t="n"/>
      <c r="G801" s="86" t="n"/>
      <c r="H801" s="86" t="n"/>
      <c r="I801" s="100">
        <f>IF($B801="","",IFERROR(INDEX(Setup!$B$99:$B$128,MATCH($B801,Setup!$A$99:$A$128,0)),"CHECK TYPE"))</f>
        <v/>
      </c>
      <c r="J801">
        <f>IF($A801="","",DATE(YEAR($A801),MONTH($A801),1))</f>
        <v/>
      </c>
    </row>
    <row r="802">
      <c r="A802" s="93" t="n"/>
      <c r="B802" s="95" t="n"/>
      <c r="C802" s="95" t="n"/>
      <c r="D802" s="94" t="n"/>
      <c r="E802" s="95" t="n"/>
      <c r="F802" s="98" t="n"/>
      <c r="G802" s="94" t="n"/>
      <c r="H802" s="94" t="n"/>
      <c r="I802" s="100">
        <f>IF($B802="","",IFERROR(INDEX(Setup!$B$99:$B$128,MATCH($B802,Setup!$A$99:$A$128,0)),"CHECK TYPE"))</f>
        <v/>
      </c>
      <c r="J802">
        <f>IF($A802="","",DATE(YEAR($A802),MONTH($A802),1))</f>
        <v/>
      </c>
    </row>
    <row r="803">
      <c r="A803" s="85" t="n"/>
      <c r="B803" s="87" t="n"/>
      <c r="C803" s="87" t="n"/>
      <c r="D803" s="86" t="n"/>
      <c r="E803" s="87" t="n"/>
      <c r="F803" s="91" t="n"/>
      <c r="G803" s="86" t="n"/>
      <c r="H803" s="86" t="n"/>
      <c r="I803" s="100">
        <f>IF($B803="","",IFERROR(INDEX(Setup!$B$99:$B$128,MATCH($B803,Setup!$A$99:$A$128,0)),"CHECK TYPE"))</f>
        <v/>
      </c>
      <c r="J803">
        <f>IF($A803="","",DATE(YEAR($A803),MONTH($A803),1))</f>
        <v/>
      </c>
    </row>
    <row r="804">
      <c r="A804" s="93" t="n"/>
      <c r="B804" s="95" t="n"/>
      <c r="C804" s="95" t="n"/>
      <c r="D804" s="94" t="n"/>
      <c r="E804" s="95" t="n"/>
      <c r="F804" s="98" t="n"/>
      <c r="G804" s="94" t="n"/>
      <c r="H804" s="94" t="n"/>
      <c r="I804" s="100">
        <f>IF($B804="","",IFERROR(INDEX(Setup!$B$99:$B$128,MATCH($B804,Setup!$A$99:$A$128,0)),"CHECK TYPE"))</f>
        <v/>
      </c>
      <c r="J804">
        <f>IF($A804="","",DATE(YEAR($A804),MONTH($A804),1))</f>
        <v/>
      </c>
    </row>
    <row r="805">
      <c r="A805" s="85" t="n"/>
      <c r="B805" s="87" t="n"/>
      <c r="C805" s="87" t="n"/>
      <c r="D805" s="86" t="n"/>
      <c r="E805" s="87" t="n"/>
      <c r="F805" s="91" t="n"/>
      <c r="G805" s="86" t="n"/>
      <c r="H805" s="86" t="n"/>
      <c r="I805" s="100">
        <f>IF($B805="","",IFERROR(INDEX(Setup!$B$99:$B$128,MATCH($B805,Setup!$A$99:$A$128,0)),"CHECK TYPE"))</f>
        <v/>
      </c>
      <c r="J805">
        <f>IF($A805="","",DATE(YEAR($A805),MONTH($A805),1))</f>
        <v/>
      </c>
    </row>
    <row r="806">
      <c r="A806" s="93" t="n"/>
      <c r="B806" s="95" t="n"/>
      <c r="C806" s="95" t="n"/>
      <c r="D806" s="94" t="n"/>
      <c r="E806" s="95" t="n"/>
      <c r="F806" s="98" t="n"/>
      <c r="G806" s="94" t="n"/>
      <c r="H806" s="94" t="n"/>
      <c r="I806" s="100">
        <f>IF($B806="","",IFERROR(INDEX(Setup!$B$99:$B$128,MATCH($B806,Setup!$A$99:$A$128,0)),"CHECK TYPE"))</f>
        <v/>
      </c>
      <c r="J806">
        <f>IF($A806="","",DATE(YEAR($A806),MONTH($A806),1))</f>
        <v/>
      </c>
    </row>
    <row r="807">
      <c r="A807" s="85" t="n"/>
      <c r="B807" s="87" t="n"/>
      <c r="C807" s="87" t="n"/>
      <c r="D807" s="86" t="n"/>
      <c r="E807" s="87" t="n"/>
      <c r="F807" s="91" t="n"/>
      <c r="G807" s="86" t="n"/>
      <c r="H807" s="86" t="n"/>
      <c r="I807" s="100">
        <f>IF($B807="","",IFERROR(INDEX(Setup!$B$99:$B$128,MATCH($B807,Setup!$A$99:$A$128,0)),"CHECK TYPE"))</f>
        <v/>
      </c>
      <c r="J807">
        <f>IF($A807="","",DATE(YEAR($A807),MONTH($A807),1))</f>
        <v/>
      </c>
    </row>
    <row r="808">
      <c r="A808" s="93" t="n"/>
      <c r="B808" s="95" t="n"/>
      <c r="C808" s="95" t="n"/>
      <c r="D808" s="94" t="n"/>
      <c r="E808" s="95" t="n"/>
      <c r="F808" s="98" t="n"/>
      <c r="G808" s="94" t="n"/>
      <c r="H808" s="94" t="n"/>
      <c r="I808" s="100">
        <f>IF($B808="","",IFERROR(INDEX(Setup!$B$99:$B$128,MATCH($B808,Setup!$A$99:$A$128,0)),"CHECK TYPE"))</f>
        <v/>
      </c>
      <c r="J808">
        <f>IF($A808="","",DATE(YEAR($A808),MONTH($A808),1))</f>
        <v/>
      </c>
    </row>
    <row r="809">
      <c r="A809" s="85" t="n"/>
      <c r="B809" s="87" t="n"/>
      <c r="C809" s="87" t="n"/>
      <c r="D809" s="86" t="n"/>
      <c r="E809" s="87" t="n"/>
      <c r="F809" s="91" t="n"/>
      <c r="G809" s="86" t="n"/>
      <c r="H809" s="86" t="n"/>
      <c r="I809" s="100">
        <f>IF($B809="","",IFERROR(INDEX(Setup!$B$99:$B$128,MATCH($B809,Setup!$A$99:$A$128,0)),"CHECK TYPE"))</f>
        <v/>
      </c>
      <c r="J809">
        <f>IF($A809="","",DATE(YEAR($A809),MONTH($A809),1))</f>
        <v/>
      </c>
    </row>
    <row r="810">
      <c r="A810" s="93" t="n"/>
      <c r="B810" s="95" t="n"/>
      <c r="C810" s="95" t="n"/>
      <c r="D810" s="94" t="n"/>
      <c r="E810" s="95" t="n"/>
      <c r="F810" s="98" t="n"/>
      <c r="G810" s="94" t="n"/>
      <c r="H810" s="94" t="n"/>
      <c r="I810" s="100">
        <f>IF($B810="","",IFERROR(INDEX(Setup!$B$99:$B$128,MATCH($B810,Setup!$A$99:$A$128,0)),"CHECK TYPE"))</f>
        <v/>
      </c>
      <c r="J810">
        <f>IF($A810="","",DATE(YEAR($A810),MONTH($A810),1))</f>
        <v/>
      </c>
    </row>
    <row r="811">
      <c r="A811" s="85" t="n"/>
      <c r="B811" s="87" t="n"/>
      <c r="C811" s="87" t="n"/>
      <c r="D811" s="86" t="n"/>
      <c r="E811" s="87" t="n"/>
      <c r="F811" s="91" t="n"/>
      <c r="G811" s="86" t="n"/>
      <c r="H811" s="86" t="n"/>
      <c r="I811" s="100">
        <f>IF($B811="","",IFERROR(INDEX(Setup!$B$99:$B$128,MATCH($B811,Setup!$A$99:$A$128,0)),"CHECK TYPE"))</f>
        <v/>
      </c>
      <c r="J811">
        <f>IF($A811="","",DATE(YEAR($A811),MONTH($A811),1))</f>
        <v/>
      </c>
    </row>
    <row r="812">
      <c r="A812" s="93" t="n"/>
      <c r="B812" s="95" t="n"/>
      <c r="C812" s="95" t="n"/>
      <c r="D812" s="94" t="n"/>
      <c r="E812" s="95" t="n"/>
      <c r="F812" s="98" t="n"/>
      <c r="G812" s="94" t="n"/>
      <c r="H812" s="94" t="n"/>
      <c r="I812" s="100">
        <f>IF($B812="","",IFERROR(INDEX(Setup!$B$99:$B$128,MATCH($B812,Setup!$A$99:$A$128,0)),"CHECK TYPE"))</f>
        <v/>
      </c>
      <c r="J812">
        <f>IF($A812="","",DATE(YEAR($A812),MONTH($A812),1))</f>
        <v/>
      </c>
    </row>
    <row r="813">
      <c r="A813" s="85" t="n"/>
      <c r="B813" s="87" t="n"/>
      <c r="C813" s="87" t="n"/>
      <c r="D813" s="86" t="n"/>
      <c r="E813" s="87" t="n"/>
      <c r="F813" s="91" t="n"/>
      <c r="G813" s="86" t="n"/>
      <c r="H813" s="86" t="n"/>
      <c r="I813" s="100">
        <f>IF($B813="","",IFERROR(INDEX(Setup!$B$99:$B$128,MATCH($B813,Setup!$A$99:$A$128,0)),"CHECK TYPE"))</f>
        <v/>
      </c>
      <c r="J813">
        <f>IF($A813="","",DATE(YEAR($A813),MONTH($A813),1))</f>
        <v/>
      </c>
    </row>
    <row r="814">
      <c r="A814" s="93" t="n"/>
      <c r="B814" s="95" t="n"/>
      <c r="C814" s="95" t="n"/>
      <c r="D814" s="94" t="n"/>
      <c r="E814" s="95" t="n"/>
      <c r="F814" s="98" t="n"/>
      <c r="G814" s="94" t="n"/>
      <c r="H814" s="94" t="n"/>
      <c r="I814" s="100">
        <f>IF($B814="","",IFERROR(INDEX(Setup!$B$99:$B$128,MATCH($B814,Setup!$A$99:$A$128,0)),"CHECK TYPE"))</f>
        <v/>
      </c>
      <c r="J814">
        <f>IF($A814="","",DATE(YEAR($A814),MONTH($A814),1))</f>
        <v/>
      </c>
    </row>
    <row r="815">
      <c r="A815" s="85" t="n"/>
      <c r="B815" s="87" t="n"/>
      <c r="C815" s="87" t="n"/>
      <c r="D815" s="86" t="n"/>
      <c r="E815" s="87" t="n"/>
      <c r="F815" s="91" t="n"/>
      <c r="G815" s="86" t="n"/>
      <c r="H815" s="86" t="n"/>
      <c r="I815" s="100">
        <f>IF($B815="","",IFERROR(INDEX(Setup!$B$99:$B$128,MATCH($B815,Setup!$A$99:$A$128,0)),"CHECK TYPE"))</f>
        <v/>
      </c>
      <c r="J815">
        <f>IF($A815="","",DATE(YEAR($A815),MONTH($A815),1))</f>
        <v/>
      </c>
    </row>
    <row r="816">
      <c r="A816" s="93" t="n"/>
      <c r="B816" s="95" t="n"/>
      <c r="C816" s="95" t="n"/>
      <c r="D816" s="94" t="n"/>
      <c r="E816" s="95" t="n"/>
      <c r="F816" s="98" t="n"/>
      <c r="G816" s="94" t="n"/>
      <c r="H816" s="94" t="n"/>
      <c r="I816" s="100">
        <f>IF($B816="","",IFERROR(INDEX(Setup!$B$99:$B$128,MATCH($B816,Setup!$A$99:$A$128,0)),"CHECK TYPE"))</f>
        <v/>
      </c>
      <c r="J816">
        <f>IF($A816="","",DATE(YEAR($A816),MONTH($A816),1))</f>
        <v/>
      </c>
    </row>
    <row r="817">
      <c r="A817" s="85" t="n"/>
      <c r="B817" s="87" t="n"/>
      <c r="C817" s="87" t="n"/>
      <c r="D817" s="86" t="n"/>
      <c r="E817" s="87" t="n"/>
      <c r="F817" s="91" t="n"/>
      <c r="G817" s="86" t="n"/>
      <c r="H817" s="86" t="n"/>
      <c r="I817" s="100">
        <f>IF($B817="","",IFERROR(INDEX(Setup!$B$99:$B$128,MATCH($B817,Setup!$A$99:$A$128,0)),"CHECK TYPE"))</f>
        <v/>
      </c>
      <c r="J817">
        <f>IF($A817="","",DATE(YEAR($A817),MONTH($A817),1))</f>
        <v/>
      </c>
    </row>
    <row r="818">
      <c r="A818" s="93" t="n"/>
      <c r="B818" s="95" t="n"/>
      <c r="C818" s="95" t="n"/>
      <c r="D818" s="94" t="n"/>
      <c r="E818" s="95" t="n"/>
      <c r="F818" s="98" t="n"/>
      <c r="G818" s="94" t="n"/>
      <c r="H818" s="94" t="n"/>
      <c r="I818" s="100">
        <f>IF($B818="","",IFERROR(INDEX(Setup!$B$99:$B$128,MATCH($B818,Setup!$A$99:$A$128,0)),"CHECK TYPE"))</f>
        <v/>
      </c>
      <c r="J818">
        <f>IF($A818="","",DATE(YEAR($A818),MONTH($A818),1))</f>
        <v/>
      </c>
    </row>
    <row r="819">
      <c r="A819" s="85" t="n"/>
      <c r="B819" s="87" t="n"/>
      <c r="C819" s="87" t="n"/>
      <c r="D819" s="86" t="n"/>
      <c r="E819" s="87" t="n"/>
      <c r="F819" s="91" t="n"/>
      <c r="G819" s="86" t="n"/>
      <c r="H819" s="86" t="n"/>
      <c r="I819" s="100">
        <f>IF($B819="","",IFERROR(INDEX(Setup!$B$99:$B$128,MATCH($B819,Setup!$A$99:$A$128,0)),"CHECK TYPE"))</f>
        <v/>
      </c>
      <c r="J819">
        <f>IF($A819="","",DATE(YEAR($A819),MONTH($A819),1))</f>
        <v/>
      </c>
    </row>
    <row r="820">
      <c r="A820" s="93" t="n"/>
      <c r="B820" s="95" t="n"/>
      <c r="C820" s="95" t="n"/>
      <c r="D820" s="94" t="n"/>
      <c r="E820" s="95" t="n"/>
      <c r="F820" s="98" t="n"/>
      <c r="G820" s="94" t="n"/>
      <c r="H820" s="94" t="n"/>
      <c r="I820" s="100">
        <f>IF($B820="","",IFERROR(INDEX(Setup!$B$99:$B$128,MATCH($B820,Setup!$A$99:$A$128,0)),"CHECK TYPE"))</f>
        <v/>
      </c>
      <c r="J820">
        <f>IF($A820="","",DATE(YEAR($A820),MONTH($A820),1))</f>
        <v/>
      </c>
    </row>
    <row r="821">
      <c r="A821" s="85" t="n"/>
      <c r="B821" s="87" t="n"/>
      <c r="C821" s="87" t="n"/>
      <c r="D821" s="86" t="n"/>
      <c r="E821" s="87" t="n"/>
      <c r="F821" s="91" t="n"/>
      <c r="G821" s="86" t="n"/>
      <c r="H821" s="86" t="n"/>
      <c r="I821" s="100">
        <f>IF($B821="","",IFERROR(INDEX(Setup!$B$99:$B$128,MATCH($B821,Setup!$A$99:$A$128,0)),"CHECK TYPE"))</f>
        <v/>
      </c>
      <c r="J821">
        <f>IF($A821="","",DATE(YEAR($A821),MONTH($A821),1))</f>
        <v/>
      </c>
    </row>
    <row r="822">
      <c r="A822" s="93" t="n"/>
      <c r="B822" s="95" t="n"/>
      <c r="C822" s="95" t="n"/>
      <c r="D822" s="94" t="n"/>
      <c r="E822" s="95" t="n"/>
      <c r="F822" s="98" t="n"/>
      <c r="G822" s="94" t="n"/>
      <c r="H822" s="94" t="n"/>
      <c r="I822" s="100">
        <f>IF($B822="","",IFERROR(INDEX(Setup!$B$99:$B$128,MATCH($B822,Setup!$A$99:$A$128,0)),"CHECK TYPE"))</f>
        <v/>
      </c>
      <c r="J822">
        <f>IF($A822="","",DATE(YEAR($A822),MONTH($A822),1))</f>
        <v/>
      </c>
    </row>
    <row r="823">
      <c r="A823" s="85" t="n"/>
      <c r="B823" s="87" t="n"/>
      <c r="C823" s="87" t="n"/>
      <c r="D823" s="86" t="n"/>
      <c r="E823" s="87" t="n"/>
      <c r="F823" s="91" t="n"/>
      <c r="G823" s="86" t="n"/>
      <c r="H823" s="86" t="n"/>
      <c r="I823" s="100">
        <f>IF($B823="","",IFERROR(INDEX(Setup!$B$99:$B$128,MATCH($B823,Setup!$A$99:$A$128,0)),"CHECK TYPE"))</f>
        <v/>
      </c>
      <c r="J823">
        <f>IF($A823="","",DATE(YEAR($A823),MONTH($A823),1))</f>
        <v/>
      </c>
    </row>
    <row r="824">
      <c r="A824" s="93" t="n"/>
      <c r="B824" s="95" t="n"/>
      <c r="C824" s="95" t="n"/>
      <c r="D824" s="94" t="n"/>
      <c r="E824" s="95" t="n"/>
      <c r="F824" s="98" t="n"/>
      <c r="G824" s="94" t="n"/>
      <c r="H824" s="94" t="n"/>
      <c r="I824" s="100">
        <f>IF($B824="","",IFERROR(INDEX(Setup!$B$99:$B$128,MATCH($B824,Setup!$A$99:$A$128,0)),"CHECK TYPE"))</f>
        <v/>
      </c>
      <c r="J824">
        <f>IF($A824="","",DATE(YEAR($A824),MONTH($A824),1))</f>
        <v/>
      </c>
    </row>
    <row r="825">
      <c r="A825" s="85" t="n"/>
      <c r="B825" s="87" t="n"/>
      <c r="C825" s="87" t="n"/>
      <c r="D825" s="86" t="n"/>
      <c r="E825" s="87" t="n"/>
      <c r="F825" s="91" t="n"/>
      <c r="G825" s="86" t="n"/>
      <c r="H825" s="86" t="n"/>
      <c r="I825" s="100">
        <f>IF($B825="","",IFERROR(INDEX(Setup!$B$99:$B$128,MATCH($B825,Setup!$A$99:$A$128,0)),"CHECK TYPE"))</f>
        <v/>
      </c>
      <c r="J825">
        <f>IF($A825="","",DATE(YEAR($A825),MONTH($A825),1))</f>
        <v/>
      </c>
    </row>
    <row r="826">
      <c r="A826" s="93" t="n"/>
      <c r="B826" s="95" t="n"/>
      <c r="C826" s="95" t="n"/>
      <c r="D826" s="94" t="n"/>
      <c r="E826" s="95" t="n"/>
      <c r="F826" s="98" t="n"/>
      <c r="G826" s="94" t="n"/>
      <c r="H826" s="94" t="n"/>
      <c r="I826" s="100">
        <f>IF($B826="","",IFERROR(INDEX(Setup!$B$99:$B$128,MATCH($B826,Setup!$A$99:$A$128,0)),"CHECK TYPE"))</f>
        <v/>
      </c>
      <c r="J826">
        <f>IF($A826="","",DATE(YEAR($A826),MONTH($A826),1))</f>
        <v/>
      </c>
    </row>
    <row r="827">
      <c r="A827" s="85" t="n"/>
      <c r="B827" s="87" t="n"/>
      <c r="C827" s="87" t="n"/>
      <c r="D827" s="86" t="n"/>
      <c r="E827" s="87" t="n"/>
      <c r="F827" s="91" t="n"/>
      <c r="G827" s="86" t="n"/>
      <c r="H827" s="86" t="n"/>
      <c r="I827" s="100">
        <f>IF($B827="","",IFERROR(INDEX(Setup!$B$99:$B$128,MATCH($B827,Setup!$A$99:$A$128,0)),"CHECK TYPE"))</f>
        <v/>
      </c>
      <c r="J827">
        <f>IF($A827="","",DATE(YEAR($A827),MONTH($A827),1))</f>
        <v/>
      </c>
    </row>
    <row r="828">
      <c r="A828" s="93" t="n"/>
      <c r="B828" s="95" t="n"/>
      <c r="C828" s="95" t="n"/>
      <c r="D828" s="94" t="n"/>
      <c r="E828" s="95" t="n"/>
      <c r="F828" s="98" t="n"/>
      <c r="G828" s="94" t="n"/>
      <c r="H828" s="94" t="n"/>
      <c r="I828" s="100">
        <f>IF($B828="","",IFERROR(INDEX(Setup!$B$99:$B$128,MATCH($B828,Setup!$A$99:$A$128,0)),"CHECK TYPE"))</f>
        <v/>
      </c>
      <c r="J828">
        <f>IF($A828="","",DATE(YEAR($A828),MONTH($A828),1))</f>
        <v/>
      </c>
    </row>
    <row r="829">
      <c r="A829" s="85" t="n"/>
      <c r="B829" s="87" t="n"/>
      <c r="C829" s="87" t="n"/>
      <c r="D829" s="86" t="n"/>
      <c r="E829" s="87" t="n"/>
      <c r="F829" s="91" t="n"/>
      <c r="G829" s="86" t="n"/>
      <c r="H829" s="86" t="n"/>
      <c r="I829" s="100">
        <f>IF($B829="","",IFERROR(INDEX(Setup!$B$99:$B$128,MATCH($B829,Setup!$A$99:$A$128,0)),"CHECK TYPE"))</f>
        <v/>
      </c>
      <c r="J829">
        <f>IF($A829="","",DATE(YEAR($A829),MONTH($A829),1))</f>
        <v/>
      </c>
    </row>
    <row r="830">
      <c r="A830" s="93" t="n"/>
      <c r="B830" s="95" t="n"/>
      <c r="C830" s="95" t="n"/>
      <c r="D830" s="94" t="n"/>
      <c r="E830" s="95" t="n"/>
      <c r="F830" s="98" t="n"/>
      <c r="G830" s="94" t="n"/>
      <c r="H830" s="94" t="n"/>
      <c r="I830" s="100">
        <f>IF($B830="","",IFERROR(INDEX(Setup!$B$99:$B$128,MATCH($B830,Setup!$A$99:$A$128,0)),"CHECK TYPE"))</f>
        <v/>
      </c>
      <c r="J830">
        <f>IF($A830="","",DATE(YEAR($A830),MONTH($A830),1))</f>
        <v/>
      </c>
    </row>
    <row r="831">
      <c r="A831" s="85" t="n"/>
      <c r="B831" s="87" t="n"/>
      <c r="C831" s="87" t="n"/>
      <c r="D831" s="86" t="n"/>
      <c r="E831" s="87" t="n"/>
      <c r="F831" s="91" t="n"/>
      <c r="G831" s="86" t="n"/>
      <c r="H831" s="86" t="n"/>
      <c r="I831" s="100">
        <f>IF($B831="","",IFERROR(INDEX(Setup!$B$99:$B$128,MATCH($B831,Setup!$A$99:$A$128,0)),"CHECK TYPE"))</f>
        <v/>
      </c>
      <c r="J831">
        <f>IF($A831="","",DATE(YEAR($A831),MONTH($A831),1))</f>
        <v/>
      </c>
    </row>
    <row r="832">
      <c r="A832" s="93" t="n"/>
      <c r="B832" s="95" t="n"/>
      <c r="C832" s="95" t="n"/>
      <c r="D832" s="94" t="n"/>
      <c r="E832" s="95" t="n"/>
      <c r="F832" s="98" t="n"/>
      <c r="G832" s="94" t="n"/>
      <c r="H832" s="94" t="n"/>
      <c r="I832" s="100">
        <f>IF($B832="","",IFERROR(INDEX(Setup!$B$99:$B$128,MATCH($B832,Setup!$A$99:$A$128,0)),"CHECK TYPE"))</f>
        <v/>
      </c>
      <c r="J832">
        <f>IF($A832="","",DATE(YEAR($A832),MONTH($A832),1))</f>
        <v/>
      </c>
    </row>
    <row r="833">
      <c r="A833" s="85" t="n"/>
      <c r="B833" s="87" t="n"/>
      <c r="C833" s="87" t="n"/>
      <c r="D833" s="86" t="n"/>
      <c r="E833" s="87" t="n"/>
      <c r="F833" s="91" t="n"/>
      <c r="G833" s="86" t="n"/>
      <c r="H833" s="86" t="n"/>
      <c r="I833" s="100">
        <f>IF($B833="","",IFERROR(INDEX(Setup!$B$99:$B$128,MATCH($B833,Setup!$A$99:$A$128,0)),"CHECK TYPE"))</f>
        <v/>
      </c>
      <c r="J833">
        <f>IF($A833="","",DATE(YEAR($A833),MONTH($A833),1))</f>
        <v/>
      </c>
    </row>
    <row r="834">
      <c r="A834" s="93" t="n"/>
      <c r="B834" s="95" t="n"/>
      <c r="C834" s="95" t="n"/>
      <c r="D834" s="94" t="n"/>
      <c r="E834" s="95" t="n"/>
      <c r="F834" s="98" t="n"/>
      <c r="G834" s="94" t="n"/>
      <c r="H834" s="94" t="n"/>
      <c r="I834" s="100">
        <f>IF($B834="","",IFERROR(INDEX(Setup!$B$99:$B$128,MATCH($B834,Setup!$A$99:$A$128,0)),"CHECK TYPE"))</f>
        <v/>
      </c>
      <c r="J834">
        <f>IF($A834="","",DATE(YEAR($A834),MONTH($A834),1))</f>
        <v/>
      </c>
    </row>
    <row r="835">
      <c r="A835" s="85" t="n"/>
      <c r="B835" s="87" t="n"/>
      <c r="C835" s="87" t="n"/>
      <c r="D835" s="86" t="n"/>
      <c r="E835" s="87" t="n"/>
      <c r="F835" s="91" t="n"/>
      <c r="G835" s="86" t="n"/>
      <c r="H835" s="86" t="n"/>
      <c r="I835" s="100">
        <f>IF($B835="","",IFERROR(INDEX(Setup!$B$99:$B$128,MATCH($B835,Setup!$A$99:$A$128,0)),"CHECK TYPE"))</f>
        <v/>
      </c>
      <c r="J835">
        <f>IF($A835="","",DATE(YEAR($A835),MONTH($A835),1))</f>
        <v/>
      </c>
    </row>
    <row r="836">
      <c r="A836" s="93" t="n"/>
      <c r="B836" s="95" t="n"/>
      <c r="C836" s="95" t="n"/>
      <c r="D836" s="94" t="n"/>
      <c r="E836" s="95" t="n"/>
      <c r="F836" s="98" t="n"/>
      <c r="G836" s="94" t="n"/>
      <c r="H836" s="94" t="n"/>
      <c r="I836" s="100">
        <f>IF($B836="","",IFERROR(INDEX(Setup!$B$99:$B$128,MATCH($B836,Setup!$A$99:$A$128,0)),"CHECK TYPE"))</f>
        <v/>
      </c>
      <c r="J836">
        <f>IF($A836="","",DATE(YEAR($A836),MONTH($A836),1))</f>
        <v/>
      </c>
    </row>
    <row r="837">
      <c r="A837" s="85" t="n"/>
      <c r="B837" s="87" t="n"/>
      <c r="C837" s="87" t="n"/>
      <c r="D837" s="86" t="n"/>
      <c r="E837" s="87" t="n"/>
      <c r="F837" s="91" t="n"/>
      <c r="G837" s="86" t="n"/>
      <c r="H837" s="86" t="n"/>
      <c r="I837" s="100">
        <f>IF($B837="","",IFERROR(INDEX(Setup!$B$99:$B$128,MATCH($B837,Setup!$A$99:$A$128,0)),"CHECK TYPE"))</f>
        <v/>
      </c>
      <c r="J837">
        <f>IF($A837="","",DATE(YEAR($A837),MONTH($A837),1))</f>
        <v/>
      </c>
    </row>
    <row r="838">
      <c r="A838" s="93" t="n"/>
      <c r="B838" s="95" t="n"/>
      <c r="C838" s="95" t="n"/>
      <c r="D838" s="94" t="n"/>
      <c r="E838" s="95" t="n"/>
      <c r="F838" s="98" t="n"/>
      <c r="G838" s="94" t="n"/>
      <c r="H838" s="94" t="n"/>
      <c r="I838" s="100">
        <f>IF($B838="","",IFERROR(INDEX(Setup!$B$99:$B$128,MATCH($B838,Setup!$A$99:$A$128,0)),"CHECK TYPE"))</f>
        <v/>
      </c>
      <c r="J838">
        <f>IF($A838="","",DATE(YEAR($A838),MONTH($A838),1))</f>
        <v/>
      </c>
    </row>
    <row r="839">
      <c r="A839" s="85" t="n"/>
      <c r="B839" s="87" t="n"/>
      <c r="C839" s="87" t="n"/>
      <c r="D839" s="86" t="n"/>
      <c r="E839" s="87" t="n"/>
      <c r="F839" s="91" t="n"/>
      <c r="G839" s="86" t="n"/>
      <c r="H839" s="86" t="n"/>
      <c r="I839" s="100">
        <f>IF($B839="","",IFERROR(INDEX(Setup!$B$99:$B$128,MATCH($B839,Setup!$A$99:$A$128,0)),"CHECK TYPE"))</f>
        <v/>
      </c>
      <c r="J839">
        <f>IF($A839="","",DATE(YEAR($A839),MONTH($A839),1))</f>
        <v/>
      </c>
    </row>
    <row r="840">
      <c r="A840" s="93" t="n"/>
      <c r="B840" s="95" t="n"/>
      <c r="C840" s="95" t="n"/>
      <c r="D840" s="94" t="n"/>
      <c r="E840" s="95" t="n"/>
      <c r="F840" s="98" t="n"/>
      <c r="G840" s="94" t="n"/>
      <c r="H840" s="94" t="n"/>
      <c r="I840" s="100">
        <f>IF($B840="","",IFERROR(INDEX(Setup!$B$99:$B$128,MATCH($B840,Setup!$A$99:$A$128,0)),"CHECK TYPE"))</f>
        <v/>
      </c>
      <c r="J840">
        <f>IF($A840="","",DATE(YEAR($A840),MONTH($A840),1))</f>
        <v/>
      </c>
    </row>
    <row r="841">
      <c r="A841" s="85" t="n"/>
      <c r="B841" s="87" t="n"/>
      <c r="C841" s="87" t="n"/>
      <c r="D841" s="86" t="n"/>
      <c r="E841" s="87" t="n"/>
      <c r="F841" s="91" t="n"/>
      <c r="G841" s="86" t="n"/>
      <c r="H841" s="86" t="n"/>
      <c r="I841" s="100">
        <f>IF($B841="","",IFERROR(INDEX(Setup!$B$99:$B$128,MATCH($B841,Setup!$A$99:$A$128,0)),"CHECK TYPE"))</f>
        <v/>
      </c>
      <c r="J841">
        <f>IF($A841="","",DATE(YEAR($A841),MONTH($A841),1))</f>
        <v/>
      </c>
    </row>
    <row r="842">
      <c r="A842" s="93" t="n"/>
      <c r="B842" s="95" t="n"/>
      <c r="C842" s="95" t="n"/>
      <c r="D842" s="94" t="n"/>
      <c r="E842" s="95" t="n"/>
      <c r="F842" s="98" t="n"/>
      <c r="G842" s="94" t="n"/>
      <c r="H842" s="94" t="n"/>
      <c r="I842" s="100">
        <f>IF($B842="","",IFERROR(INDEX(Setup!$B$99:$B$128,MATCH($B842,Setup!$A$99:$A$128,0)),"CHECK TYPE"))</f>
        <v/>
      </c>
      <c r="J842">
        <f>IF($A842="","",DATE(YEAR($A842),MONTH($A842),1))</f>
        <v/>
      </c>
    </row>
    <row r="843">
      <c r="A843" s="85" t="n"/>
      <c r="B843" s="87" t="n"/>
      <c r="C843" s="87" t="n"/>
      <c r="D843" s="86" t="n"/>
      <c r="E843" s="87" t="n"/>
      <c r="F843" s="91" t="n"/>
      <c r="G843" s="86" t="n"/>
      <c r="H843" s="86" t="n"/>
      <c r="I843" s="100">
        <f>IF($B843="","",IFERROR(INDEX(Setup!$B$99:$B$128,MATCH($B843,Setup!$A$99:$A$128,0)),"CHECK TYPE"))</f>
        <v/>
      </c>
      <c r="J843">
        <f>IF($A843="","",DATE(YEAR($A843),MONTH($A843),1))</f>
        <v/>
      </c>
    </row>
    <row r="844">
      <c r="A844" s="93" t="n"/>
      <c r="B844" s="95" t="n"/>
      <c r="C844" s="95" t="n"/>
      <c r="D844" s="94" t="n"/>
      <c r="E844" s="95" t="n"/>
      <c r="F844" s="98" t="n"/>
      <c r="G844" s="94" t="n"/>
      <c r="H844" s="94" t="n"/>
      <c r="I844" s="100">
        <f>IF($B844="","",IFERROR(INDEX(Setup!$B$99:$B$128,MATCH($B844,Setup!$A$99:$A$128,0)),"CHECK TYPE"))</f>
        <v/>
      </c>
      <c r="J844">
        <f>IF($A844="","",DATE(YEAR($A844),MONTH($A844),1))</f>
        <v/>
      </c>
    </row>
    <row r="845">
      <c r="A845" s="85" t="n"/>
      <c r="B845" s="87" t="n"/>
      <c r="C845" s="87" t="n"/>
      <c r="D845" s="86" t="n"/>
      <c r="E845" s="87" t="n"/>
      <c r="F845" s="91" t="n"/>
      <c r="G845" s="86" t="n"/>
      <c r="H845" s="86" t="n"/>
      <c r="I845" s="100">
        <f>IF($B845="","",IFERROR(INDEX(Setup!$B$99:$B$128,MATCH($B845,Setup!$A$99:$A$128,0)),"CHECK TYPE"))</f>
        <v/>
      </c>
      <c r="J845">
        <f>IF($A845="","",DATE(YEAR($A845),MONTH($A845),1))</f>
        <v/>
      </c>
    </row>
    <row r="846">
      <c r="A846" s="93" t="n"/>
      <c r="B846" s="95" t="n"/>
      <c r="C846" s="95" t="n"/>
      <c r="D846" s="94" t="n"/>
      <c r="E846" s="95" t="n"/>
      <c r="F846" s="98" t="n"/>
      <c r="G846" s="94" t="n"/>
      <c r="H846" s="94" t="n"/>
      <c r="I846" s="100">
        <f>IF($B846="","",IFERROR(INDEX(Setup!$B$99:$B$128,MATCH($B846,Setup!$A$99:$A$128,0)),"CHECK TYPE"))</f>
        <v/>
      </c>
      <c r="J846">
        <f>IF($A846="","",DATE(YEAR($A846),MONTH($A846),1))</f>
        <v/>
      </c>
    </row>
    <row r="847">
      <c r="A847" s="85" t="n"/>
      <c r="B847" s="87" t="n"/>
      <c r="C847" s="87" t="n"/>
      <c r="D847" s="86" t="n"/>
      <c r="E847" s="87" t="n"/>
      <c r="F847" s="91" t="n"/>
      <c r="G847" s="86" t="n"/>
      <c r="H847" s="86" t="n"/>
      <c r="I847" s="100">
        <f>IF($B847="","",IFERROR(INDEX(Setup!$B$99:$B$128,MATCH($B847,Setup!$A$99:$A$128,0)),"CHECK TYPE"))</f>
        <v/>
      </c>
      <c r="J847">
        <f>IF($A847="","",DATE(YEAR($A847),MONTH($A847),1))</f>
        <v/>
      </c>
    </row>
    <row r="848">
      <c r="A848" s="93" t="n"/>
      <c r="B848" s="95" t="n"/>
      <c r="C848" s="95" t="n"/>
      <c r="D848" s="94" t="n"/>
      <c r="E848" s="95" t="n"/>
      <c r="F848" s="98" t="n"/>
      <c r="G848" s="94" t="n"/>
      <c r="H848" s="94" t="n"/>
      <c r="I848" s="100">
        <f>IF($B848="","",IFERROR(INDEX(Setup!$B$99:$B$128,MATCH($B848,Setup!$A$99:$A$128,0)),"CHECK TYPE"))</f>
        <v/>
      </c>
      <c r="J848">
        <f>IF($A848="","",DATE(YEAR($A848),MONTH($A848),1))</f>
        <v/>
      </c>
    </row>
    <row r="849">
      <c r="A849" s="85" t="n"/>
      <c r="B849" s="87" t="n"/>
      <c r="C849" s="87" t="n"/>
      <c r="D849" s="86" t="n"/>
      <c r="E849" s="87" t="n"/>
      <c r="F849" s="91" t="n"/>
      <c r="G849" s="86" t="n"/>
      <c r="H849" s="86" t="n"/>
      <c r="I849" s="100">
        <f>IF($B849="","",IFERROR(INDEX(Setup!$B$99:$B$128,MATCH($B849,Setup!$A$99:$A$128,0)),"CHECK TYPE"))</f>
        <v/>
      </c>
      <c r="J849">
        <f>IF($A849="","",DATE(YEAR($A849),MONTH($A849),1))</f>
        <v/>
      </c>
    </row>
    <row r="850">
      <c r="A850" s="93" t="n"/>
      <c r="B850" s="95" t="n"/>
      <c r="C850" s="95" t="n"/>
      <c r="D850" s="94" t="n"/>
      <c r="E850" s="95" t="n"/>
      <c r="F850" s="98" t="n"/>
      <c r="G850" s="94" t="n"/>
      <c r="H850" s="94" t="n"/>
      <c r="I850" s="100">
        <f>IF($B850="","",IFERROR(INDEX(Setup!$B$99:$B$128,MATCH($B850,Setup!$A$99:$A$128,0)),"CHECK TYPE"))</f>
        <v/>
      </c>
      <c r="J850">
        <f>IF($A850="","",DATE(YEAR($A850),MONTH($A850),1))</f>
        <v/>
      </c>
    </row>
    <row r="851">
      <c r="A851" s="85" t="n"/>
      <c r="B851" s="87" t="n"/>
      <c r="C851" s="87" t="n"/>
      <c r="D851" s="86" t="n"/>
      <c r="E851" s="87" t="n"/>
      <c r="F851" s="91" t="n"/>
      <c r="G851" s="86" t="n"/>
      <c r="H851" s="86" t="n"/>
      <c r="I851" s="100">
        <f>IF($B851="","",IFERROR(INDEX(Setup!$B$99:$B$128,MATCH($B851,Setup!$A$99:$A$128,0)),"CHECK TYPE"))</f>
        <v/>
      </c>
      <c r="J851">
        <f>IF($A851="","",DATE(YEAR($A851),MONTH($A851),1))</f>
        <v/>
      </c>
    </row>
    <row r="852">
      <c r="A852" s="93" t="n"/>
      <c r="B852" s="95" t="n"/>
      <c r="C852" s="95" t="n"/>
      <c r="D852" s="94" t="n"/>
      <c r="E852" s="95" t="n"/>
      <c r="F852" s="98" t="n"/>
      <c r="G852" s="94" t="n"/>
      <c r="H852" s="94" t="n"/>
      <c r="I852" s="100">
        <f>IF($B852="","",IFERROR(INDEX(Setup!$B$99:$B$128,MATCH($B852,Setup!$A$99:$A$128,0)),"CHECK TYPE"))</f>
        <v/>
      </c>
      <c r="J852">
        <f>IF($A852="","",DATE(YEAR($A852),MONTH($A852),1))</f>
        <v/>
      </c>
    </row>
    <row r="853">
      <c r="A853" s="85" t="n"/>
      <c r="B853" s="87" t="n"/>
      <c r="C853" s="87" t="n"/>
      <c r="D853" s="86" t="n"/>
      <c r="E853" s="87" t="n"/>
      <c r="F853" s="91" t="n"/>
      <c r="G853" s="86" t="n"/>
      <c r="H853" s="86" t="n"/>
      <c r="I853" s="100">
        <f>IF($B853="","",IFERROR(INDEX(Setup!$B$99:$B$128,MATCH($B853,Setup!$A$99:$A$128,0)),"CHECK TYPE"))</f>
        <v/>
      </c>
      <c r="J853">
        <f>IF($A853="","",DATE(YEAR($A853),MONTH($A853),1))</f>
        <v/>
      </c>
    </row>
    <row r="854">
      <c r="A854" s="93" t="n"/>
      <c r="B854" s="95" t="n"/>
      <c r="C854" s="95" t="n"/>
      <c r="D854" s="94" t="n"/>
      <c r="E854" s="95" t="n"/>
      <c r="F854" s="98" t="n"/>
      <c r="G854" s="94" t="n"/>
      <c r="H854" s="94" t="n"/>
      <c r="I854" s="100">
        <f>IF($B854="","",IFERROR(INDEX(Setup!$B$99:$B$128,MATCH($B854,Setup!$A$99:$A$128,0)),"CHECK TYPE"))</f>
        <v/>
      </c>
      <c r="J854">
        <f>IF($A854="","",DATE(YEAR($A854),MONTH($A854),1))</f>
        <v/>
      </c>
    </row>
    <row r="855">
      <c r="A855" s="85" t="n"/>
      <c r="B855" s="87" t="n"/>
      <c r="C855" s="87" t="n"/>
      <c r="D855" s="86" t="n"/>
      <c r="E855" s="87" t="n"/>
      <c r="F855" s="91" t="n"/>
      <c r="G855" s="86" t="n"/>
      <c r="H855" s="86" t="n"/>
      <c r="I855" s="100">
        <f>IF($B855="","",IFERROR(INDEX(Setup!$B$99:$B$128,MATCH($B855,Setup!$A$99:$A$128,0)),"CHECK TYPE"))</f>
        <v/>
      </c>
      <c r="J855">
        <f>IF($A855="","",DATE(YEAR($A855),MONTH($A855),1))</f>
        <v/>
      </c>
    </row>
    <row r="856">
      <c r="A856" s="93" t="n"/>
      <c r="B856" s="95" t="n"/>
      <c r="C856" s="95" t="n"/>
      <c r="D856" s="94" t="n"/>
      <c r="E856" s="95" t="n"/>
      <c r="F856" s="98" t="n"/>
      <c r="G856" s="94" t="n"/>
      <c r="H856" s="94" t="n"/>
      <c r="I856" s="100">
        <f>IF($B856="","",IFERROR(INDEX(Setup!$B$99:$B$128,MATCH($B856,Setup!$A$99:$A$128,0)),"CHECK TYPE"))</f>
        <v/>
      </c>
      <c r="J856">
        <f>IF($A856="","",DATE(YEAR($A856),MONTH($A856),1))</f>
        <v/>
      </c>
    </row>
    <row r="857">
      <c r="A857" s="85" t="n"/>
      <c r="B857" s="87" t="n"/>
      <c r="C857" s="87" t="n"/>
      <c r="D857" s="86" t="n"/>
      <c r="E857" s="87" t="n"/>
      <c r="F857" s="91" t="n"/>
      <c r="G857" s="86" t="n"/>
      <c r="H857" s="86" t="n"/>
      <c r="I857" s="100">
        <f>IF($B857="","",IFERROR(INDEX(Setup!$B$99:$B$128,MATCH($B857,Setup!$A$99:$A$128,0)),"CHECK TYPE"))</f>
        <v/>
      </c>
      <c r="J857">
        <f>IF($A857="","",DATE(YEAR($A857),MONTH($A857),1))</f>
        <v/>
      </c>
    </row>
    <row r="858">
      <c r="A858" s="93" t="n"/>
      <c r="B858" s="95" t="n"/>
      <c r="C858" s="95" t="n"/>
      <c r="D858" s="94" t="n"/>
      <c r="E858" s="95" t="n"/>
      <c r="F858" s="98" t="n"/>
      <c r="G858" s="94" t="n"/>
      <c r="H858" s="94" t="n"/>
      <c r="I858" s="100">
        <f>IF($B858="","",IFERROR(INDEX(Setup!$B$99:$B$128,MATCH($B858,Setup!$A$99:$A$128,0)),"CHECK TYPE"))</f>
        <v/>
      </c>
      <c r="J858">
        <f>IF($A858="","",DATE(YEAR($A858),MONTH($A858),1))</f>
        <v/>
      </c>
    </row>
    <row r="859">
      <c r="A859" s="85" t="n"/>
      <c r="B859" s="87" t="n"/>
      <c r="C859" s="87" t="n"/>
      <c r="D859" s="86" t="n"/>
      <c r="E859" s="87" t="n"/>
      <c r="F859" s="91" t="n"/>
      <c r="G859" s="86" t="n"/>
      <c r="H859" s="86" t="n"/>
      <c r="I859" s="100">
        <f>IF($B859="","",IFERROR(INDEX(Setup!$B$99:$B$128,MATCH($B859,Setup!$A$99:$A$128,0)),"CHECK TYPE"))</f>
        <v/>
      </c>
      <c r="J859">
        <f>IF($A859="","",DATE(YEAR($A859),MONTH($A859),1))</f>
        <v/>
      </c>
    </row>
    <row r="860">
      <c r="A860" s="93" t="n"/>
      <c r="B860" s="95" t="n"/>
      <c r="C860" s="95" t="n"/>
      <c r="D860" s="94" t="n"/>
      <c r="E860" s="95" t="n"/>
      <c r="F860" s="98" t="n"/>
      <c r="G860" s="94" t="n"/>
      <c r="H860" s="94" t="n"/>
      <c r="I860" s="100">
        <f>IF($B860="","",IFERROR(INDEX(Setup!$B$99:$B$128,MATCH($B860,Setup!$A$99:$A$128,0)),"CHECK TYPE"))</f>
        <v/>
      </c>
      <c r="J860">
        <f>IF($A860="","",DATE(YEAR($A860),MONTH($A860),1))</f>
        <v/>
      </c>
    </row>
    <row r="861">
      <c r="A861" s="85" t="n"/>
      <c r="B861" s="87" t="n"/>
      <c r="C861" s="87" t="n"/>
      <c r="D861" s="86" t="n"/>
      <c r="E861" s="87" t="n"/>
      <c r="F861" s="91" t="n"/>
      <c r="G861" s="86" t="n"/>
      <c r="H861" s="86" t="n"/>
      <c r="I861" s="100">
        <f>IF($B861="","",IFERROR(INDEX(Setup!$B$99:$B$128,MATCH($B861,Setup!$A$99:$A$128,0)),"CHECK TYPE"))</f>
        <v/>
      </c>
      <c r="J861">
        <f>IF($A861="","",DATE(YEAR($A861),MONTH($A861),1))</f>
        <v/>
      </c>
    </row>
    <row r="862">
      <c r="A862" s="93" t="n"/>
      <c r="B862" s="95" t="n"/>
      <c r="C862" s="95" t="n"/>
      <c r="D862" s="94" t="n"/>
      <c r="E862" s="95" t="n"/>
      <c r="F862" s="98" t="n"/>
      <c r="G862" s="94" t="n"/>
      <c r="H862" s="94" t="n"/>
      <c r="I862" s="100">
        <f>IF($B862="","",IFERROR(INDEX(Setup!$B$99:$B$128,MATCH($B862,Setup!$A$99:$A$128,0)),"CHECK TYPE"))</f>
        <v/>
      </c>
      <c r="J862">
        <f>IF($A862="","",DATE(YEAR($A862),MONTH($A862),1))</f>
        <v/>
      </c>
    </row>
    <row r="863">
      <c r="A863" s="85" t="n"/>
      <c r="B863" s="87" t="n"/>
      <c r="C863" s="87" t="n"/>
      <c r="D863" s="86" t="n"/>
      <c r="E863" s="87" t="n"/>
      <c r="F863" s="91" t="n"/>
      <c r="G863" s="86" t="n"/>
      <c r="H863" s="86" t="n"/>
      <c r="I863" s="100">
        <f>IF($B863="","",IFERROR(INDEX(Setup!$B$99:$B$128,MATCH($B863,Setup!$A$99:$A$128,0)),"CHECK TYPE"))</f>
        <v/>
      </c>
      <c r="J863">
        <f>IF($A863="","",DATE(YEAR($A863),MONTH($A863),1))</f>
        <v/>
      </c>
    </row>
    <row r="864">
      <c r="A864" s="93" t="n"/>
      <c r="B864" s="95" t="n"/>
      <c r="C864" s="95" t="n"/>
      <c r="D864" s="94" t="n"/>
      <c r="E864" s="95" t="n"/>
      <c r="F864" s="98" t="n"/>
      <c r="G864" s="94" t="n"/>
      <c r="H864" s="94" t="n"/>
      <c r="I864" s="100">
        <f>IF($B864="","",IFERROR(INDEX(Setup!$B$99:$B$128,MATCH($B864,Setup!$A$99:$A$128,0)),"CHECK TYPE"))</f>
        <v/>
      </c>
      <c r="J864">
        <f>IF($A864="","",DATE(YEAR($A864),MONTH($A864),1))</f>
        <v/>
      </c>
    </row>
    <row r="865">
      <c r="A865" s="85" t="n"/>
      <c r="B865" s="87" t="n"/>
      <c r="C865" s="87" t="n"/>
      <c r="D865" s="86" t="n"/>
      <c r="E865" s="87" t="n"/>
      <c r="F865" s="91" t="n"/>
      <c r="G865" s="86" t="n"/>
      <c r="H865" s="86" t="n"/>
      <c r="I865" s="100">
        <f>IF($B865="","",IFERROR(INDEX(Setup!$B$99:$B$128,MATCH($B865,Setup!$A$99:$A$128,0)),"CHECK TYPE"))</f>
        <v/>
      </c>
      <c r="J865">
        <f>IF($A865="","",DATE(YEAR($A865),MONTH($A865),1))</f>
        <v/>
      </c>
    </row>
    <row r="866">
      <c r="A866" s="93" t="n"/>
      <c r="B866" s="95" t="n"/>
      <c r="C866" s="95" t="n"/>
      <c r="D866" s="94" t="n"/>
      <c r="E866" s="95" t="n"/>
      <c r="F866" s="98" t="n"/>
      <c r="G866" s="94" t="n"/>
      <c r="H866" s="94" t="n"/>
      <c r="I866" s="100">
        <f>IF($B866="","",IFERROR(INDEX(Setup!$B$99:$B$128,MATCH($B866,Setup!$A$99:$A$128,0)),"CHECK TYPE"))</f>
        <v/>
      </c>
      <c r="J866">
        <f>IF($A866="","",DATE(YEAR($A866),MONTH($A866),1))</f>
        <v/>
      </c>
    </row>
    <row r="867">
      <c r="A867" s="85" t="n"/>
      <c r="B867" s="87" t="n"/>
      <c r="C867" s="87" t="n"/>
      <c r="D867" s="86" t="n"/>
      <c r="E867" s="87" t="n"/>
      <c r="F867" s="91" t="n"/>
      <c r="G867" s="86" t="n"/>
      <c r="H867" s="86" t="n"/>
      <c r="I867" s="100">
        <f>IF($B867="","",IFERROR(INDEX(Setup!$B$99:$B$128,MATCH($B867,Setup!$A$99:$A$128,0)),"CHECK TYPE"))</f>
        <v/>
      </c>
      <c r="J867">
        <f>IF($A867="","",DATE(YEAR($A867),MONTH($A867),1))</f>
        <v/>
      </c>
    </row>
    <row r="868">
      <c r="A868" s="93" t="n"/>
      <c r="B868" s="95" t="n"/>
      <c r="C868" s="95" t="n"/>
      <c r="D868" s="94" t="n"/>
      <c r="E868" s="95" t="n"/>
      <c r="F868" s="98" t="n"/>
      <c r="G868" s="94" t="n"/>
      <c r="H868" s="94" t="n"/>
      <c r="I868" s="100">
        <f>IF($B868="","",IFERROR(INDEX(Setup!$B$99:$B$128,MATCH($B868,Setup!$A$99:$A$128,0)),"CHECK TYPE"))</f>
        <v/>
      </c>
      <c r="J868">
        <f>IF($A868="","",DATE(YEAR($A868),MONTH($A868),1))</f>
        <v/>
      </c>
    </row>
    <row r="869">
      <c r="A869" s="85" t="n"/>
      <c r="B869" s="87" t="n"/>
      <c r="C869" s="87" t="n"/>
      <c r="D869" s="86" t="n"/>
      <c r="E869" s="87" t="n"/>
      <c r="F869" s="91" t="n"/>
      <c r="G869" s="86" t="n"/>
      <c r="H869" s="86" t="n"/>
      <c r="I869" s="100">
        <f>IF($B869="","",IFERROR(INDEX(Setup!$B$99:$B$128,MATCH($B869,Setup!$A$99:$A$128,0)),"CHECK TYPE"))</f>
        <v/>
      </c>
      <c r="J869">
        <f>IF($A869="","",DATE(YEAR($A869),MONTH($A869),1))</f>
        <v/>
      </c>
    </row>
    <row r="870">
      <c r="A870" s="93" t="n"/>
      <c r="B870" s="95" t="n"/>
      <c r="C870" s="95" t="n"/>
      <c r="D870" s="94" t="n"/>
      <c r="E870" s="95" t="n"/>
      <c r="F870" s="98" t="n"/>
      <c r="G870" s="94" t="n"/>
      <c r="H870" s="94" t="n"/>
      <c r="I870" s="100">
        <f>IF($B870="","",IFERROR(INDEX(Setup!$B$99:$B$128,MATCH($B870,Setup!$A$99:$A$128,0)),"CHECK TYPE"))</f>
        <v/>
      </c>
      <c r="J870">
        <f>IF($A870="","",DATE(YEAR($A870),MONTH($A870),1))</f>
        <v/>
      </c>
    </row>
    <row r="871">
      <c r="A871" s="85" t="n"/>
      <c r="B871" s="87" t="n"/>
      <c r="C871" s="87" t="n"/>
      <c r="D871" s="86" t="n"/>
      <c r="E871" s="87" t="n"/>
      <c r="F871" s="91" t="n"/>
      <c r="G871" s="86" t="n"/>
      <c r="H871" s="86" t="n"/>
      <c r="I871" s="100">
        <f>IF($B871="","",IFERROR(INDEX(Setup!$B$99:$B$128,MATCH($B871,Setup!$A$99:$A$128,0)),"CHECK TYPE"))</f>
        <v/>
      </c>
      <c r="J871">
        <f>IF($A871="","",DATE(YEAR($A871),MONTH($A871),1))</f>
        <v/>
      </c>
    </row>
    <row r="872">
      <c r="A872" s="93" t="n"/>
      <c r="B872" s="95" t="n"/>
      <c r="C872" s="95" t="n"/>
      <c r="D872" s="94" t="n"/>
      <c r="E872" s="95" t="n"/>
      <c r="F872" s="98" t="n"/>
      <c r="G872" s="94" t="n"/>
      <c r="H872" s="94" t="n"/>
      <c r="I872" s="100">
        <f>IF($B872="","",IFERROR(INDEX(Setup!$B$99:$B$128,MATCH($B872,Setup!$A$99:$A$128,0)),"CHECK TYPE"))</f>
        <v/>
      </c>
      <c r="J872">
        <f>IF($A872="","",DATE(YEAR($A872),MONTH($A872),1))</f>
        <v/>
      </c>
    </row>
    <row r="873">
      <c r="A873" s="85" t="n"/>
      <c r="B873" s="87" t="n"/>
      <c r="C873" s="87" t="n"/>
      <c r="D873" s="86" t="n"/>
      <c r="E873" s="87" t="n"/>
      <c r="F873" s="91" t="n"/>
      <c r="G873" s="86" t="n"/>
      <c r="H873" s="86" t="n"/>
      <c r="I873" s="100">
        <f>IF($B873="","",IFERROR(INDEX(Setup!$B$99:$B$128,MATCH($B873,Setup!$A$99:$A$128,0)),"CHECK TYPE"))</f>
        <v/>
      </c>
      <c r="J873">
        <f>IF($A873="","",DATE(YEAR($A873),MONTH($A873),1))</f>
        <v/>
      </c>
    </row>
    <row r="874">
      <c r="A874" s="93" t="n"/>
      <c r="B874" s="95" t="n"/>
      <c r="C874" s="95" t="n"/>
      <c r="D874" s="94" t="n"/>
      <c r="E874" s="95" t="n"/>
      <c r="F874" s="98" t="n"/>
      <c r="G874" s="94" t="n"/>
      <c r="H874" s="94" t="n"/>
      <c r="I874" s="100">
        <f>IF($B874="","",IFERROR(INDEX(Setup!$B$99:$B$128,MATCH($B874,Setup!$A$99:$A$128,0)),"CHECK TYPE"))</f>
        <v/>
      </c>
      <c r="J874">
        <f>IF($A874="","",DATE(YEAR($A874),MONTH($A874),1))</f>
        <v/>
      </c>
    </row>
    <row r="875">
      <c r="A875" s="85" t="n"/>
      <c r="B875" s="87" t="n"/>
      <c r="C875" s="87" t="n"/>
      <c r="D875" s="86" t="n"/>
      <c r="E875" s="87" t="n"/>
      <c r="F875" s="91" t="n"/>
      <c r="G875" s="86" t="n"/>
      <c r="H875" s="86" t="n"/>
      <c r="I875" s="100">
        <f>IF($B875="","",IFERROR(INDEX(Setup!$B$99:$B$128,MATCH($B875,Setup!$A$99:$A$128,0)),"CHECK TYPE"))</f>
        <v/>
      </c>
      <c r="J875">
        <f>IF($A875="","",DATE(YEAR($A875),MONTH($A875),1))</f>
        <v/>
      </c>
    </row>
    <row r="876">
      <c r="A876" s="93" t="n"/>
      <c r="B876" s="95" t="n"/>
      <c r="C876" s="95" t="n"/>
      <c r="D876" s="94" t="n"/>
      <c r="E876" s="95" t="n"/>
      <c r="F876" s="98" t="n"/>
      <c r="G876" s="94" t="n"/>
      <c r="H876" s="94" t="n"/>
      <c r="I876" s="100">
        <f>IF($B876="","",IFERROR(INDEX(Setup!$B$99:$B$128,MATCH($B876,Setup!$A$99:$A$128,0)),"CHECK TYPE"))</f>
        <v/>
      </c>
      <c r="J876">
        <f>IF($A876="","",DATE(YEAR($A876),MONTH($A876),1))</f>
        <v/>
      </c>
    </row>
    <row r="877">
      <c r="A877" s="85" t="n"/>
      <c r="B877" s="87" t="n"/>
      <c r="C877" s="87" t="n"/>
      <c r="D877" s="86" t="n"/>
      <c r="E877" s="87" t="n"/>
      <c r="F877" s="91" t="n"/>
      <c r="G877" s="86" t="n"/>
      <c r="H877" s="86" t="n"/>
      <c r="I877" s="100">
        <f>IF($B877="","",IFERROR(INDEX(Setup!$B$99:$B$128,MATCH($B877,Setup!$A$99:$A$128,0)),"CHECK TYPE"))</f>
        <v/>
      </c>
      <c r="J877">
        <f>IF($A877="","",DATE(YEAR($A877),MONTH($A877),1))</f>
        <v/>
      </c>
    </row>
    <row r="878">
      <c r="A878" s="93" t="n"/>
      <c r="B878" s="95" t="n"/>
      <c r="C878" s="95" t="n"/>
      <c r="D878" s="94" t="n"/>
      <c r="E878" s="95" t="n"/>
      <c r="F878" s="98" t="n"/>
      <c r="G878" s="94" t="n"/>
      <c r="H878" s="94" t="n"/>
      <c r="I878" s="100">
        <f>IF($B878="","",IFERROR(INDEX(Setup!$B$99:$B$128,MATCH($B878,Setup!$A$99:$A$128,0)),"CHECK TYPE"))</f>
        <v/>
      </c>
      <c r="J878">
        <f>IF($A878="","",DATE(YEAR($A878),MONTH($A878),1))</f>
        <v/>
      </c>
    </row>
    <row r="879">
      <c r="A879" s="85" t="n"/>
      <c r="B879" s="87" t="n"/>
      <c r="C879" s="87" t="n"/>
      <c r="D879" s="86" t="n"/>
      <c r="E879" s="87" t="n"/>
      <c r="F879" s="91" t="n"/>
      <c r="G879" s="86" t="n"/>
      <c r="H879" s="86" t="n"/>
      <c r="I879" s="100">
        <f>IF($B879="","",IFERROR(INDEX(Setup!$B$99:$B$128,MATCH($B879,Setup!$A$99:$A$128,0)),"CHECK TYPE"))</f>
        <v/>
      </c>
      <c r="J879">
        <f>IF($A879="","",DATE(YEAR($A879),MONTH($A879),1))</f>
        <v/>
      </c>
    </row>
    <row r="880">
      <c r="A880" s="93" t="n"/>
      <c r="B880" s="95" t="n"/>
      <c r="C880" s="95" t="n"/>
      <c r="D880" s="94" t="n"/>
      <c r="E880" s="95" t="n"/>
      <c r="F880" s="98" t="n"/>
      <c r="G880" s="94" t="n"/>
      <c r="H880" s="94" t="n"/>
      <c r="I880" s="100">
        <f>IF($B880="","",IFERROR(INDEX(Setup!$B$99:$B$128,MATCH($B880,Setup!$A$99:$A$128,0)),"CHECK TYPE"))</f>
        <v/>
      </c>
      <c r="J880">
        <f>IF($A880="","",DATE(YEAR($A880),MONTH($A880),1))</f>
        <v/>
      </c>
    </row>
    <row r="881">
      <c r="A881" s="85" t="n"/>
      <c r="B881" s="87" t="n"/>
      <c r="C881" s="87" t="n"/>
      <c r="D881" s="86" t="n"/>
      <c r="E881" s="87" t="n"/>
      <c r="F881" s="91" t="n"/>
      <c r="G881" s="86" t="n"/>
      <c r="H881" s="86" t="n"/>
      <c r="I881" s="100">
        <f>IF($B881="","",IFERROR(INDEX(Setup!$B$99:$B$128,MATCH($B881,Setup!$A$99:$A$128,0)),"CHECK TYPE"))</f>
        <v/>
      </c>
      <c r="J881">
        <f>IF($A881="","",DATE(YEAR($A881),MONTH($A881),1))</f>
        <v/>
      </c>
    </row>
    <row r="882">
      <c r="A882" s="93" t="n"/>
      <c r="B882" s="95" t="n"/>
      <c r="C882" s="95" t="n"/>
      <c r="D882" s="94" t="n"/>
      <c r="E882" s="95" t="n"/>
      <c r="F882" s="98" t="n"/>
      <c r="G882" s="94" t="n"/>
      <c r="H882" s="94" t="n"/>
      <c r="I882" s="100">
        <f>IF($B882="","",IFERROR(INDEX(Setup!$B$99:$B$128,MATCH($B882,Setup!$A$99:$A$128,0)),"CHECK TYPE"))</f>
        <v/>
      </c>
      <c r="J882">
        <f>IF($A882="","",DATE(YEAR($A882),MONTH($A882),1))</f>
        <v/>
      </c>
    </row>
    <row r="883">
      <c r="A883" s="85" t="n"/>
      <c r="B883" s="87" t="n"/>
      <c r="C883" s="87" t="n"/>
      <c r="D883" s="86" t="n"/>
      <c r="E883" s="87" t="n"/>
      <c r="F883" s="91" t="n"/>
      <c r="G883" s="86" t="n"/>
      <c r="H883" s="86" t="n"/>
      <c r="I883" s="100">
        <f>IF($B883="","",IFERROR(INDEX(Setup!$B$99:$B$128,MATCH($B883,Setup!$A$99:$A$128,0)),"CHECK TYPE"))</f>
        <v/>
      </c>
      <c r="J883">
        <f>IF($A883="","",DATE(YEAR($A883),MONTH($A883),1))</f>
        <v/>
      </c>
    </row>
    <row r="884">
      <c r="A884" s="93" t="n"/>
      <c r="B884" s="95" t="n"/>
      <c r="C884" s="95" t="n"/>
      <c r="D884" s="94" t="n"/>
      <c r="E884" s="95" t="n"/>
      <c r="F884" s="98" t="n"/>
      <c r="G884" s="94" t="n"/>
      <c r="H884" s="94" t="n"/>
      <c r="I884" s="100">
        <f>IF($B884="","",IFERROR(INDEX(Setup!$B$99:$B$128,MATCH($B884,Setup!$A$99:$A$128,0)),"CHECK TYPE"))</f>
        <v/>
      </c>
      <c r="J884">
        <f>IF($A884="","",DATE(YEAR($A884),MONTH($A884),1))</f>
        <v/>
      </c>
    </row>
    <row r="885">
      <c r="A885" s="85" t="n"/>
      <c r="B885" s="87" t="n"/>
      <c r="C885" s="87" t="n"/>
      <c r="D885" s="86" t="n"/>
      <c r="E885" s="87" t="n"/>
      <c r="F885" s="91" t="n"/>
      <c r="G885" s="86" t="n"/>
      <c r="H885" s="86" t="n"/>
      <c r="I885" s="100">
        <f>IF($B885="","",IFERROR(INDEX(Setup!$B$99:$B$128,MATCH($B885,Setup!$A$99:$A$128,0)),"CHECK TYPE"))</f>
        <v/>
      </c>
      <c r="J885">
        <f>IF($A885="","",DATE(YEAR($A885),MONTH($A885),1))</f>
        <v/>
      </c>
    </row>
    <row r="886">
      <c r="A886" s="93" t="n"/>
      <c r="B886" s="95" t="n"/>
      <c r="C886" s="95" t="n"/>
      <c r="D886" s="94" t="n"/>
      <c r="E886" s="95" t="n"/>
      <c r="F886" s="98" t="n"/>
      <c r="G886" s="94" t="n"/>
      <c r="H886" s="94" t="n"/>
      <c r="I886" s="100">
        <f>IF($B886="","",IFERROR(INDEX(Setup!$B$99:$B$128,MATCH($B886,Setup!$A$99:$A$128,0)),"CHECK TYPE"))</f>
        <v/>
      </c>
      <c r="J886">
        <f>IF($A886="","",DATE(YEAR($A886),MONTH($A886),1))</f>
        <v/>
      </c>
    </row>
    <row r="887">
      <c r="A887" s="85" t="n"/>
      <c r="B887" s="87" t="n"/>
      <c r="C887" s="87" t="n"/>
      <c r="D887" s="86" t="n"/>
      <c r="E887" s="87" t="n"/>
      <c r="F887" s="91" t="n"/>
      <c r="G887" s="86" t="n"/>
      <c r="H887" s="86" t="n"/>
      <c r="I887" s="100">
        <f>IF($B887="","",IFERROR(INDEX(Setup!$B$99:$B$128,MATCH($B887,Setup!$A$99:$A$128,0)),"CHECK TYPE"))</f>
        <v/>
      </c>
      <c r="J887">
        <f>IF($A887="","",DATE(YEAR($A887),MONTH($A887),1))</f>
        <v/>
      </c>
    </row>
    <row r="888">
      <c r="A888" s="93" t="n"/>
      <c r="B888" s="95" t="n"/>
      <c r="C888" s="95" t="n"/>
      <c r="D888" s="94" t="n"/>
      <c r="E888" s="95" t="n"/>
      <c r="F888" s="98" t="n"/>
      <c r="G888" s="94" t="n"/>
      <c r="H888" s="94" t="n"/>
      <c r="I888" s="100">
        <f>IF($B888="","",IFERROR(INDEX(Setup!$B$99:$B$128,MATCH($B888,Setup!$A$99:$A$128,0)),"CHECK TYPE"))</f>
        <v/>
      </c>
      <c r="J888">
        <f>IF($A888="","",DATE(YEAR($A888),MONTH($A888),1))</f>
        <v/>
      </c>
    </row>
    <row r="889">
      <c r="A889" s="85" t="n"/>
      <c r="B889" s="87" t="n"/>
      <c r="C889" s="87" t="n"/>
      <c r="D889" s="86" t="n"/>
      <c r="E889" s="87" t="n"/>
      <c r="F889" s="91" t="n"/>
      <c r="G889" s="86" t="n"/>
      <c r="H889" s="86" t="n"/>
      <c r="I889" s="100">
        <f>IF($B889="","",IFERROR(INDEX(Setup!$B$99:$B$128,MATCH($B889,Setup!$A$99:$A$128,0)),"CHECK TYPE"))</f>
        <v/>
      </c>
      <c r="J889">
        <f>IF($A889="","",DATE(YEAR($A889),MONTH($A889),1))</f>
        <v/>
      </c>
    </row>
    <row r="890">
      <c r="A890" s="93" t="n"/>
      <c r="B890" s="95" t="n"/>
      <c r="C890" s="95" t="n"/>
      <c r="D890" s="94" t="n"/>
      <c r="E890" s="95" t="n"/>
      <c r="F890" s="98" t="n"/>
      <c r="G890" s="94" t="n"/>
      <c r="H890" s="94" t="n"/>
      <c r="I890" s="100">
        <f>IF($B890="","",IFERROR(INDEX(Setup!$B$99:$B$128,MATCH($B890,Setup!$A$99:$A$128,0)),"CHECK TYPE"))</f>
        <v/>
      </c>
      <c r="J890">
        <f>IF($A890="","",DATE(YEAR($A890),MONTH($A890),1))</f>
        <v/>
      </c>
    </row>
    <row r="891">
      <c r="A891" s="85" t="n"/>
      <c r="B891" s="87" t="n"/>
      <c r="C891" s="87" t="n"/>
      <c r="D891" s="86" t="n"/>
      <c r="E891" s="87" t="n"/>
      <c r="F891" s="91" t="n"/>
      <c r="G891" s="86" t="n"/>
      <c r="H891" s="86" t="n"/>
      <c r="I891" s="100">
        <f>IF($B891="","",IFERROR(INDEX(Setup!$B$99:$B$128,MATCH($B891,Setup!$A$99:$A$128,0)),"CHECK TYPE"))</f>
        <v/>
      </c>
      <c r="J891">
        <f>IF($A891="","",DATE(YEAR($A891),MONTH($A891),1))</f>
        <v/>
      </c>
    </row>
    <row r="892">
      <c r="A892" s="93" t="n"/>
      <c r="B892" s="95" t="n"/>
      <c r="C892" s="95" t="n"/>
      <c r="D892" s="94" t="n"/>
      <c r="E892" s="95" t="n"/>
      <c r="F892" s="98" t="n"/>
      <c r="G892" s="94" t="n"/>
      <c r="H892" s="94" t="n"/>
      <c r="I892" s="100">
        <f>IF($B892="","",IFERROR(INDEX(Setup!$B$99:$B$128,MATCH($B892,Setup!$A$99:$A$128,0)),"CHECK TYPE"))</f>
        <v/>
      </c>
      <c r="J892">
        <f>IF($A892="","",DATE(YEAR($A892),MONTH($A892),1))</f>
        <v/>
      </c>
    </row>
    <row r="893">
      <c r="A893" s="85" t="n"/>
      <c r="B893" s="87" t="n"/>
      <c r="C893" s="87" t="n"/>
      <c r="D893" s="86" t="n"/>
      <c r="E893" s="87" t="n"/>
      <c r="F893" s="91" t="n"/>
      <c r="G893" s="86" t="n"/>
      <c r="H893" s="86" t="n"/>
      <c r="I893" s="100">
        <f>IF($B893="","",IFERROR(INDEX(Setup!$B$99:$B$128,MATCH($B893,Setup!$A$99:$A$128,0)),"CHECK TYPE"))</f>
        <v/>
      </c>
      <c r="J893">
        <f>IF($A893="","",DATE(YEAR($A893),MONTH($A893),1))</f>
        <v/>
      </c>
    </row>
    <row r="894">
      <c r="A894" s="93" t="n"/>
      <c r="B894" s="95" t="n"/>
      <c r="C894" s="95" t="n"/>
      <c r="D894" s="94" t="n"/>
      <c r="E894" s="95" t="n"/>
      <c r="F894" s="98" t="n"/>
      <c r="G894" s="94" t="n"/>
      <c r="H894" s="94" t="n"/>
      <c r="I894" s="100">
        <f>IF($B894="","",IFERROR(INDEX(Setup!$B$99:$B$128,MATCH($B894,Setup!$A$99:$A$128,0)),"CHECK TYPE"))</f>
        <v/>
      </c>
      <c r="J894">
        <f>IF($A894="","",DATE(YEAR($A894),MONTH($A894),1))</f>
        <v/>
      </c>
    </row>
    <row r="895">
      <c r="A895" s="85" t="n"/>
      <c r="B895" s="87" t="n"/>
      <c r="C895" s="87" t="n"/>
      <c r="D895" s="86" t="n"/>
      <c r="E895" s="87" t="n"/>
      <c r="F895" s="91" t="n"/>
      <c r="G895" s="86" t="n"/>
      <c r="H895" s="86" t="n"/>
      <c r="I895" s="100">
        <f>IF($B895="","",IFERROR(INDEX(Setup!$B$99:$B$128,MATCH($B895,Setup!$A$99:$A$128,0)),"CHECK TYPE"))</f>
        <v/>
      </c>
      <c r="J895">
        <f>IF($A895="","",DATE(YEAR($A895),MONTH($A895),1))</f>
        <v/>
      </c>
    </row>
    <row r="896">
      <c r="A896" s="93" t="n"/>
      <c r="B896" s="95" t="n"/>
      <c r="C896" s="95" t="n"/>
      <c r="D896" s="94" t="n"/>
      <c r="E896" s="95" t="n"/>
      <c r="F896" s="98" t="n"/>
      <c r="G896" s="94" t="n"/>
      <c r="H896" s="94" t="n"/>
      <c r="I896" s="100">
        <f>IF($B896="","",IFERROR(INDEX(Setup!$B$99:$B$128,MATCH($B896,Setup!$A$99:$A$128,0)),"CHECK TYPE"))</f>
        <v/>
      </c>
      <c r="J896">
        <f>IF($A896="","",DATE(YEAR($A896),MONTH($A896),1))</f>
        <v/>
      </c>
    </row>
    <row r="897">
      <c r="A897" s="85" t="n"/>
      <c r="B897" s="87" t="n"/>
      <c r="C897" s="87" t="n"/>
      <c r="D897" s="86" t="n"/>
      <c r="E897" s="87" t="n"/>
      <c r="F897" s="91" t="n"/>
      <c r="G897" s="86" t="n"/>
      <c r="H897" s="86" t="n"/>
      <c r="I897" s="100">
        <f>IF($B897="","",IFERROR(INDEX(Setup!$B$99:$B$128,MATCH($B897,Setup!$A$99:$A$128,0)),"CHECK TYPE"))</f>
        <v/>
      </c>
      <c r="J897">
        <f>IF($A897="","",DATE(YEAR($A897),MONTH($A897),1))</f>
        <v/>
      </c>
    </row>
    <row r="898">
      <c r="A898" s="93" t="n"/>
      <c r="B898" s="95" t="n"/>
      <c r="C898" s="95" t="n"/>
      <c r="D898" s="94" t="n"/>
      <c r="E898" s="95" t="n"/>
      <c r="F898" s="98" t="n"/>
      <c r="G898" s="94" t="n"/>
      <c r="H898" s="94" t="n"/>
      <c r="I898" s="100">
        <f>IF($B898="","",IFERROR(INDEX(Setup!$B$99:$B$128,MATCH($B898,Setup!$A$99:$A$128,0)),"CHECK TYPE"))</f>
        <v/>
      </c>
      <c r="J898">
        <f>IF($A898="","",DATE(YEAR($A898),MONTH($A898),1))</f>
        <v/>
      </c>
    </row>
    <row r="899">
      <c r="A899" s="85" t="n"/>
      <c r="B899" s="87" t="n"/>
      <c r="C899" s="87" t="n"/>
      <c r="D899" s="86" t="n"/>
      <c r="E899" s="87" t="n"/>
      <c r="F899" s="91" t="n"/>
      <c r="G899" s="86" t="n"/>
      <c r="H899" s="86" t="n"/>
      <c r="I899" s="100">
        <f>IF($B899="","",IFERROR(INDEX(Setup!$B$99:$B$128,MATCH($B899,Setup!$A$99:$A$128,0)),"CHECK TYPE"))</f>
        <v/>
      </c>
      <c r="J899">
        <f>IF($A899="","",DATE(YEAR($A899),MONTH($A899),1))</f>
        <v/>
      </c>
    </row>
    <row r="900">
      <c r="A900" s="93" t="n"/>
      <c r="B900" s="95" t="n"/>
      <c r="C900" s="95" t="n"/>
      <c r="D900" s="94" t="n"/>
      <c r="E900" s="95" t="n"/>
      <c r="F900" s="98" t="n"/>
      <c r="G900" s="94" t="n"/>
      <c r="H900" s="94" t="n"/>
      <c r="I900" s="100">
        <f>IF($B900="","",IFERROR(INDEX(Setup!$B$99:$B$128,MATCH($B900,Setup!$A$99:$A$128,0)),"CHECK TYPE"))</f>
        <v/>
      </c>
      <c r="J900">
        <f>IF($A900="","",DATE(YEAR($A900),MONTH($A900),1))</f>
        <v/>
      </c>
    </row>
    <row r="901">
      <c r="A901" s="85" t="n"/>
      <c r="B901" s="87" t="n"/>
      <c r="C901" s="87" t="n"/>
      <c r="D901" s="86" t="n"/>
      <c r="E901" s="87" t="n"/>
      <c r="F901" s="91" t="n"/>
      <c r="G901" s="86" t="n"/>
      <c r="H901" s="86" t="n"/>
      <c r="I901" s="100">
        <f>IF($B901="","",IFERROR(INDEX(Setup!$B$99:$B$128,MATCH($B901,Setup!$A$99:$A$128,0)),"CHECK TYPE"))</f>
        <v/>
      </c>
      <c r="J901">
        <f>IF($A901="","",DATE(YEAR($A901),MONTH($A901),1))</f>
        <v/>
      </c>
    </row>
    <row r="902">
      <c r="A902" s="93" t="n"/>
      <c r="B902" s="95" t="n"/>
      <c r="C902" s="95" t="n"/>
      <c r="D902" s="94" t="n"/>
      <c r="E902" s="95" t="n"/>
      <c r="F902" s="98" t="n"/>
      <c r="G902" s="94" t="n"/>
      <c r="H902" s="94" t="n"/>
      <c r="I902" s="100">
        <f>IF($B902="","",IFERROR(INDEX(Setup!$B$99:$B$128,MATCH($B902,Setup!$A$99:$A$128,0)),"CHECK TYPE"))</f>
        <v/>
      </c>
      <c r="J902">
        <f>IF($A902="","",DATE(YEAR($A902),MONTH($A902),1))</f>
        <v/>
      </c>
    </row>
    <row r="903">
      <c r="A903" s="85" t="n"/>
      <c r="B903" s="87" t="n"/>
      <c r="C903" s="87" t="n"/>
      <c r="D903" s="86" t="n"/>
      <c r="E903" s="87" t="n"/>
      <c r="F903" s="91" t="n"/>
      <c r="G903" s="86" t="n"/>
      <c r="H903" s="86" t="n"/>
      <c r="I903" s="100">
        <f>IF($B903="","",IFERROR(INDEX(Setup!$B$99:$B$128,MATCH($B903,Setup!$A$99:$A$128,0)),"CHECK TYPE"))</f>
        <v/>
      </c>
      <c r="J903">
        <f>IF($A903="","",DATE(YEAR($A903),MONTH($A903),1))</f>
        <v/>
      </c>
    </row>
    <row r="904">
      <c r="A904" s="93" t="n"/>
      <c r="B904" s="95" t="n"/>
      <c r="C904" s="95" t="n"/>
      <c r="D904" s="94" t="n"/>
      <c r="E904" s="95" t="n"/>
      <c r="F904" s="98" t="n"/>
      <c r="G904" s="94" t="n"/>
      <c r="H904" s="94" t="n"/>
      <c r="I904" s="100">
        <f>IF($B904="","",IFERROR(INDEX(Setup!$B$99:$B$128,MATCH($B904,Setup!$A$99:$A$128,0)),"CHECK TYPE"))</f>
        <v/>
      </c>
      <c r="J904">
        <f>IF($A904="","",DATE(YEAR($A904),MONTH($A904),1))</f>
        <v/>
      </c>
    </row>
    <row r="905">
      <c r="A905" s="85" t="n"/>
      <c r="B905" s="87" t="n"/>
      <c r="C905" s="87" t="n"/>
      <c r="D905" s="86" t="n"/>
      <c r="E905" s="87" t="n"/>
      <c r="F905" s="91" t="n"/>
      <c r="G905" s="86" t="n"/>
      <c r="H905" s="86" t="n"/>
      <c r="I905" s="100">
        <f>IF($B905="","",IFERROR(INDEX(Setup!$B$99:$B$128,MATCH($B905,Setup!$A$99:$A$128,0)),"CHECK TYPE"))</f>
        <v/>
      </c>
      <c r="J905">
        <f>IF($A905="","",DATE(YEAR($A905),MONTH($A905),1))</f>
        <v/>
      </c>
    </row>
    <row r="906">
      <c r="A906" s="93" t="n"/>
      <c r="B906" s="95" t="n"/>
      <c r="C906" s="95" t="n"/>
      <c r="D906" s="94" t="n"/>
      <c r="E906" s="95" t="n"/>
      <c r="F906" s="98" t="n"/>
      <c r="G906" s="94" t="n"/>
      <c r="H906" s="94" t="n"/>
      <c r="I906" s="100">
        <f>IF($B906="","",IFERROR(INDEX(Setup!$B$99:$B$128,MATCH($B906,Setup!$A$99:$A$128,0)),"CHECK TYPE"))</f>
        <v/>
      </c>
      <c r="J906">
        <f>IF($A906="","",DATE(YEAR($A906),MONTH($A906),1))</f>
        <v/>
      </c>
    </row>
    <row r="907">
      <c r="A907" s="85" t="n"/>
      <c r="B907" s="87" t="n"/>
      <c r="C907" s="87" t="n"/>
      <c r="D907" s="86" t="n"/>
      <c r="E907" s="87" t="n"/>
      <c r="F907" s="91" t="n"/>
      <c r="G907" s="86" t="n"/>
      <c r="H907" s="86" t="n"/>
      <c r="I907" s="100">
        <f>IF($B907="","",IFERROR(INDEX(Setup!$B$99:$B$128,MATCH($B907,Setup!$A$99:$A$128,0)),"CHECK TYPE"))</f>
        <v/>
      </c>
      <c r="J907">
        <f>IF($A907="","",DATE(YEAR($A907),MONTH($A907),1))</f>
        <v/>
      </c>
    </row>
    <row r="908">
      <c r="A908" s="93" t="n"/>
      <c r="B908" s="95" t="n"/>
      <c r="C908" s="95" t="n"/>
      <c r="D908" s="94" t="n"/>
      <c r="E908" s="95" t="n"/>
      <c r="F908" s="98" t="n"/>
      <c r="G908" s="94" t="n"/>
      <c r="H908" s="94" t="n"/>
      <c r="I908" s="100">
        <f>IF($B908="","",IFERROR(INDEX(Setup!$B$99:$B$128,MATCH($B908,Setup!$A$99:$A$128,0)),"CHECK TYPE"))</f>
        <v/>
      </c>
      <c r="J908">
        <f>IF($A908="","",DATE(YEAR($A908),MONTH($A908),1))</f>
        <v/>
      </c>
    </row>
    <row r="909">
      <c r="A909" s="85" t="n"/>
      <c r="B909" s="87" t="n"/>
      <c r="C909" s="87" t="n"/>
      <c r="D909" s="86" t="n"/>
      <c r="E909" s="87" t="n"/>
      <c r="F909" s="91" t="n"/>
      <c r="G909" s="86" t="n"/>
      <c r="H909" s="86" t="n"/>
      <c r="I909" s="100">
        <f>IF($B909="","",IFERROR(INDEX(Setup!$B$99:$B$128,MATCH($B909,Setup!$A$99:$A$128,0)),"CHECK TYPE"))</f>
        <v/>
      </c>
      <c r="J909">
        <f>IF($A909="","",DATE(YEAR($A909),MONTH($A909),1))</f>
        <v/>
      </c>
    </row>
    <row r="910">
      <c r="A910" s="93" t="n"/>
      <c r="B910" s="95" t="n"/>
      <c r="C910" s="95" t="n"/>
      <c r="D910" s="94" t="n"/>
      <c r="E910" s="95" t="n"/>
      <c r="F910" s="98" t="n"/>
      <c r="G910" s="94" t="n"/>
      <c r="H910" s="94" t="n"/>
      <c r="I910" s="100">
        <f>IF($B910="","",IFERROR(INDEX(Setup!$B$99:$B$128,MATCH($B910,Setup!$A$99:$A$128,0)),"CHECK TYPE"))</f>
        <v/>
      </c>
      <c r="J910">
        <f>IF($A910="","",DATE(YEAR($A910),MONTH($A910),1))</f>
        <v/>
      </c>
    </row>
    <row r="911">
      <c r="A911" s="85" t="n"/>
      <c r="B911" s="87" t="n"/>
      <c r="C911" s="87" t="n"/>
      <c r="D911" s="86" t="n"/>
      <c r="E911" s="87" t="n"/>
      <c r="F911" s="91" t="n"/>
      <c r="G911" s="86" t="n"/>
      <c r="H911" s="86" t="n"/>
      <c r="I911" s="100">
        <f>IF($B911="","",IFERROR(INDEX(Setup!$B$99:$B$128,MATCH($B911,Setup!$A$99:$A$128,0)),"CHECK TYPE"))</f>
        <v/>
      </c>
      <c r="J911">
        <f>IF($A911="","",DATE(YEAR($A911),MONTH($A911),1))</f>
        <v/>
      </c>
    </row>
    <row r="912">
      <c r="A912" s="93" t="n"/>
      <c r="B912" s="95" t="n"/>
      <c r="C912" s="95" t="n"/>
      <c r="D912" s="94" t="n"/>
      <c r="E912" s="95" t="n"/>
      <c r="F912" s="98" t="n"/>
      <c r="G912" s="94" t="n"/>
      <c r="H912" s="94" t="n"/>
      <c r="I912" s="100">
        <f>IF($B912="","",IFERROR(INDEX(Setup!$B$99:$B$128,MATCH($B912,Setup!$A$99:$A$128,0)),"CHECK TYPE"))</f>
        <v/>
      </c>
      <c r="J912">
        <f>IF($A912="","",DATE(YEAR($A912),MONTH($A912),1))</f>
        <v/>
      </c>
    </row>
    <row r="913">
      <c r="A913" s="85" t="n"/>
      <c r="B913" s="87" t="n"/>
      <c r="C913" s="87" t="n"/>
      <c r="D913" s="86" t="n"/>
      <c r="E913" s="87" t="n"/>
      <c r="F913" s="91" t="n"/>
      <c r="G913" s="86" t="n"/>
      <c r="H913" s="86" t="n"/>
      <c r="I913" s="100">
        <f>IF($B913="","",IFERROR(INDEX(Setup!$B$99:$B$128,MATCH($B913,Setup!$A$99:$A$128,0)),"CHECK TYPE"))</f>
        <v/>
      </c>
      <c r="J913">
        <f>IF($A913="","",DATE(YEAR($A913),MONTH($A913),1))</f>
        <v/>
      </c>
    </row>
    <row r="914">
      <c r="A914" s="93" t="n"/>
      <c r="B914" s="95" t="n"/>
      <c r="C914" s="95" t="n"/>
      <c r="D914" s="94" t="n"/>
      <c r="E914" s="95" t="n"/>
      <c r="F914" s="98" t="n"/>
      <c r="G914" s="94" t="n"/>
      <c r="H914" s="94" t="n"/>
      <c r="I914" s="100">
        <f>IF($B914="","",IFERROR(INDEX(Setup!$B$99:$B$128,MATCH($B914,Setup!$A$99:$A$128,0)),"CHECK TYPE"))</f>
        <v/>
      </c>
      <c r="J914">
        <f>IF($A914="","",DATE(YEAR($A914),MONTH($A914),1))</f>
        <v/>
      </c>
    </row>
    <row r="915">
      <c r="A915" s="85" t="n"/>
      <c r="B915" s="87" t="n"/>
      <c r="C915" s="87" t="n"/>
      <c r="D915" s="86" t="n"/>
      <c r="E915" s="87" t="n"/>
      <c r="F915" s="91" t="n"/>
      <c r="G915" s="86" t="n"/>
      <c r="H915" s="86" t="n"/>
      <c r="I915" s="100">
        <f>IF($B915="","",IFERROR(INDEX(Setup!$B$99:$B$128,MATCH($B915,Setup!$A$99:$A$128,0)),"CHECK TYPE"))</f>
        <v/>
      </c>
      <c r="J915">
        <f>IF($A915="","",DATE(YEAR($A915),MONTH($A915),1))</f>
        <v/>
      </c>
    </row>
    <row r="916">
      <c r="A916" s="93" t="n"/>
      <c r="B916" s="95" t="n"/>
      <c r="C916" s="95" t="n"/>
      <c r="D916" s="94" t="n"/>
      <c r="E916" s="95" t="n"/>
      <c r="F916" s="98" t="n"/>
      <c r="G916" s="94" t="n"/>
      <c r="H916" s="94" t="n"/>
      <c r="I916" s="100">
        <f>IF($B916="","",IFERROR(INDEX(Setup!$B$99:$B$128,MATCH($B916,Setup!$A$99:$A$128,0)),"CHECK TYPE"))</f>
        <v/>
      </c>
      <c r="J916">
        <f>IF($A916="","",DATE(YEAR($A916),MONTH($A916),1))</f>
        <v/>
      </c>
    </row>
    <row r="917">
      <c r="A917" s="85" t="n"/>
      <c r="B917" s="87" t="n"/>
      <c r="C917" s="87" t="n"/>
      <c r="D917" s="86" t="n"/>
      <c r="E917" s="87" t="n"/>
      <c r="F917" s="91" t="n"/>
      <c r="G917" s="86" t="n"/>
      <c r="H917" s="86" t="n"/>
      <c r="I917" s="100">
        <f>IF($B917="","",IFERROR(INDEX(Setup!$B$99:$B$128,MATCH($B917,Setup!$A$99:$A$128,0)),"CHECK TYPE"))</f>
        <v/>
      </c>
      <c r="J917">
        <f>IF($A917="","",DATE(YEAR($A917),MONTH($A917),1))</f>
        <v/>
      </c>
    </row>
    <row r="918">
      <c r="A918" s="93" t="n"/>
      <c r="B918" s="95" t="n"/>
      <c r="C918" s="95" t="n"/>
      <c r="D918" s="94" t="n"/>
      <c r="E918" s="95" t="n"/>
      <c r="F918" s="98" t="n"/>
      <c r="G918" s="94" t="n"/>
      <c r="H918" s="94" t="n"/>
      <c r="I918" s="100">
        <f>IF($B918="","",IFERROR(INDEX(Setup!$B$99:$B$128,MATCH($B918,Setup!$A$99:$A$128,0)),"CHECK TYPE"))</f>
        <v/>
      </c>
      <c r="J918">
        <f>IF($A918="","",DATE(YEAR($A918),MONTH($A918),1))</f>
        <v/>
      </c>
    </row>
    <row r="919">
      <c r="A919" s="85" t="n"/>
      <c r="B919" s="87" t="n"/>
      <c r="C919" s="87" t="n"/>
      <c r="D919" s="86" t="n"/>
      <c r="E919" s="87" t="n"/>
      <c r="F919" s="91" t="n"/>
      <c r="G919" s="86" t="n"/>
      <c r="H919" s="86" t="n"/>
      <c r="I919" s="100">
        <f>IF($B919="","",IFERROR(INDEX(Setup!$B$99:$B$128,MATCH($B919,Setup!$A$99:$A$128,0)),"CHECK TYPE"))</f>
        <v/>
      </c>
      <c r="J919">
        <f>IF($A919="","",DATE(YEAR($A919),MONTH($A919),1))</f>
        <v/>
      </c>
    </row>
    <row r="920">
      <c r="A920" s="93" t="n"/>
      <c r="B920" s="95" t="n"/>
      <c r="C920" s="95" t="n"/>
      <c r="D920" s="94" t="n"/>
      <c r="E920" s="95" t="n"/>
      <c r="F920" s="98" t="n"/>
      <c r="G920" s="94" t="n"/>
      <c r="H920" s="94" t="n"/>
      <c r="I920" s="100">
        <f>IF($B920="","",IFERROR(INDEX(Setup!$B$99:$B$128,MATCH($B920,Setup!$A$99:$A$128,0)),"CHECK TYPE"))</f>
        <v/>
      </c>
      <c r="J920">
        <f>IF($A920="","",DATE(YEAR($A920),MONTH($A920),1))</f>
        <v/>
      </c>
    </row>
    <row r="921">
      <c r="A921" s="85" t="n"/>
      <c r="B921" s="87" t="n"/>
      <c r="C921" s="87" t="n"/>
      <c r="D921" s="86" t="n"/>
      <c r="E921" s="87" t="n"/>
      <c r="F921" s="91" t="n"/>
      <c r="G921" s="86" t="n"/>
      <c r="H921" s="86" t="n"/>
      <c r="I921" s="100">
        <f>IF($B921="","",IFERROR(INDEX(Setup!$B$99:$B$128,MATCH($B921,Setup!$A$99:$A$128,0)),"CHECK TYPE"))</f>
        <v/>
      </c>
      <c r="J921">
        <f>IF($A921="","",DATE(YEAR($A921),MONTH($A921),1))</f>
        <v/>
      </c>
    </row>
    <row r="922">
      <c r="A922" s="93" t="n"/>
      <c r="B922" s="95" t="n"/>
      <c r="C922" s="95" t="n"/>
      <c r="D922" s="94" t="n"/>
      <c r="E922" s="95" t="n"/>
      <c r="F922" s="98" t="n"/>
      <c r="G922" s="94" t="n"/>
      <c r="H922" s="94" t="n"/>
      <c r="I922" s="100">
        <f>IF($B922="","",IFERROR(INDEX(Setup!$B$99:$B$128,MATCH($B922,Setup!$A$99:$A$128,0)),"CHECK TYPE"))</f>
        <v/>
      </c>
      <c r="J922">
        <f>IF($A922="","",DATE(YEAR($A922),MONTH($A922),1))</f>
        <v/>
      </c>
    </row>
    <row r="923">
      <c r="A923" s="85" t="n"/>
      <c r="B923" s="87" t="n"/>
      <c r="C923" s="87" t="n"/>
      <c r="D923" s="86" t="n"/>
      <c r="E923" s="87" t="n"/>
      <c r="F923" s="91" t="n"/>
      <c r="G923" s="86" t="n"/>
      <c r="H923" s="86" t="n"/>
      <c r="I923" s="100">
        <f>IF($B923="","",IFERROR(INDEX(Setup!$B$99:$B$128,MATCH($B923,Setup!$A$99:$A$128,0)),"CHECK TYPE"))</f>
        <v/>
      </c>
      <c r="J923">
        <f>IF($A923="","",DATE(YEAR($A923),MONTH($A923),1))</f>
        <v/>
      </c>
    </row>
    <row r="924">
      <c r="A924" s="93" t="n"/>
      <c r="B924" s="95" t="n"/>
      <c r="C924" s="95" t="n"/>
      <c r="D924" s="94" t="n"/>
      <c r="E924" s="95" t="n"/>
      <c r="F924" s="98" t="n"/>
      <c r="G924" s="94" t="n"/>
      <c r="H924" s="94" t="n"/>
      <c r="I924" s="100">
        <f>IF($B924="","",IFERROR(INDEX(Setup!$B$99:$B$128,MATCH($B924,Setup!$A$99:$A$128,0)),"CHECK TYPE"))</f>
        <v/>
      </c>
      <c r="J924">
        <f>IF($A924="","",DATE(YEAR($A924),MONTH($A924),1))</f>
        <v/>
      </c>
    </row>
    <row r="925">
      <c r="A925" s="85" t="n"/>
      <c r="B925" s="87" t="n"/>
      <c r="C925" s="87" t="n"/>
      <c r="D925" s="86" t="n"/>
      <c r="E925" s="87" t="n"/>
      <c r="F925" s="91" t="n"/>
      <c r="G925" s="86" t="n"/>
      <c r="H925" s="86" t="n"/>
      <c r="I925" s="100">
        <f>IF($B925="","",IFERROR(INDEX(Setup!$B$99:$B$128,MATCH($B925,Setup!$A$99:$A$128,0)),"CHECK TYPE"))</f>
        <v/>
      </c>
      <c r="J925">
        <f>IF($A925="","",DATE(YEAR($A925),MONTH($A925),1))</f>
        <v/>
      </c>
    </row>
    <row r="926">
      <c r="A926" s="93" t="n"/>
      <c r="B926" s="95" t="n"/>
      <c r="C926" s="95" t="n"/>
      <c r="D926" s="94" t="n"/>
      <c r="E926" s="95" t="n"/>
      <c r="F926" s="98" t="n"/>
      <c r="G926" s="94" t="n"/>
      <c r="H926" s="94" t="n"/>
      <c r="I926" s="100">
        <f>IF($B926="","",IFERROR(INDEX(Setup!$B$99:$B$128,MATCH($B926,Setup!$A$99:$A$128,0)),"CHECK TYPE"))</f>
        <v/>
      </c>
      <c r="J926">
        <f>IF($A926="","",DATE(YEAR($A926),MONTH($A926),1))</f>
        <v/>
      </c>
    </row>
    <row r="927">
      <c r="A927" s="85" t="n"/>
      <c r="B927" s="87" t="n"/>
      <c r="C927" s="87" t="n"/>
      <c r="D927" s="86" t="n"/>
      <c r="E927" s="87" t="n"/>
      <c r="F927" s="91" t="n"/>
      <c r="G927" s="86" t="n"/>
      <c r="H927" s="86" t="n"/>
      <c r="I927" s="100">
        <f>IF($B927="","",IFERROR(INDEX(Setup!$B$99:$B$128,MATCH($B927,Setup!$A$99:$A$128,0)),"CHECK TYPE"))</f>
        <v/>
      </c>
      <c r="J927">
        <f>IF($A927="","",DATE(YEAR($A927),MONTH($A927),1))</f>
        <v/>
      </c>
    </row>
    <row r="928">
      <c r="A928" s="93" t="n"/>
      <c r="B928" s="95" t="n"/>
      <c r="C928" s="95" t="n"/>
      <c r="D928" s="94" t="n"/>
      <c r="E928" s="95" t="n"/>
      <c r="F928" s="98" t="n"/>
      <c r="G928" s="94" t="n"/>
      <c r="H928" s="94" t="n"/>
      <c r="I928" s="100">
        <f>IF($B928="","",IFERROR(INDEX(Setup!$B$99:$B$128,MATCH($B928,Setup!$A$99:$A$128,0)),"CHECK TYPE"))</f>
        <v/>
      </c>
      <c r="J928">
        <f>IF($A928="","",DATE(YEAR($A928),MONTH($A928),1))</f>
        <v/>
      </c>
    </row>
    <row r="929">
      <c r="A929" s="85" t="n"/>
      <c r="B929" s="87" t="n"/>
      <c r="C929" s="87" t="n"/>
      <c r="D929" s="86" t="n"/>
      <c r="E929" s="87" t="n"/>
      <c r="F929" s="91" t="n"/>
      <c r="G929" s="86" t="n"/>
      <c r="H929" s="86" t="n"/>
      <c r="I929" s="100">
        <f>IF($B929="","",IFERROR(INDEX(Setup!$B$99:$B$128,MATCH($B929,Setup!$A$99:$A$128,0)),"CHECK TYPE"))</f>
        <v/>
      </c>
      <c r="J929">
        <f>IF($A929="","",DATE(YEAR($A929),MONTH($A929),1))</f>
        <v/>
      </c>
    </row>
    <row r="930">
      <c r="A930" s="93" t="n"/>
      <c r="B930" s="95" t="n"/>
      <c r="C930" s="95" t="n"/>
      <c r="D930" s="94" t="n"/>
      <c r="E930" s="95" t="n"/>
      <c r="F930" s="98" t="n"/>
      <c r="G930" s="94" t="n"/>
      <c r="H930" s="94" t="n"/>
      <c r="I930" s="100">
        <f>IF($B930="","",IFERROR(INDEX(Setup!$B$99:$B$128,MATCH($B930,Setup!$A$99:$A$128,0)),"CHECK TYPE"))</f>
        <v/>
      </c>
      <c r="J930">
        <f>IF($A930="","",DATE(YEAR($A930),MONTH($A930),1))</f>
        <v/>
      </c>
    </row>
    <row r="931">
      <c r="A931" s="85" t="n"/>
      <c r="B931" s="87" t="n"/>
      <c r="C931" s="87" t="n"/>
      <c r="D931" s="86" t="n"/>
      <c r="E931" s="87" t="n"/>
      <c r="F931" s="91" t="n"/>
      <c r="G931" s="86" t="n"/>
      <c r="H931" s="86" t="n"/>
      <c r="I931" s="100">
        <f>IF($B931="","",IFERROR(INDEX(Setup!$B$99:$B$128,MATCH($B931,Setup!$A$99:$A$128,0)),"CHECK TYPE"))</f>
        <v/>
      </c>
      <c r="J931">
        <f>IF($A931="","",DATE(YEAR($A931),MONTH($A931),1))</f>
        <v/>
      </c>
    </row>
    <row r="932">
      <c r="A932" s="93" t="n"/>
      <c r="B932" s="95" t="n"/>
      <c r="C932" s="95" t="n"/>
      <c r="D932" s="94" t="n"/>
      <c r="E932" s="95" t="n"/>
      <c r="F932" s="98" t="n"/>
      <c r="G932" s="94" t="n"/>
      <c r="H932" s="94" t="n"/>
      <c r="I932" s="100">
        <f>IF($B932="","",IFERROR(INDEX(Setup!$B$99:$B$128,MATCH($B932,Setup!$A$99:$A$128,0)),"CHECK TYPE"))</f>
        <v/>
      </c>
      <c r="J932">
        <f>IF($A932="","",DATE(YEAR($A932),MONTH($A932),1))</f>
        <v/>
      </c>
    </row>
    <row r="933">
      <c r="A933" s="85" t="n"/>
      <c r="B933" s="87" t="n"/>
      <c r="C933" s="87" t="n"/>
      <c r="D933" s="86" t="n"/>
      <c r="E933" s="87" t="n"/>
      <c r="F933" s="91" t="n"/>
      <c r="G933" s="86" t="n"/>
      <c r="H933" s="86" t="n"/>
      <c r="I933" s="100">
        <f>IF($B933="","",IFERROR(INDEX(Setup!$B$99:$B$128,MATCH($B933,Setup!$A$99:$A$128,0)),"CHECK TYPE"))</f>
        <v/>
      </c>
      <c r="J933">
        <f>IF($A933="","",DATE(YEAR($A933),MONTH($A933),1))</f>
        <v/>
      </c>
    </row>
    <row r="934">
      <c r="A934" s="93" t="n"/>
      <c r="B934" s="95" t="n"/>
      <c r="C934" s="95" t="n"/>
      <c r="D934" s="94" t="n"/>
      <c r="E934" s="95" t="n"/>
      <c r="F934" s="98" t="n"/>
      <c r="G934" s="94" t="n"/>
      <c r="H934" s="94" t="n"/>
      <c r="I934" s="100">
        <f>IF($B934="","",IFERROR(INDEX(Setup!$B$99:$B$128,MATCH($B934,Setup!$A$99:$A$128,0)),"CHECK TYPE"))</f>
        <v/>
      </c>
      <c r="J934">
        <f>IF($A934="","",DATE(YEAR($A934),MONTH($A934),1))</f>
        <v/>
      </c>
    </row>
    <row r="935">
      <c r="A935" s="85" t="n"/>
      <c r="B935" s="87" t="n"/>
      <c r="C935" s="87" t="n"/>
      <c r="D935" s="86" t="n"/>
      <c r="E935" s="87" t="n"/>
      <c r="F935" s="91" t="n"/>
      <c r="G935" s="86" t="n"/>
      <c r="H935" s="86" t="n"/>
      <c r="I935" s="100">
        <f>IF($B935="","",IFERROR(INDEX(Setup!$B$99:$B$128,MATCH($B935,Setup!$A$99:$A$128,0)),"CHECK TYPE"))</f>
        <v/>
      </c>
      <c r="J935">
        <f>IF($A935="","",DATE(YEAR($A935),MONTH($A935),1))</f>
        <v/>
      </c>
    </row>
    <row r="936">
      <c r="A936" s="93" t="n"/>
      <c r="B936" s="95" t="n"/>
      <c r="C936" s="95" t="n"/>
      <c r="D936" s="94" t="n"/>
      <c r="E936" s="95" t="n"/>
      <c r="F936" s="98" t="n"/>
      <c r="G936" s="94" t="n"/>
      <c r="H936" s="94" t="n"/>
      <c r="I936" s="100">
        <f>IF($B936="","",IFERROR(INDEX(Setup!$B$99:$B$128,MATCH($B936,Setup!$A$99:$A$128,0)),"CHECK TYPE"))</f>
        <v/>
      </c>
      <c r="J936">
        <f>IF($A936="","",DATE(YEAR($A936),MONTH($A936),1))</f>
        <v/>
      </c>
    </row>
    <row r="937">
      <c r="A937" s="85" t="n"/>
      <c r="B937" s="87" t="n"/>
      <c r="C937" s="87" t="n"/>
      <c r="D937" s="86" t="n"/>
      <c r="E937" s="87" t="n"/>
      <c r="F937" s="91" t="n"/>
      <c r="G937" s="86" t="n"/>
      <c r="H937" s="86" t="n"/>
      <c r="I937" s="100">
        <f>IF($B937="","",IFERROR(INDEX(Setup!$B$99:$B$128,MATCH($B937,Setup!$A$99:$A$128,0)),"CHECK TYPE"))</f>
        <v/>
      </c>
      <c r="J937">
        <f>IF($A937="","",DATE(YEAR($A937),MONTH($A937),1))</f>
        <v/>
      </c>
    </row>
    <row r="938">
      <c r="A938" s="93" t="n"/>
      <c r="B938" s="95" t="n"/>
      <c r="C938" s="95" t="n"/>
      <c r="D938" s="94" t="n"/>
      <c r="E938" s="95" t="n"/>
      <c r="F938" s="98" t="n"/>
      <c r="G938" s="94" t="n"/>
      <c r="H938" s="94" t="n"/>
      <c r="I938" s="100">
        <f>IF($B938="","",IFERROR(INDEX(Setup!$B$99:$B$128,MATCH($B938,Setup!$A$99:$A$128,0)),"CHECK TYPE"))</f>
        <v/>
      </c>
      <c r="J938">
        <f>IF($A938="","",DATE(YEAR($A938),MONTH($A938),1))</f>
        <v/>
      </c>
    </row>
    <row r="939">
      <c r="A939" s="85" t="n"/>
      <c r="B939" s="87" t="n"/>
      <c r="C939" s="87" t="n"/>
      <c r="D939" s="86" t="n"/>
      <c r="E939" s="87" t="n"/>
      <c r="F939" s="91" t="n"/>
      <c r="G939" s="86" t="n"/>
      <c r="H939" s="86" t="n"/>
      <c r="I939" s="100">
        <f>IF($B939="","",IFERROR(INDEX(Setup!$B$99:$B$128,MATCH($B939,Setup!$A$99:$A$128,0)),"CHECK TYPE"))</f>
        <v/>
      </c>
      <c r="J939">
        <f>IF($A939="","",DATE(YEAR($A939),MONTH($A939),1))</f>
        <v/>
      </c>
    </row>
    <row r="940">
      <c r="A940" s="93" t="n"/>
      <c r="B940" s="95" t="n"/>
      <c r="C940" s="95" t="n"/>
      <c r="D940" s="94" t="n"/>
      <c r="E940" s="95" t="n"/>
      <c r="F940" s="98" t="n"/>
      <c r="G940" s="94" t="n"/>
      <c r="H940" s="94" t="n"/>
      <c r="I940" s="100">
        <f>IF($B940="","",IFERROR(INDEX(Setup!$B$99:$B$128,MATCH($B940,Setup!$A$99:$A$128,0)),"CHECK TYPE"))</f>
        <v/>
      </c>
      <c r="J940">
        <f>IF($A940="","",DATE(YEAR($A940),MONTH($A940),1))</f>
        <v/>
      </c>
    </row>
    <row r="941">
      <c r="A941" s="85" t="n"/>
      <c r="B941" s="87" t="n"/>
      <c r="C941" s="87" t="n"/>
      <c r="D941" s="86" t="n"/>
      <c r="E941" s="87" t="n"/>
      <c r="F941" s="91" t="n"/>
      <c r="G941" s="86" t="n"/>
      <c r="H941" s="86" t="n"/>
      <c r="I941" s="100">
        <f>IF($B941="","",IFERROR(INDEX(Setup!$B$99:$B$128,MATCH($B941,Setup!$A$99:$A$128,0)),"CHECK TYPE"))</f>
        <v/>
      </c>
      <c r="J941">
        <f>IF($A941="","",DATE(YEAR($A941),MONTH($A941),1))</f>
        <v/>
      </c>
    </row>
    <row r="942">
      <c r="A942" s="93" t="n"/>
      <c r="B942" s="95" t="n"/>
      <c r="C942" s="95" t="n"/>
      <c r="D942" s="94" t="n"/>
      <c r="E942" s="95" t="n"/>
      <c r="F942" s="98" t="n"/>
      <c r="G942" s="94" t="n"/>
      <c r="H942" s="94" t="n"/>
      <c r="I942" s="100">
        <f>IF($B942="","",IFERROR(INDEX(Setup!$B$99:$B$128,MATCH($B942,Setup!$A$99:$A$128,0)),"CHECK TYPE"))</f>
        <v/>
      </c>
      <c r="J942">
        <f>IF($A942="","",DATE(YEAR($A942),MONTH($A942),1))</f>
        <v/>
      </c>
    </row>
    <row r="943">
      <c r="A943" s="85" t="n"/>
      <c r="B943" s="87" t="n"/>
      <c r="C943" s="87" t="n"/>
      <c r="D943" s="86" t="n"/>
      <c r="E943" s="87" t="n"/>
      <c r="F943" s="91" t="n"/>
      <c r="G943" s="86" t="n"/>
      <c r="H943" s="86" t="n"/>
      <c r="I943" s="100">
        <f>IF($B943="","",IFERROR(INDEX(Setup!$B$99:$B$128,MATCH($B943,Setup!$A$99:$A$128,0)),"CHECK TYPE"))</f>
        <v/>
      </c>
      <c r="J943">
        <f>IF($A943="","",DATE(YEAR($A943),MONTH($A943),1))</f>
        <v/>
      </c>
    </row>
    <row r="944">
      <c r="A944" s="93" t="n"/>
      <c r="B944" s="95" t="n"/>
      <c r="C944" s="95" t="n"/>
      <c r="D944" s="94" t="n"/>
      <c r="E944" s="95" t="n"/>
      <c r="F944" s="98" t="n"/>
      <c r="G944" s="94" t="n"/>
      <c r="H944" s="94" t="n"/>
      <c r="I944" s="100">
        <f>IF($B944="","",IFERROR(INDEX(Setup!$B$99:$B$128,MATCH($B944,Setup!$A$99:$A$128,0)),"CHECK TYPE"))</f>
        <v/>
      </c>
      <c r="J944">
        <f>IF($A944="","",DATE(YEAR($A944),MONTH($A944),1))</f>
        <v/>
      </c>
    </row>
    <row r="945">
      <c r="A945" s="85" t="n"/>
      <c r="B945" s="87" t="n"/>
      <c r="C945" s="87" t="n"/>
      <c r="D945" s="86" t="n"/>
      <c r="E945" s="87" t="n"/>
      <c r="F945" s="91" t="n"/>
      <c r="G945" s="86" t="n"/>
      <c r="H945" s="86" t="n"/>
      <c r="I945" s="100">
        <f>IF($B945="","",IFERROR(INDEX(Setup!$B$99:$B$128,MATCH($B945,Setup!$A$99:$A$128,0)),"CHECK TYPE"))</f>
        <v/>
      </c>
      <c r="J945">
        <f>IF($A945="","",DATE(YEAR($A945),MONTH($A945),1))</f>
        <v/>
      </c>
    </row>
    <row r="946">
      <c r="A946" s="93" t="n"/>
      <c r="B946" s="95" t="n"/>
      <c r="C946" s="95" t="n"/>
      <c r="D946" s="94" t="n"/>
      <c r="E946" s="95" t="n"/>
      <c r="F946" s="98" t="n"/>
      <c r="G946" s="94" t="n"/>
      <c r="H946" s="94" t="n"/>
      <c r="I946" s="100">
        <f>IF($B946="","",IFERROR(INDEX(Setup!$B$99:$B$128,MATCH($B946,Setup!$A$99:$A$128,0)),"CHECK TYPE"))</f>
        <v/>
      </c>
      <c r="J946">
        <f>IF($A946="","",DATE(YEAR($A946),MONTH($A946),1))</f>
        <v/>
      </c>
    </row>
    <row r="947">
      <c r="A947" s="85" t="n"/>
      <c r="B947" s="87" t="n"/>
      <c r="C947" s="87" t="n"/>
      <c r="D947" s="86" t="n"/>
      <c r="E947" s="87" t="n"/>
      <c r="F947" s="91" t="n"/>
      <c r="G947" s="86" t="n"/>
      <c r="H947" s="86" t="n"/>
      <c r="I947" s="100">
        <f>IF($B947="","",IFERROR(INDEX(Setup!$B$99:$B$128,MATCH($B947,Setup!$A$99:$A$128,0)),"CHECK TYPE"))</f>
        <v/>
      </c>
      <c r="J947">
        <f>IF($A947="","",DATE(YEAR($A947),MONTH($A947),1))</f>
        <v/>
      </c>
    </row>
    <row r="948">
      <c r="A948" s="93" t="n"/>
      <c r="B948" s="95" t="n"/>
      <c r="C948" s="95" t="n"/>
      <c r="D948" s="94" t="n"/>
      <c r="E948" s="95" t="n"/>
      <c r="F948" s="98" t="n"/>
      <c r="G948" s="94" t="n"/>
      <c r="H948" s="94" t="n"/>
      <c r="I948" s="100">
        <f>IF($B948="","",IFERROR(INDEX(Setup!$B$99:$B$128,MATCH($B948,Setup!$A$99:$A$128,0)),"CHECK TYPE"))</f>
        <v/>
      </c>
      <c r="J948">
        <f>IF($A948="","",DATE(YEAR($A948),MONTH($A948),1))</f>
        <v/>
      </c>
    </row>
    <row r="949">
      <c r="A949" s="85" t="n"/>
      <c r="B949" s="87" t="n"/>
      <c r="C949" s="87" t="n"/>
      <c r="D949" s="86" t="n"/>
      <c r="E949" s="87" t="n"/>
      <c r="F949" s="91" t="n"/>
      <c r="G949" s="86" t="n"/>
      <c r="H949" s="86" t="n"/>
      <c r="I949" s="100">
        <f>IF($B949="","",IFERROR(INDEX(Setup!$B$99:$B$128,MATCH($B949,Setup!$A$99:$A$128,0)),"CHECK TYPE"))</f>
        <v/>
      </c>
      <c r="J949">
        <f>IF($A949="","",DATE(YEAR($A949),MONTH($A949),1))</f>
        <v/>
      </c>
    </row>
    <row r="950">
      <c r="A950" s="93" t="n"/>
      <c r="B950" s="95" t="n"/>
      <c r="C950" s="95" t="n"/>
      <c r="D950" s="94" t="n"/>
      <c r="E950" s="95" t="n"/>
      <c r="F950" s="98" t="n"/>
      <c r="G950" s="94" t="n"/>
      <c r="H950" s="94" t="n"/>
      <c r="I950" s="100">
        <f>IF($B950="","",IFERROR(INDEX(Setup!$B$99:$B$128,MATCH($B950,Setup!$A$99:$A$128,0)),"CHECK TYPE"))</f>
        <v/>
      </c>
      <c r="J950">
        <f>IF($A950="","",DATE(YEAR($A950),MONTH($A950),1))</f>
        <v/>
      </c>
    </row>
    <row r="951">
      <c r="A951" s="85" t="n"/>
      <c r="B951" s="87" t="n"/>
      <c r="C951" s="87" t="n"/>
      <c r="D951" s="86" t="n"/>
      <c r="E951" s="87" t="n"/>
      <c r="F951" s="91" t="n"/>
      <c r="G951" s="86" t="n"/>
      <c r="H951" s="86" t="n"/>
      <c r="I951" s="100">
        <f>IF($B951="","",IFERROR(INDEX(Setup!$B$99:$B$128,MATCH($B951,Setup!$A$99:$A$128,0)),"CHECK TYPE"))</f>
        <v/>
      </c>
      <c r="J951">
        <f>IF($A951="","",DATE(YEAR($A951),MONTH($A951),1))</f>
        <v/>
      </c>
    </row>
    <row r="952">
      <c r="A952" s="93" t="n"/>
      <c r="B952" s="95" t="n"/>
      <c r="C952" s="95" t="n"/>
      <c r="D952" s="94" t="n"/>
      <c r="E952" s="95" t="n"/>
      <c r="F952" s="98" t="n"/>
      <c r="G952" s="94" t="n"/>
      <c r="H952" s="94" t="n"/>
      <c r="I952" s="100">
        <f>IF($B952="","",IFERROR(INDEX(Setup!$B$99:$B$128,MATCH($B952,Setup!$A$99:$A$128,0)),"CHECK TYPE"))</f>
        <v/>
      </c>
      <c r="J952">
        <f>IF($A952="","",DATE(YEAR($A952),MONTH($A952),1))</f>
        <v/>
      </c>
    </row>
    <row r="953">
      <c r="A953" s="85" t="n"/>
      <c r="B953" s="87" t="n"/>
      <c r="C953" s="87" t="n"/>
      <c r="D953" s="86" t="n"/>
      <c r="E953" s="87" t="n"/>
      <c r="F953" s="91" t="n"/>
      <c r="G953" s="86" t="n"/>
      <c r="H953" s="86" t="n"/>
      <c r="I953" s="100">
        <f>IF($B953="","",IFERROR(INDEX(Setup!$B$99:$B$128,MATCH($B953,Setup!$A$99:$A$128,0)),"CHECK TYPE"))</f>
        <v/>
      </c>
      <c r="J953">
        <f>IF($A953="","",DATE(YEAR($A953),MONTH($A953),1))</f>
        <v/>
      </c>
    </row>
    <row r="954">
      <c r="A954" s="93" t="n"/>
      <c r="B954" s="95" t="n"/>
      <c r="C954" s="95" t="n"/>
      <c r="D954" s="94" t="n"/>
      <c r="E954" s="95" t="n"/>
      <c r="F954" s="98" t="n"/>
      <c r="G954" s="94" t="n"/>
      <c r="H954" s="94" t="n"/>
      <c r="I954" s="100">
        <f>IF($B954="","",IFERROR(INDEX(Setup!$B$99:$B$128,MATCH($B954,Setup!$A$99:$A$128,0)),"CHECK TYPE"))</f>
        <v/>
      </c>
      <c r="J954">
        <f>IF($A954="","",DATE(YEAR($A954),MONTH($A954),1))</f>
        <v/>
      </c>
    </row>
    <row r="955">
      <c r="A955" s="85" t="n"/>
      <c r="B955" s="87" t="n"/>
      <c r="C955" s="87" t="n"/>
      <c r="D955" s="86" t="n"/>
      <c r="E955" s="87" t="n"/>
      <c r="F955" s="91" t="n"/>
      <c r="G955" s="86" t="n"/>
      <c r="H955" s="86" t="n"/>
      <c r="I955" s="100">
        <f>IF($B955="","",IFERROR(INDEX(Setup!$B$99:$B$128,MATCH($B955,Setup!$A$99:$A$128,0)),"CHECK TYPE"))</f>
        <v/>
      </c>
      <c r="J955">
        <f>IF($A955="","",DATE(YEAR($A955),MONTH($A955),1))</f>
        <v/>
      </c>
    </row>
    <row r="956">
      <c r="A956" s="93" t="n"/>
      <c r="B956" s="95" t="n"/>
      <c r="C956" s="95" t="n"/>
      <c r="D956" s="94" t="n"/>
      <c r="E956" s="95" t="n"/>
      <c r="F956" s="98" t="n"/>
      <c r="G956" s="94" t="n"/>
      <c r="H956" s="94" t="n"/>
      <c r="I956" s="100">
        <f>IF($B956="","",IFERROR(INDEX(Setup!$B$99:$B$128,MATCH($B956,Setup!$A$99:$A$128,0)),"CHECK TYPE"))</f>
        <v/>
      </c>
      <c r="J956">
        <f>IF($A956="","",DATE(YEAR($A956),MONTH($A956),1))</f>
        <v/>
      </c>
    </row>
    <row r="957">
      <c r="A957" s="85" t="n"/>
      <c r="B957" s="87" t="n"/>
      <c r="C957" s="87" t="n"/>
      <c r="D957" s="86" t="n"/>
      <c r="E957" s="87" t="n"/>
      <c r="F957" s="91" t="n"/>
      <c r="G957" s="86" t="n"/>
      <c r="H957" s="86" t="n"/>
      <c r="I957" s="100">
        <f>IF($B957="","",IFERROR(INDEX(Setup!$B$99:$B$128,MATCH($B957,Setup!$A$99:$A$128,0)),"CHECK TYPE"))</f>
        <v/>
      </c>
      <c r="J957">
        <f>IF($A957="","",DATE(YEAR($A957),MONTH($A957),1))</f>
        <v/>
      </c>
    </row>
    <row r="958">
      <c r="A958" s="93" t="n"/>
      <c r="B958" s="95" t="n"/>
      <c r="C958" s="95" t="n"/>
      <c r="D958" s="94" t="n"/>
      <c r="E958" s="95" t="n"/>
      <c r="F958" s="98" t="n"/>
      <c r="G958" s="94" t="n"/>
      <c r="H958" s="94" t="n"/>
      <c r="I958" s="100">
        <f>IF($B958="","",IFERROR(INDEX(Setup!$B$99:$B$128,MATCH($B958,Setup!$A$99:$A$128,0)),"CHECK TYPE"))</f>
        <v/>
      </c>
      <c r="J958">
        <f>IF($A958="","",DATE(YEAR($A958),MONTH($A958),1))</f>
        <v/>
      </c>
    </row>
    <row r="959">
      <c r="A959" s="85" t="n"/>
      <c r="B959" s="87" t="n"/>
      <c r="C959" s="87" t="n"/>
      <c r="D959" s="86" t="n"/>
      <c r="E959" s="87" t="n"/>
      <c r="F959" s="91" t="n"/>
      <c r="G959" s="86" t="n"/>
      <c r="H959" s="86" t="n"/>
      <c r="I959" s="100">
        <f>IF($B959="","",IFERROR(INDEX(Setup!$B$99:$B$128,MATCH($B959,Setup!$A$99:$A$128,0)),"CHECK TYPE"))</f>
        <v/>
      </c>
      <c r="J959">
        <f>IF($A959="","",DATE(YEAR($A959),MONTH($A959),1))</f>
        <v/>
      </c>
    </row>
    <row r="960">
      <c r="A960" s="93" t="n"/>
      <c r="B960" s="95" t="n"/>
      <c r="C960" s="95" t="n"/>
      <c r="D960" s="94" t="n"/>
      <c r="E960" s="95" t="n"/>
      <c r="F960" s="98" t="n"/>
      <c r="G960" s="94" t="n"/>
      <c r="H960" s="94" t="n"/>
      <c r="I960" s="100">
        <f>IF($B960="","",IFERROR(INDEX(Setup!$B$99:$B$128,MATCH($B960,Setup!$A$99:$A$128,0)),"CHECK TYPE"))</f>
        <v/>
      </c>
      <c r="J960">
        <f>IF($A960="","",DATE(YEAR($A960),MONTH($A960),1))</f>
        <v/>
      </c>
    </row>
    <row r="961">
      <c r="A961" s="85" t="n"/>
      <c r="B961" s="87" t="n"/>
      <c r="C961" s="87" t="n"/>
      <c r="D961" s="86" t="n"/>
      <c r="E961" s="87" t="n"/>
      <c r="F961" s="91" t="n"/>
      <c r="G961" s="86" t="n"/>
      <c r="H961" s="86" t="n"/>
      <c r="I961" s="100">
        <f>IF($B961="","",IFERROR(INDEX(Setup!$B$99:$B$128,MATCH($B961,Setup!$A$99:$A$128,0)),"CHECK TYPE"))</f>
        <v/>
      </c>
      <c r="J961">
        <f>IF($A961="","",DATE(YEAR($A961),MONTH($A961),1))</f>
        <v/>
      </c>
    </row>
    <row r="962">
      <c r="A962" s="93" t="n"/>
      <c r="B962" s="95" t="n"/>
      <c r="C962" s="95" t="n"/>
      <c r="D962" s="94" t="n"/>
      <c r="E962" s="95" t="n"/>
      <c r="F962" s="98" t="n"/>
      <c r="G962" s="94" t="n"/>
      <c r="H962" s="94" t="n"/>
      <c r="I962" s="100">
        <f>IF($B962="","",IFERROR(INDEX(Setup!$B$99:$B$128,MATCH($B962,Setup!$A$99:$A$128,0)),"CHECK TYPE"))</f>
        <v/>
      </c>
      <c r="J962">
        <f>IF($A962="","",DATE(YEAR($A962),MONTH($A962),1))</f>
        <v/>
      </c>
    </row>
    <row r="963">
      <c r="A963" s="85" t="n"/>
      <c r="B963" s="87" t="n"/>
      <c r="C963" s="87" t="n"/>
      <c r="D963" s="86" t="n"/>
      <c r="E963" s="87" t="n"/>
      <c r="F963" s="91" t="n"/>
      <c r="G963" s="86" t="n"/>
      <c r="H963" s="86" t="n"/>
      <c r="I963" s="100">
        <f>IF($B963="","",IFERROR(INDEX(Setup!$B$99:$B$128,MATCH($B963,Setup!$A$99:$A$128,0)),"CHECK TYPE"))</f>
        <v/>
      </c>
      <c r="J963">
        <f>IF($A963="","",DATE(YEAR($A963),MONTH($A963),1))</f>
        <v/>
      </c>
    </row>
    <row r="964">
      <c r="A964" s="93" t="n"/>
      <c r="B964" s="95" t="n"/>
      <c r="C964" s="95" t="n"/>
      <c r="D964" s="94" t="n"/>
      <c r="E964" s="95" t="n"/>
      <c r="F964" s="98" t="n"/>
      <c r="G964" s="94" t="n"/>
      <c r="H964" s="94" t="n"/>
      <c r="I964" s="100">
        <f>IF($B964="","",IFERROR(INDEX(Setup!$B$99:$B$128,MATCH($B964,Setup!$A$99:$A$128,0)),"CHECK TYPE"))</f>
        <v/>
      </c>
      <c r="J964">
        <f>IF($A964="","",DATE(YEAR($A964),MONTH($A964),1))</f>
        <v/>
      </c>
    </row>
    <row r="965">
      <c r="A965" s="85" t="n"/>
      <c r="B965" s="87" t="n"/>
      <c r="C965" s="87" t="n"/>
      <c r="D965" s="86" t="n"/>
      <c r="E965" s="87" t="n"/>
      <c r="F965" s="91" t="n"/>
      <c r="G965" s="86" t="n"/>
      <c r="H965" s="86" t="n"/>
      <c r="I965" s="100">
        <f>IF($B965="","",IFERROR(INDEX(Setup!$B$99:$B$128,MATCH($B965,Setup!$A$99:$A$128,0)),"CHECK TYPE"))</f>
        <v/>
      </c>
      <c r="J965">
        <f>IF($A965="","",DATE(YEAR($A965),MONTH($A965),1))</f>
        <v/>
      </c>
    </row>
    <row r="966">
      <c r="A966" s="93" t="n"/>
      <c r="B966" s="95" t="n"/>
      <c r="C966" s="95" t="n"/>
      <c r="D966" s="94" t="n"/>
      <c r="E966" s="95" t="n"/>
      <c r="F966" s="98" t="n"/>
      <c r="G966" s="94" t="n"/>
      <c r="H966" s="94" t="n"/>
      <c r="I966" s="100">
        <f>IF($B966="","",IFERROR(INDEX(Setup!$B$99:$B$128,MATCH($B966,Setup!$A$99:$A$128,0)),"CHECK TYPE"))</f>
        <v/>
      </c>
      <c r="J966">
        <f>IF($A966="","",DATE(YEAR($A966),MONTH($A966),1))</f>
        <v/>
      </c>
    </row>
    <row r="967">
      <c r="A967" s="85" t="n"/>
      <c r="B967" s="87" t="n"/>
      <c r="C967" s="87" t="n"/>
      <c r="D967" s="86" t="n"/>
      <c r="E967" s="87" t="n"/>
      <c r="F967" s="91" t="n"/>
      <c r="G967" s="86" t="n"/>
      <c r="H967" s="86" t="n"/>
      <c r="I967" s="100">
        <f>IF($B967="","",IFERROR(INDEX(Setup!$B$99:$B$128,MATCH($B967,Setup!$A$99:$A$128,0)),"CHECK TYPE"))</f>
        <v/>
      </c>
      <c r="J967">
        <f>IF($A967="","",DATE(YEAR($A967),MONTH($A967),1))</f>
        <v/>
      </c>
    </row>
    <row r="968">
      <c r="A968" s="93" t="n"/>
      <c r="B968" s="95" t="n"/>
      <c r="C968" s="95" t="n"/>
      <c r="D968" s="94" t="n"/>
      <c r="E968" s="95" t="n"/>
      <c r="F968" s="98" t="n"/>
      <c r="G968" s="94" t="n"/>
      <c r="H968" s="94" t="n"/>
      <c r="I968" s="100">
        <f>IF($B968="","",IFERROR(INDEX(Setup!$B$99:$B$128,MATCH($B968,Setup!$A$99:$A$128,0)),"CHECK TYPE"))</f>
        <v/>
      </c>
      <c r="J968">
        <f>IF($A968="","",DATE(YEAR($A968),MONTH($A968),1))</f>
        <v/>
      </c>
    </row>
    <row r="969">
      <c r="A969" s="85" t="n"/>
      <c r="B969" s="87" t="n"/>
      <c r="C969" s="87" t="n"/>
      <c r="D969" s="86" t="n"/>
      <c r="E969" s="87" t="n"/>
      <c r="F969" s="91" t="n"/>
      <c r="G969" s="86" t="n"/>
      <c r="H969" s="86" t="n"/>
      <c r="I969" s="100">
        <f>IF($B969="","",IFERROR(INDEX(Setup!$B$99:$B$128,MATCH($B969,Setup!$A$99:$A$128,0)),"CHECK TYPE"))</f>
        <v/>
      </c>
      <c r="J969">
        <f>IF($A969="","",DATE(YEAR($A969),MONTH($A969),1))</f>
        <v/>
      </c>
    </row>
    <row r="970">
      <c r="A970" s="93" t="n"/>
      <c r="B970" s="95" t="n"/>
      <c r="C970" s="95" t="n"/>
      <c r="D970" s="94" t="n"/>
      <c r="E970" s="95" t="n"/>
      <c r="F970" s="98" t="n"/>
      <c r="G970" s="94" t="n"/>
      <c r="H970" s="94" t="n"/>
      <c r="I970" s="100">
        <f>IF($B970="","",IFERROR(INDEX(Setup!$B$99:$B$128,MATCH($B970,Setup!$A$99:$A$128,0)),"CHECK TYPE"))</f>
        <v/>
      </c>
      <c r="J970">
        <f>IF($A970="","",DATE(YEAR($A970),MONTH($A970),1))</f>
        <v/>
      </c>
    </row>
    <row r="971">
      <c r="A971" s="85" t="n"/>
      <c r="B971" s="87" t="n"/>
      <c r="C971" s="87" t="n"/>
      <c r="D971" s="86" t="n"/>
      <c r="E971" s="87" t="n"/>
      <c r="F971" s="91" t="n"/>
      <c r="G971" s="86" t="n"/>
      <c r="H971" s="86" t="n"/>
      <c r="I971" s="100">
        <f>IF($B971="","",IFERROR(INDEX(Setup!$B$99:$B$128,MATCH($B971,Setup!$A$99:$A$128,0)),"CHECK TYPE"))</f>
        <v/>
      </c>
      <c r="J971">
        <f>IF($A971="","",DATE(YEAR($A971),MONTH($A971),1))</f>
        <v/>
      </c>
    </row>
    <row r="972">
      <c r="A972" s="93" t="n"/>
      <c r="B972" s="95" t="n"/>
      <c r="C972" s="95" t="n"/>
      <c r="D972" s="94" t="n"/>
      <c r="E972" s="95" t="n"/>
      <c r="F972" s="98" t="n"/>
      <c r="G972" s="94" t="n"/>
      <c r="H972" s="94" t="n"/>
      <c r="I972" s="100">
        <f>IF($B972="","",IFERROR(INDEX(Setup!$B$99:$B$128,MATCH($B972,Setup!$A$99:$A$128,0)),"CHECK TYPE"))</f>
        <v/>
      </c>
      <c r="J972">
        <f>IF($A972="","",DATE(YEAR($A972),MONTH($A972),1))</f>
        <v/>
      </c>
    </row>
    <row r="973">
      <c r="A973" s="85" t="n"/>
      <c r="B973" s="87" t="n"/>
      <c r="C973" s="87" t="n"/>
      <c r="D973" s="86" t="n"/>
      <c r="E973" s="87" t="n"/>
      <c r="F973" s="91" t="n"/>
      <c r="G973" s="86" t="n"/>
      <c r="H973" s="86" t="n"/>
      <c r="I973" s="100">
        <f>IF($B973="","",IFERROR(INDEX(Setup!$B$99:$B$128,MATCH($B973,Setup!$A$99:$A$128,0)),"CHECK TYPE"))</f>
        <v/>
      </c>
      <c r="J973">
        <f>IF($A973="","",DATE(YEAR($A973),MONTH($A973),1))</f>
        <v/>
      </c>
    </row>
    <row r="974">
      <c r="A974" s="93" t="n"/>
      <c r="B974" s="95" t="n"/>
      <c r="C974" s="95" t="n"/>
      <c r="D974" s="94" t="n"/>
      <c r="E974" s="95" t="n"/>
      <c r="F974" s="98" t="n"/>
      <c r="G974" s="94" t="n"/>
      <c r="H974" s="94" t="n"/>
      <c r="I974" s="100">
        <f>IF($B974="","",IFERROR(INDEX(Setup!$B$99:$B$128,MATCH($B974,Setup!$A$99:$A$128,0)),"CHECK TYPE"))</f>
        <v/>
      </c>
      <c r="J974">
        <f>IF($A974="","",DATE(YEAR($A974),MONTH($A974),1))</f>
        <v/>
      </c>
    </row>
    <row r="975">
      <c r="A975" s="85" t="n"/>
      <c r="B975" s="87" t="n"/>
      <c r="C975" s="87" t="n"/>
      <c r="D975" s="86" t="n"/>
      <c r="E975" s="87" t="n"/>
      <c r="F975" s="91" t="n"/>
      <c r="G975" s="86" t="n"/>
      <c r="H975" s="86" t="n"/>
      <c r="I975" s="100">
        <f>IF($B975="","",IFERROR(INDEX(Setup!$B$99:$B$128,MATCH($B975,Setup!$A$99:$A$128,0)),"CHECK TYPE"))</f>
        <v/>
      </c>
      <c r="J975">
        <f>IF($A975="","",DATE(YEAR($A975),MONTH($A975),1))</f>
        <v/>
      </c>
    </row>
    <row r="976">
      <c r="A976" s="93" t="n"/>
      <c r="B976" s="95" t="n"/>
      <c r="C976" s="95" t="n"/>
      <c r="D976" s="94" t="n"/>
      <c r="E976" s="95" t="n"/>
      <c r="F976" s="98" t="n"/>
      <c r="G976" s="94" t="n"/>
      <c r="H976" s="94" t="n"/>
      <c r="I976" s="100">
        <f>IF($B976="","",IFERROR(INDEX(Setup!$B$99:$B$128,MATCH($B976,Setup!$A$99:$A$128,0)),"CHECK TYPE"))</f>
        <v/>
      </c>
      <c r="J976">
        <f>IF($A976="","",DATE(YEAR($A976),MONTH($A976),1))</f>
        <v/>
      </c>
    </row>
    <row r="977">
      <c r="A977" s="85" t="n"/>
      <c r="B977" s="87" t="n"/>
      <c r="C977" s="87" t="n"/>
      <c r="D977" s="86" t="n"/>
      <c r="E977" s="87" t="n"/>
      <c r="F977" s="91" t="n"/>
      <c r="G977" s="86" t="n"/>
      <c r="H977" s="86" t="n"/>
      <c r="I977" s="100">
        <f>IF($B977="","",IFERROR(INDEX(Setup!$B$99:$B$128,MATCH($B977,Setup!$A$99:$A$128,0)),"CHECK TYPE"))</f>
        <v/>
      </c>
      <c r="J977">
        <f>IF($A977="","",DATE(YEAR($A977),MONTH($A977),1))</f>
        <v/>
      </c>
    </row>
    <row r="978">
      <c r="A978" s="93" t="n"/>
      <c r="B978" s="95" t="n"/>
      <c r="C978" s="95" t="n"/>
      <c r="D978" s="94" t="n"/>
      <c r="E978" s="95" t="n"/>
      <c r="F978" s="98" t="n"/>
      <c r="G978" s="94" t="n"/>
      <c r="H978" s="94" t="n"/>
      <c r="I978" s="100">
        <f>IF($B978="","",IFERROR(INDEX(Setup!$B$99:$B$128,MATCH($B978,Setup!$A$99:$A$128,0)),"CHECK TYPE"))</f>
        <v/>
      </c>
      <c r="J978">
        <f>IF($A978="","",DATE(YEAR($A978),MONTH($A978),1))</f>
        <v/>
      </c>
    </row>
    <row r="979">
      <c r="A979" s="85" t="n"/>
      <c r="B979" s="87" t="n"/>
      <c r="C979" s="87" t="n"/>
      <c r="D979" s="86" t="n"/>
      <c r="E979" s="87" t="n"/>
      <c r="F979" s="91" t="n"/>
      <c r="G979" s="86" t="n"/>
      <c r="H979" s="86" t="n"/>
      <c r="I979" s="100">
        <f>IF($B979="","",IFERROR(INDEX(Setup!$B$99:$B$128,MATCH($B979,Setup!$A$99:$A$128,0)),"CHECK TYPE"))</f>
        <v/>
      </c>
      <c r="J979">
        <f>IF($A979="","",DATE(YEAR($A979),MONTH($A979),1))</f>
        <v/>
      </c>
    </row>
    <row r="980">
      <c r="A980" s="93" t="n"/>
      <c r="B980" s="95" t="n"/>
      <c r="C980" s="95" t="n"/>
      <c r="D980" s="94" t="n"/>
      <c r="E980" s="95" t="n"/>
      <c r="F980" s="98" t="n"/>
      <c r="G980" s="94" t="n"/>
      <c r="H980" s="94" t="n"/>
      <c r="I980" s="100">
        <f>IF($B980="","",IFERROR(INDEX(Setup!$B$99:$B$128,MATCH($B980,Setup!$A$99:$A$128,0)),"CHECK TYPE"))</f>
        <v/>
      </c>
      <c r="J980">
        <f>IF($A980="","",DATE(YEAR($A980),MONTH($A980),1))</f>
        <v/>
      </c>
    </row>
    <row r="981">
      <c r="A981" s="85" t="n"/>
      <c r="B981" s="87" t="n"/>
      <c r="C981" s="87" t="n"/>
      <c r="D981" s="86" t="n"/>
      <c r="E981" s="87" t="n"/>
      <c r="F981" s="91" t="n"/>
      <c r="G981" s="86" t="n"/>
      <c r="H981" s="86" t="n"/>
      <c r="I981" s="100">
        <f>IF($B981="","",IFERROR(INDEX(Setup!$B$99:$B$128,MATCH($B981,Setup!$A$99:$A$128,0)),"CHECK TYPE"))</f>
        <v/>
      </c>
      <c r="J981">
        <f>IF($A981="","",DATE(YEAR($A981),MONTH($A981),1))</f>
        <v/>
      </c>
    </row>
    <row r="982">
      <c r="A982" s="93" t="n"/>
      <c r="B982" s="95" t="n"/>
      <c r="C982" s="95" t="n"/>
      <c r="D982" s="94" t="n"/>
      <c r="E982" s="95" t="n"/>
      <c r="F982" s="98" t="n"/>
      <c r="G982" s="94" t="n"/>
      <c r="H982" s="94" t="n"/>
      <c r="I982" s="100">
        <f>IF($B982="","",IFERROR(INDEX(Setup!$B$99:$B$128,MATCH($B982,Setup!$A$99:$A$128,0)),"CHECK TYPE"))</f>
        <v/>
      </c>
      <c r="J982">
        <f>IF($A982="","",DATE(YEAR($A982),MONTH($A982),1))</f>
        <v/>
      </c>
    </row>
    <row r="983">
      <c r="A983" s="85" t="n"/>
      <c r="B983" s="87" t="n"/>
      <c r="C983" s="87" t="n"/>
      <c r="D983" s="86" t="n"/>
      <c r="E983" s="87" t="n"/>
      <c r="F983" s="91" t="n"/>
      <c r="G983" s="86" t="n"/>
      <c r="H983" s="86" t="n"/>
      <c r="I983" s="100">
        <f>IF($B983="","",IFERROR(INDEX(Setup!$B$99:$B$128,MATCH($B983,Setup!$A$99:$A$128,0)),"CHECK TYPE"))</f>
        <v/>
      </c>
      <c r="J983">
        <f>IF($A983="","",DATE(YEAR($A983),MONTH($A983),1))</f>
        <v/>
      </c>
    </row>
    <row r="984">
      <c r="A984" s="93" t="n"/>
      <c r="B984" s="95" t="n"/>
      <c r="C984" s="95" t="n"/>
      <c r="D984" s="94" t="n"/>
      <c r="E984" s="95" t="n"/>
      <c r="F984" s="98" t="n"/>
      <c r="G984" s="94" t="n"/>
      <c r="H984" s="94" t="n"/>
      <c r="I984" s="100">
        <f>IF($B984="","",IFERROR(INDEX(Setup!$B$99:$B$128,MATCH($B984,Setup!$A$99:$A$128,0)),"CHECK TYPE"))</f>
        <v/>
      </c>
      <c r="J984">
        <f>IF($A984="","",DATE(YEAR($A984),MONTH($A984),1))</f>
        <v/>
      </c>
    </row>
    <row r="985">
      <c r="A985" s="85" t="n"/>
      <c r="B985" s="87" t="n"/>
      <c r="C985" s="87" t="n"/>
      <c r="D985" s="86" t="n"/>
      <c r="E985" s="87" t="n"/>
      <c r="F985" s="91" t="n"/>
      <c r="G985" s="86" t="n"/>
      <c r="H985" s="86" t="n"/>
      <c r="I985" s="100">
        <f>IF($B985="","",IFERROR(INDEX(Setup!$B$99:$B$128,MATCH($B985,Setup!$A$99:$A$128,0)),"CHECK TYPE"))</f>
        <v/>
      </c>
      <c r="J985">
        <f>IF($A985="","",DATE(YEAR($A985),MONTH($A985),1))</f>
        <v/>
      </c>
    </row>
    <row r="986">
      <c r="A986" s="93" t="n"/>
      <c r="B986" s="95" t="n"/>
      <c r="C986" s="95" t="n"/>
      <c r="D986" s="94" t="n"/>
      <c r="E986" s="95" t="n"/>
      <c r="F986" s="98" t="n"/>
      <c r="G986" s="94" t="n"/>
      <c r="H986" s="94" t="n"/>
      <c r="I986" s="100">
        <f>IF($B986="","",IFERROR(INDEX(Setup!$B$99:$B$128,MATCH($B986,Setup!$A$99:$A$128,0)),"CHECK TYPE"))</f>
        <v/>
      </c>
      <c r="J986">
        <f>IF($A986="","",DATE(YEAR($A986),MONTH($A986),1))</f>
        <v/>
      </c>
    </row>
    <row r="987">
      <c r="A987" s="85" t="n"/>
      <c r="B987" s="87" t="n"/>
      <c r="C987" s="87" t="n"/>
      <c r="D987" s="86" t="n"/>
      <c r="E987" s="87" t="n"/>
      <c r="F987" s="91" t="n"/>
      <c r="G987" s="86" t="n"/>
      <c r="H987" s="86" t="n"/>
      <c r="I987" s="100">
        <f>IF($B987="","",IFERROR(INDEX(Setup!$B$99:$B$128,MATCH($B987,Setup!$A$99:$A$128,0)),"CHECK TYPE"))</f>
        <v/>
      </c>
      <c r="J987">
        <f>IF($A987="","",DATE(YEAR($A987),MONTH($A987),1))</f>
        <v/>
      </c>
    </row>
    <row r="988">
      <c r="A988" s="93" t="n"/>
      <c r="B988" s="95" t="n"/>
      <c r="C988" s="95" t="n"/>
      <c r="D988" s="94" t="n"/>
      <c r="E988" s="95" t="n"/>
      <c r="F988" s="98" t="n"/>
      <c r="G988" s="94" t="n"/>
      <c r="H988" s="94" t="n"/>
      <c r="I988" s="100">
        <f>IF($B988="","",IFERROR(INDEX(Setup!$B$99:$B$128,MATCH($B988,Setup!$A$99:$A$128,0)),"CHECK TYPE"))</f>
        <v/>
      </c>
      <c r="J988">
        <f>IF($A988="","",DATE(YEAR($A988),MONTH($A988),1))</f>
        <v/>
      </c>
    </row>
    <row r="989">
      <c r="A989" s="85" t="n"/>
      <c r="B989" s="87" t="n"/>
      <c r="C989" s="87" t="n"/>
      <c r="D989" s="86" t="n"/>
      <c r="E989" s="87" t="n"/>
      <c r="F989" s="91" t="n"/>
      <c r="G989" s="86" t="n"/>
      <c r="H989" s="86" t="n"/>
      <c r="I989" s="100">
        <f>IF($B989="","",IFERROR(INDEX(Setup!$B$99:$B$128,MATCH($B989,Setup!$A$99:$A$128,0)),"CHECK TYPE"))</f>
        <v/>
      </c>
      <c r="J989">
        <f>IF($A989="","",DATE(YEAR($A989),MONTH($A989),1))</f>
        <v/>
      </c>
    </row>
    <row r="990">
      <c r="A990" s="93" t="n"/>
      <c r="B990" s="95" t="n"/>
      <c r="C990" s="95" t="n"/>
      <c r="D990" s="94" t="n"/>
      <c r="E990" s="95" t="n"/>
      <c r="F990" s="98" t="n"/>
      <c r="G990" s="94" t="n"/>
      <c r="H990" s="94" t="n"/>
      <c r="I990" s="100">
        <f>IF($B990="","",IFERROR(INDEX(Setup!$B$99:$B$128,MATCH($B990,Setup!$A$99:$A$128,0)),"CHECK TYPE"))</f>
        <v/>
      </c>
      <c r="J990">
        <f>IF($A990="","",DATE(YEAR($A990),MONTH($A990),1))</f>
        <v/>
      </c>
    </row>
    <row r="991">
      <c r="A991" s="85" t="n"/>
      <c r="B991" s="87" t="n"/>
      <c r="C991" s="87" t="n"/>
      <c r="D991" s="86" t="n"/>
      <c r="E991" s="87" t="n"/>
      <c r="F991" s="91" t="n"/>
      <c r="G991" s="86" t="n"/>
      <c r="H991" s="86" t="n"/>
      <c r="I991" s="100">
        <f>IF($B991="","",IFERROR(INDEX(Setup!$B$99:$B$128,MATCH($B991,Setup!$A$99:$A$128,0)),"CHECK TYPE"))</f>
        <v/>
      </c>
      <c r="J991">
        <f>IF($A991="","",DATE(YEAR($A991),MONTH($A991),1))</f>
        <v/>
      </c>
    </row>
    <row r="992">
      <c r="A992" s="93" t="n"/>
      <c r="B992" s="95" t="n"/>
      <c r="C992" s="95" t="n"/>
      <c r="D992" s="94" t="n"/>
      <c r="E992" s="95" t="n"/>
      <c r="F992" s="98" t="n"/>
      <c r="G992" s="94" t="n"/>
      <c r="H992" s="94" t="n"/>
      <c r="I992" s="100">
        <f>IF($B992="","",IFERROR(INDEX(Setup!$B$99:$B$128,MATCH($B992,Setup!$A$99:$A$128,0)),"CHECK TYPE"))</f>
        <v/>
      </c>
      <c r="J992">
        <f>IF($A992="","",DATE(YEAR($A992),MONTH($A992),1))</f>
        <v/>
      </c>
    </row>
    <row r="993">
      <c r="A993" s="85" t="n"/>
      <c r="B993" s="87" t="n"/>
      <c r="C993" s="87" t="n"/>
      <c r="D993" s="86" t="n"/>
      <c r="E993" s="87" t="n"/>
      <c r="F993" s="91" t="n"/>
      <c r="G993" s="86" t="n"/>
      <c r="H993" s="86" t="n"/>
      <c r="I993" s="100">
        <f>IF($B993="","",IFERROR(INDEX(Setup!$B$99:$B$128,MATCH($B993,Setup!$A$99:$A$128,0)),"CHECK TYPE"))</f>
        <v/>
      </c>
      <c r="J993">
        <f>IF($A993="","",DATE(YEAR($A993),MONTH($A993),1))</f>
        <v/>
      </c>
    </row>
    <row r="994">
      <c r="A994" s="93" t="n"/>
      <c r="B994" s="95" t="n"/>
      <c r="C994" s="95" t="n"/>
      <c r="D994" s="94" t="n"/>
      <c r="E994" s="95" t="n"/>
      <c r="F994" s="98" t="n"/>
      <c r="G994" s="94" t="n"/>
      <c r="H994" s="94" t="n"/>
      <c r="I994" s="100">
        <f>IF($B994="","",IFERROR(INDEX(Setup!$B$99:$B$128,MATCH($B994,Setup!$A$99:$A$128,0)),"CHECK TYPE"))</f>
        <v/>
      </c>
      <c r="J994">
        <f>IF($A994="","",DATE(YEAR($A994),MONTH($A994),1))</f>
        <v/>
      </c>
    </row>
    <row r="995">
      <c r="A995" s="85" t="n"/>
      <c r="B995" s="87" t="n"/>
      <c r="C995" s="87" t="n"/>
      <c r="D995" s="86" t="n"/>
      <c r="E995" s="87" t="n"/>
      <c r="F995" s="91" t="n"/>
      <c r="G995" s="86" t="n"/>
      <c r="H995" s="86" t="n"/>
      <c r="I995" s="100">
        <f>IF($B995="","",IFERROR(INDEX(Setup!$B$99:$B$128,MATCH($B995,Setup!$A$99:$A$128,0)),"CHECK TYPE"))</f>
        <v/>
      </c>
      <c r="J995">
        <f>IF($A995="","",DATE(YEAR($A995),MONTH($A995),1))</f>
        <v/>
      </c>
    </row>
    <row r="996">
      <c r="A996" s="93" t="n"/>
      <c r="B996" s="95" t="n"/>
      <c r="C996" s="95" t="n"/>
      <c r="D996" s="94" t="n"/>
      <c r="E996" s="95" t="n"/>
      <c r="F996" s="98" t="n"/>
      <c r="G996" s="94" t="n"/>
      <c r="H996" s="94" t="n"/>
      <c r="I996" s="100">
        <f>IF($B996="","",IFERROR(INDEX(Setup!$B$99:$B$128,MATCH($B996,Setup!$A$99:$A$128,0)),"CHECK TYPE"))</f>
        <v/>
      </c>
      <c r="J996">
        <f>IF($A996="","",DATE(YEAR($A996),MONTH($A996),1))</f>
        <v/>
      </c>
    </row>
    <row r="997">
      <c r="A997" s="85" t="n"/>
      <c r="B997" s="87" t="n"/>
      <c r="C997" s="87" t="n"/>
      <c r="D997" s="86" t="n"/>
      <c r="E997" s="87" t="n"/>
      <c r="F997" s="91" t="n"/>
      <c r="G997" s="86" t="n"/>
      <c r="H997" s="86" t="n"/>
      <c r="I997" s="100">
        <f>IF($B997="","",IFERROR(INDEX(Setup!$B$99:$B$128,MATCH($B997,Setup!$A$99:$A$128,0)),"CHECK TYPE"))</f>
        <v/>
      </c>
      <c r="J997">
        <f>IF($A997="","",DATE(YEAR($A997),MONTH($A997),1))</f>
        <v/>
      </c>
    </row>
    <row r="998">
      <c r="A998" s="93" t="n"/>
      <c r="B998" s="95" t="n"/>
      <c r="C998" s="95" t="n"/>
      <c r="D998" s="94" t="n"/>
      <c r="E998" s="95" t="n"/>
      <c r="F998" s="98" t="n"/>
      <c r="G998" s="94" t="n"/>
      <c r="H998" s="94" t="n"/>
      <c r="I998" s="100">
        <f>IF($B998="","",IFERROR(INDEX(Setup!$B$99:$B$128,MATCH($B998,Setup!$A$99:$A$128,0)),"CHECK TYPE"))</f>
        <v/>
      </c>
      <c r="J998">
        <f>IF($A998="","",DATE(YEAR($A998),MONTH($A998),1))</f>
        <v/>
      </c>
    </row>
    <row r="999">
      <c r="A999" s="85" t="n"/>
      <c r="B999" s="87" t="n"/>
      <c r="C999" s="87" t="n"/>
      <c r="D999" s="86" t="n"/>
      <c r="E999" s="87" t="n"/>
      <c r="F999" s="91" t="n"/>
      <c r="G999" s="86" t="n"/>
      <c r="H999" s="86" t="n"/>
      <c r="I999" s="100">
        <f>IF($B999="","",IFERROR(INDEX(Setup!$B$99:$B$128,MATCH($B999,Setup!$A$99:$A$128,0)),"CHECK TYPE"))</f>
        <v/>
      </c>
      <c r="J999">
        <f>IF($A999="","",DATE(YEAR($A999),MONTH($A999),1))</f>
        <v/>
      </c>
    </row>
    <row r="1000">
      <c r="A1000" s="93" t="n"/>
      <c r="B1000" s="95" t="n"/>
      <c r="C1000" s="95" t="n"/>
      <c r="D1000" s="94" t="n"/>
      <c r="E1000" s="95" t="n"/>
      <c r="F1000" s="98" t="n"/>
      <c r="G1000" s="94" t="n"/>
      <c r="H1000" s="94" t="n"/>
      <c r="I1000" s="100">
        <f>IF($B1000="","",IFERROR(INDEX(Setup!$B$99:$B$128,MATCH($B1000,Setup!$A$99:$A$128,0)),"CHECK TYPE"))</f>
        <v/>
      </c>
      <c r="J1000">
        <f>IF($A1000="","",DATE(YEAR($A1000),MONTH($A1000),1))</f>
        <v/>
      </c>
    </row>
    <row r="1001">
      <c r="A1001" s="85" t="n"/>
      <c r="B1001" s="87" t="n"/>
      <c r="C1001" s="87" t="n"/>
      <c r="D1001" s="86" t="n"/>
      <c r="E1001" s="87" t="n"/>
      <c r="F1001" s="91" t="n"/>
      <c r="G1001" s="86" t="n"/>
      <c r="H1001" s="86" t="n"/>
      <c r="I1001" s="100">
        <f>IF($B1001="","",IFERROR(INDEX(Setup!$B$99:$B$128,MATCH($B1001,Setup!$A$99:$A$128,0)),"CHECK TYPE"))</f>
        <v/>
      </c>
      <c r="J1001">
        <f>IF($A1001="","",DATE(YEAR($A1001),MONTH($A1001),1))</f>
        <v/>
      </c>
    </row>
    <row r="1002">
      <c r="A1002" s="93" t="n"/>
      <c r="B1002" s="95" t="n"/>
      <c r="C1002" s="95" t="n"/>
      <c r="D1002" s="94" t="n"/>
      <c r="E1002" s="95" t="n"/>
      <c r="F1002" s="98" t="n"/>
      <c r="G1002" s="94" t="n"/>
      <c r="H1002" s="94" t="n"/>
      <c r="I1002" s="100">
        <f>IF($B1002="","",IFERROR(INDEX(Setup!$B$99:$B$128,MATCH($B1002,Setup!$A$99:$A$128,0)),"CHECK TYPE"))</f>
        <v/>
      </c>
      <c r="J1002">
        <f>IF($A1002="","",DATE(YEAR($A1002),MONTH($A1002),1))</f>
        <v/>
      </c>
    </row>
    <row r="1003">
      <c r="A1003" s="85" t="n"/>
      <c r="B1003" s="87" t="n"/>
      <c r="C1003" s="87" t="n"/>
      <c r="D1003" s="86" t="n"/>
      <c r="E1003" s="87" t="n"/>
      <c r="F1003" s="91" t="n"/>
      <c r="G1003" s="86" t="n"/>
      <c r="H1003" s="86" t="n"/>
      <c r="I1003" s="100">
        <f>IF($B1003="","",IFERROR(INDEX(Setup!$B$99:$B$128,MATCH($B1003,Setup!$A$99:$A$128,0)),"CHECK TYPE"))</f>
        <v/>
      </c>
      <c r="J1003">
        <f>IF($A1003="","",DATE(YEAR($A1003),MONTH($A1003),1))</f>
        <v/>
      </c>
    </row>
    <row r="1004">
      <c r="A1004" s="93" t="n"/>
      <c r="B1004" s="95" t="n"/>
      <c r="C1004" s="95" t="n"/>
      <c r="D1004" s="94" t="n"/>
      <c r="E1004" s="95" t="n"/>
      <c r="F1004" s="98" t="n"/>
      <c r="G1004" s="94" t="n"/>
      <c r="H1004" s="94" t="n"/>
      <c r="I1004" s="100">
        <f>IF($B1004="","",IFERROR(INDEX(Setup!$B$99:$B$128,MATCH($B1004,Setup!$A$99:$A$128,0)),"CHECK TYPE"))</f>
        <v/>
      </c>
      <c r="J1004">
        <f>IF($A1004="","",DATE(YEAR($A1004),MONTH($A1004),1))</f>
        <v/>
      </c>
    </row>
  </sheetData>
  <autoFilter ref="A4:I1004"/>
  <mergeCells count="2">
    <mergeCell ref="A1:I1"/>
    <mergeCell ref="A2:I2"/>
  </mergeCells>
  <conditionalFormatting sqref="I5:I1004">
    <cfRule type="expression" priority="1" dxfId="5">
      <formula>$I5="CHECK TYPE"</formula>
    </cfRule>
  </conditionalFormatting>
  <conditionalFormatting sqref="H5:H1004">
    <cfRule type="expression" priority="2" dxfId="7">
      <formula>$H5="N"</formula>
    </cfRule>
  </conditionalFormatting>
  <dataValidations count="5">
    <dataValidation sqref="B5:B1004" showDropDown="0" showInputMessage="1" showErrorMessage="1" allowBlank="1" errorTitle="Expense type" error="Pick a type from Setup → EXPENSE TYPES." promptTitle="Expense type" prompt="Pick a type from Setup → EXPENSE TYPES." type="list" errorStyle="warning">
      <formula1>=Setup!$A$99:$A$128</formula1>
    </dataValidation>
    <dataValidation sqref="D5:D1004" showDropDown="0" showInputMessage="1" showErrorMessage="1" allowBlank="1" errorTitle="Truck" error="Pick a truck, or leave blank for office costs." promptTitle="Truck" prompt="Pick a truck, or leave blank for office costs." type="list" errorStyle="warning">
      <formula1>=Setup!$A$63:$A$72</formula1>
    </dataValidation>
    <dataValidation sqref="G5:G1004" showDropDown="0" showInputMessage="1" showErrorMessage="1" allowBlank="1" errorTitle="Payment method" error="Pick a payment method." promptTitle="Payment method" prompt="Pick a payment method." type="list" errorStyle="warning">
      <formula1>=Setup!$A$168:$A$171</formula1>
    </dataValidation>
    <dataValidation sqref="H5:H1004" showDropDown="0" showInputMessage="1" showErrorMessage="1" allowBlank="1" errorTitle="Receipt" error="Y or N" promptTitle="Receipt" prompt="Y or N" type="list" errorStyle="warning">
      <formula1>"Y,N"</formula1>
    </dataValidation>
    <dataValidation sqref="F5:F1004" showDropDown="0" showInputMessage="1" showErrorMessage="1" allowBlank="1" errorTitle="Amount" error="Numbers only." promptTitle="Amount" prompt="Numbers only." type="decimal" errorStyle="warning" operator="greaterThanOrEqual">
      <formula1>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E6F42"/>
    <outlinePr summaryBelow="1" summaryRight="1"/>
    <pageSetUpPr/>
  </sheetPr>
  <dimension ref="A1:R343"/>
  <sheetViews>
    <sheetView showGridLines="0" workbookViewId="0">
      <pane ySplit="4" topLeftCell="A5" activePane="bottomLeft" state="frozen"/>
      <selection pane="bottomLeft" activeCell="A1" sqref="A1"/>
    </sheetView>
  </sheetViews>
  <sheetFormatPr baseColWidth="8" defaultRowHeight="15"/>
  <cols>
    <col width="20" customWidth="1" min="1" max="1"/>
    <col width="11" customWidth="1" min="2" max="2"/>
    <col width="8" customWidth="1" min="3" max="3"/>
    <col width="17" customWidth="1" min="4" max="4"/>
    <col width="14" customWidth="1" min="5" max="5"/>
    <col width="12" customWidth="1" min="6" max="6"/>
    <col width="12" customWidth="1" min="7" max="7"/>
    <col width="14" customWidth="1" min="8" max="8"/>
    <col width="14" customWidth="1" min="9" max="9"/>
    <col width="16" customWidth="1" min="10" max="10"/>
    <col width="17" customWidth="1" min="11" max="11"/>
    <col width="18" customWidth="1" min="12" max="12"/>
    <col width="2" customWidth="1" min="13" max="13"/>
    <col hidden="1" width="13" customWidth="1" min="18" max="18"/>
  </cols>
  <sheetData>
    <row r="1" ht="40" customHeight="1">
      <c r="A1" s="77" t="inlineStr">
        <is>
          <t>🚚  PAYROLL  —  automatic, per month, per crew member</t>
        </is>
      </c>
    </row>
    <row r="2" ht="20" customHeight="1">
      <c r="A2" s="78" t="inlineStr">
        <is>
          <t>Nothing to type here. Salary is computed from the driver/helper share on every trip; cash advances &amp; payouts are picked up from the Expenses sheet.</t>
        </is>
      </c>
    </row>
    <row r="4" ht="38" customHeight="1">
      <c r="A4" s="101" t="inlineStr">
        <is>
          <t>CREW NAME</t>
        </is>
      </c>
      <c r="B4" s="101" t="inlineStr">
        <is>
          <t>ROLE</t>
        </is>
      </c>
      <c r="C4" s="101" t="inlineStr">
        <is>
          <t>TRIPS</t>
        </is>
      </c>
      <c r="D4" s="101" t="inlineStr">
        <is>
          <t>GROSS FEE HANDLED</t>
        </is>
      </c>
      <c r="E4" s="101" t="inlineStr">
        <is>
          <t>SHARE EARNED</t>
        </is>
      </c>
      <c r="F4" s="101" t="inlineStr">
        <is>
          <t>ALLOWANCE</t>
        </is>
      </c>
      <c r="G4" s="101" t="inlineStr">
        <is>
          <t>REIMBURSED</t>
        </is>
      </c>
      <c r="H4" s="101" t="inlineStr">
        <is>
          <t>TOTAL EARNED</t>
        </is>
      </c>
      <c r="I4" s="101" t="inlineStr">
        <is>
          <t>CASH ADVANCE</t>
        </is>
      </c>
      <c r="J4" s="101" t="inlineStr">
        <is>
          <t>PAYOUT RELEASED</t>
        </is>
      </c>
      <c r="K4" s="101" t="inlineStr">
        <is>
          <t>BALANCE
(to pay / owes)</t>
        </is>
      </c>
      <c r="L4" s="101" t="inlineStr">
        <is>
          <t>STATUS</t>
        </is>
      </c>
    </row>
    <row r="5" ht="24" customHeight="1">
      <c r="A5" s="102" t="inlineStr">
        <is>
          <t>JANUARY 2026   ·   crew earnings &amp; settlement</t>
        </is>
      </c>
    </row>
    <row r="6">
      <c r="A6" s="103">
        <f>IF(Setup!$A76="","",Setup!$A76)</f>
        <v/>
      </c>
      <c r="B6" s="104">
        <f>IF($A6="","",Setup!$B76)</f>
        <v/>
      </c>
      <c r="C6" s="105">
        <f>IF($A6="","",IF(COUNTIFS(Trips!$Z5:$Z1004,$R6,Trips!$D5:$D1004,$A6)+COUNTIFS(Trips!$Z5:$Z1004,$R6,Trips!$E5:$E1004,$A6)=0,"",COUNTIFS(Trips!$Z5:$Z1004,$R6,Trips!$D5:$D1004,$A6)+COUNTIFS(Trips!$Z5:$Z1004,$R6,Trips!$E5:$E1004,$A6)))</f>
        <v/>
      </c>
      <c r="D6" s="106">
        <f>IF($C6="","",SUMIFS(Trips!$K5:$K1004,Trips!$Z5:$Z1004,$R6,Trips!$D5:$D1004,$A6)+SUMIFS(Trips!$K5:$K1004,Trips!$Z5:$Z1004,$R6,Trips!$E5:$E1004,$A6))</f>
        <v/>
      </c>
      <c r="E6" s="107">
        <f>IF($C6="","",SUMIFS(Trips!$N5:$N1004,Trips!$Z5:$Z1004,$R6,Trips!$D5:$D1004,$A6)+SUMIFS(Trips!$O5:$O1004,Trips!$Z5:$Z1004,$R6,Trips!$E5:$E1004,$A6))</f>
        <v/>
      </c>
      <c r="F6" s="108">
        <f>IF($C6="","",SUMIFS(Trips!$P5:$P1004,Trips!$Z5:$Z1004,$R6,Trips!$D5:$D1004,$A6))</f>
        <v/>
      </c>
      <c r="G6" s="108">
        <f>IF($C6="","",SUMIFS(Trips!$Q5:$Q1004,Trips!$Z5:$Z1004,$R6,Trips!$D5:$D1004,$A6))</f>
        <v/>
      </c>
      <c r="H6" s="107">
        <f>IF(AND($C6="",$I6="",$J6=""),"",N($E6)+N($F6)+N($G6))</f>
        <v/>
      </c>
      <c r="I6" s="108">
        <f>IF($A6="","",IFERROR(1/(1/SUMIFS(Expenses!$F5:$F1004,Expenses!$B5:$B1004,"Cash Advance",Expenses!$J5:$J1004,$R6,Expenses!$E5:$E1004,$A6)),""))</f>
        <v/>
      </c>
      <c r="J6" s="108">
        <f>IF($A6="","",IFERROR(1/(1/SUMIFS(Expenses!$F5:$F1004,Expenses!$B5:$B1004,"Payroll Payout",Expenses!$J5:$J1004,$R6,Expenses!$E5:$E1004,$A6)),""))</f>
        <v/>
      </c>
      <c r="K6" s="109">
        <f>IF($H6="","",N($H6)-N($I6)-N($J6))</f>
        <v/>
      </c>
      <c r="L6" s="110">
        <f>IF($K6="","",IF($K6&gt;0.5,"TO PAY",IF($K6&lt;-0.5,"ADVANCE / OWES","SETTLED")))</f>
        <v/>
      </c>
      <c r="R6" s="111" t="n">
        <v>46023</v>
      </c>
    </row>
    <row r="7">
      <c r="A7" s="103">
        <f>IF(Setup!$A77="","",Setup!$A77)</f>
        <v/>
      </c>
      <c r="B7" s="104">
        <f>IF($A7="","",Setup!$B77)</f>
        <v/>
      </c>
      <c r="C7" s="105">
        <f>IF($A7="","",IF(COUNTIFS(Trips!$Z5:$Z1004,$R7,Trips!$D5:$D1004,$A7)+COUNTIFS(Trips!$Z5:$Z1004,$R7,Trips!$E5:$E1004,$A7)=0,"",COUNTIFS(Trips!$Z5:$Z1004,$R7,Trips!$D5:$D1004,$A7)+COUNTIFS(Trips!$Z5:$Z1004,$R7,Trips!$E5:$E1004,$A7)))</f>
        <v/>
      </c>
      <c r="D7" s="106">
        <f>IF($C7="","",SUMIFS(Trips!$K5:$K1004,Trips!$Z5:$Z1004,$R7,Trips!$D5:$D1004,$A7)+SUMIFS(Trips!$K5:$K1004,Trips!$Z5:$Z1004,$R7,Trips!$E5:$E1004,$A7))</f>
        <v/>
      </c>
      <c r="E7" s="107">
        <f>IF($C7="","",SUMIFS(Trips!$N5:$N1004,Trips!$Z5:$Z1004,$R7,Trips!$D5:$D1004,$A7)+SUMIFS(Trips!$O5:$O1004,Trips!$Z5:$Z1004,$R7,Trips!$E5:$E1004,$A7))</f>
        <v/>
      </c>
      <c r="F7" s="108">
        <f>IF($C7="","",SUMIFS(Trips!$P5:$P1004,Trips!$Z5:$Z1004,$R7,Trips!$D5:$D1004,$A7))</f>
        <v/>
      </c>
      <c r="G7" s="108">
        <f>IF($C7="","",SUMIFS(Trips!$Q5:$Q1004,Trips!$Z5:$Z1004,$R7,Trips!$D5:$D1004,$A7))</f>
        <v/>
      </c>
      <c r="H7" s="107">
        <f>IF(AND($C7="",$I7="",$J7=""),"",N($E7)+N($F7)+N($G7))</f>
        <v/>
      </c>
      <c r="I7" s="108">
        <f>IF($A7="","",IFERROR(1/(1/SUMIFS(Expenses!$F5:$F1004,Expenses!$B5:$B1004,"Cash Advance",Expenses!$J5:$J1004,$R7,Expenses!$E5:$E1004,$A7)),""))</f>
        <v/>
      </c>
      <c r="J7" s="108">
        <f>IF($A7="","",IFERROR(1/(1/SUMIFS(Expenses!$F5:$F1004,Expenses!$B5:$B1004,"Payroll Payout",Expenses!$J5:$J1004,$R7,Expenses!$E5:$E1004,$A7)),""))</f>
        <v/>
      </c>
      <c r="K7" s="109">
        <f>IF($H7="","",N($H7)-N($I7)-N($J7))</f>
        <v/>
      </c>
      <c r="L7" s="110">
        <f>IF($K7="","",IF($K7&gt;0.5,"TO PAY",IF($K7&lt;-0.5,"ADVANCE / OWES","SETTLED")))</f>
        <v/>
      </c>
      <c r="R7" s="111" t="n">
        <v>46023</v>
      </c>
    </row>
    <row r="8">
      <c r="A8" s="103">
        <f>IF(Setup!$A78="","",Setup!$A78)</f>
        <v/>
      </c>
      <c r="B8" s="104">
        <f>IF($A8="","",Setup!$B78)</f>
        <v/>
      </c>
      <c r="C8" s="105">
        <f>IF($A8="","",IF(COUNTIFS(Trips!$Z5:$Z1004,$R8,Trips!$D5:$D1004,$A8)+COUNTIFS(Trips!$Z5:$Z1004,$R8,Trips!$E5:$E1004,$A8)=0,"",COUNTIFS(Trips!$Z5:$Z1004,$R8,Trips!$D5:$D1004,$A8)+COUNTIFS(Trips!$Z5:$Z1004,$R8,Trips!$E5:$E1004,$A8)))</f>
        <v/>
      </c>
      <c r="D8" s="106">
        <f>IF($C8="","",SUMIFS(Trips!$K5:$K1004,Trips!$Z5:$Z1004,$R8,Trips!$D5:$D1004,$A8)+SUMIFS(Trips!$K5:$K1004,Trips!$Z5:$Z1004,$R8,Trips!$E5:$E1004,$A8))</f>
        <v/>
      </c>
      <c r="E8" s="107">
        <f>IF($C8="","",SUMIFS(Trips!$N5:$N1004,Trips!$Z5:$Z1004,$R8,Trips!$D5:$D1004,$A8)+SUMIFS(Trips!$O5:$O1004,Trips!$Z5:$Z1004,$R8,Trips!$E5:$E1004,$A8))</f>
        <v/>
      </c>
      <c r="F8" s="108">
        <f>IF($C8="","",SUMIFS(Trips!$P5:$P1004,Trips!$Z5:$Z1004,$R8,Trips!$D5:$D1004,$A8))</f>
        <v/>
      </c>
      <c r="G8" s="108">
        <f>IF($C8="","",SUMIFS(Trips!$Q5:$Q1004,Trips!$Z5:$Z1004,$R8,Trips!$D5:$D1004,$A8))</f>
        <v/>
      </c>
      <c r="H8" s="107">
        <f>IF(AND($C8="",$I8="",$J8=""),"",N($E8)+N($F8)+N($G8))</f>
        <v/>
      </c>
      <c r="I8" s="108">
        <f>IF($A8="","",IFERROR(1/(1/SUMIFS(Expenses!$F5:$F1004,Expenses!$B5:$B1004,"Cash Advance",Expenses!$J5:$J1004,$R8,Expenses!$E5:$E1004,$A8)),""))</f>
        <v/>
      </c>
      <c r="J8" s="108">
        <f>IF($A8="","",IFERROR(1/(1/SUMIFS(Expenses!$F5:$F1004,Expenses!$B5:$B1004,"Payroll Payout",Expenses!$J5:$J1004,$R8,Expenses!$E5:$E1004,$A8)),""))</f>
        <v/>
      </c>
      <c r="K8" s="109">
        <f>IF($H8="","",N($H8)-N($I8)-N($J8))</f>
        <v/>
      </c>
      <c r="L8" s="110">
        <f>IF($K8="","",IF($K8&gt;0.5,"TO PAY",IF($K8&lt;-0.5,"ADVANCE / OWES","SETTLED")))</f>
        <v/>
      </c>
      <c r="R8" s="111" t="n">
        <v>46023</v>
      </c>
    </row>
    <row r="9">
      <c r="A9" s="103">
        <f>IF(Setup!$A79="","",Setup!$A79)</f>
        <v/>
      </c>
      <c r="B9" s="104">
        <f>IF($A9="","",Setup!$B79)</f>
        <v/>
      </c>
      <c r="C9" s="105">
        <f>IF($A9="","",IF(COUNTIFS(Trips!$Z5:$Z1004,$R9,Trips!$D5:$D1004,$A9)+COUNTIFS(Trips!$Z5:$Z1004,$R9,Trips!$E5:$E1004,$A9)=0,"",COUNTIFS(Trips!$Z5:$Z1004,$R9,Trips!$D5:$D1004,$A9)+COUNTIFS(Trips!$Z5:$Z1004,$R9,Trips!$E5:$E1004,$A9)))</f>
        <v/>
      </c>
      <c r="D9" s="106">
        <f>IF($C9="","",SUMIFS(Trips!$K5:$K1004,Trips!$Z5:$Z1004,$R9,Trips!$D5:$D1004,$A9)+SUMIFS(Trips!$K5:$K1004,Trips!$Z5:$Z1004,$R9,Trips!$E5:$E1004,$A9))</f>
        <v/>
      </c>
      <c r="E9" s="107">
        <f>IF($C9="","",SUMIFS(Trips!$N5:$N1004,Trips!$Z5:$Z1004,$R9,Trips!$D5:$D1004,$A9)+SUMIFS(Trips!$O5:$O1004,Trips!$Z5:$Z1004,$R9,Trips!$E5:$E1004,$A9))</f>
        <v/>
      </c>
      <c r="F9" s="108">
        <f>IF($C9="","",SUMIFS(Trips!$P5:$P1004,Trips!$Z5:$Z1004,$R9,Trips!$D5:$D1004,$A9))</f>
        <v/>
      </c>
      <c r="G9" s="108">
        <f>IF($C9="","",SUMIFS(Trips!$Q5:$Q1004,Trips!$Z5:$Z1004,$R9,Trips!$D5:$D1004,$A9))</f>
        <v/>
      </c>
      <c r="H9" s="107">
        <f>IF(AND($C9="",$I9="",$J9=""),"",N($E9)+N($F9)+N($G9))</f>
        <v/>
      </c>
      <c r="I9" s="108">
        <f>IF($A9="","",IFERROR(1/(1/SUMIFS(Expenses!$F5:$F1004,Expenses!$B5:$B1004,"Cash Advance",Expenses!$J5:$J1004,$R9,Expenses!$E5:$E1004,$A9)),""))</f>
        <v/>
      </c>
      <c r="J9" s="108">
        <f>IF($A9="","",IFERROR(1/(1/SUMIFS(Expenses!$F5:$F1004,Expenses!$B5:$B1004,"Payroll Payout",Expenses!$J5:$J1004,$R9,Expenses!$E5:$E1004,$A9)),""))</f>
        <v/>
      </c>
      <c r="K9" s="109">
        <f>IF($H9="","",N($H9)-N($I9)-N($J9))</f>
        <v/>
      </c>
      <c r="L9" s="110">
        <f>IF($K9="","",IF($K9&gt;0.5,"TO PAY",IF($K9&lt;-0.5,"ADVANCE / OWES","SETTLED")))</f>
        <v/>
      </c>
      <c r="R9" s="111" t="n">
        <v>46023</v>
      </c>
    </row>
    <row r="10">
      <c r="A10" s="103">
        <f>IF(Setup!$A80="","",Setup!$A80)</f>
        <v/>
      </c>
      <c r="B10" s="104">
        <f>IF($A10="","",Setup!$B80)</f>
        <v/>
      </c>
      <c r="C10" s="105">
        <f>IF($A10="","",IF(COUNTIFS(Trips!$Z5:$Z1004,$R10,Trips!$D5:$D1004,$A10)+COUNTIFS(Trips!$Z5:$Z1004,$R10,Trips!$E5:$E1004,$A10)=0,"",COUNTIFS(Trips!$Z5:$Z1004,$R10,Trips!$D5:$D1004,$A10)+COUNTIFS(Trips!$Z5:$Z1004,$R10,Trips!$E5:$E1004,$A10)))</f>
        <v/>
      </c>
      <c r="D10" s="106">
        <f>IF($C10="","",SUMIFS(Trips!$K5:$K1004,Trips!$Z5:$Z1004,$R10,Trips!$D5:$D1004,$A10)+SUMIFS(Trips!$K5:$K1004,Trips!$Z5:$Z1004,$R10,Trips!$E5:$E1004,$A10))</f>
        <v/>
      </c>
      <c r="E10" s="107">
        <f>IF($C10="","",SUMIFS(Trips!$N5:$N1004,Trips!$Z5:$Z1004,$R10,Trips!$D5:$D1004,$A10)+SUMIFS(Trips!$O5:$O1004,Trips!$Z5:$Z1004,$R10,Trips!$E5:$E1004,$A10))</f>
        <v/>
      </c>
      <c r="F10" s="108">
        <f>IF($C10="","",SUMIFS(Trips!$P5:$P1004,Trips!$Z5:$Z1004,$R10,Trips!$D5:$D1004,$A10))</f>
        <v/>
      </c>
      <c r="G10" s="108">
        <f>IF($C10="","",SUMIFS(Trips!$Q5:$Q1004,Trips!$Z5:$Z1004,$R10,Trips!$D5:$D1004,$A10))</f>
        <v/>
      </c>
      <c r="H10" s="107">
        <f>IF(AND($C10="",$I10="",$J10=""),"",N($E10)+N($F10)+N($G10))</f>
        <v/>
      </c>
      <c r="I10" s="108">
        <f>IF($A10="","",IFERROR(1/(1/SUMIFS(Expenses!$F5:$F1004,Expenses!$B5:$B1004,"Cash Advance",Expenses!$J5:$J1004,$R10,Expenses!$E5:$E1004,$A10)),""))</f>
        <v/>
      </c>
      <c r="J10" s="108">
        <f>IF($A10="","",IFERROR(1/(1/SUMIFS(Expenses!$F5:$F1004,Expenses!$B5:$B1004,"Payroll Payout",Expenses!$J5:$J1004,$R10,Expenses!$E5:$E1004,$A10)),""))</f>
        <v/>
      </c>
      <c r="K10" s="109">
        <f>IF($H10="","",N($H10)-N($I10)-N($J10))</f>
        <v/>
      </c>
      <c r="L10" s="110">
        <f>IF($K10="","",IF($K10&gt;0.5,"TO PAY",IF($K10&lt;-0.5,"ADVANCE / OWES","SETTLED")))</f>
        <v/>
      </c>
      <c r="R10" s="111" t="n">
        <v>46023</v>
      </c>
    </row>
    <row r="11">
      <c r="A11" s="103">
        <f>IF(Setup!$A81="","",Setup!$A81)</f>
        <v/>
      </c>
      <c r="B11" s="104">
        <f>IF($A11="","",Setup!$B81)</f>
        <v/>
      </c>
      <c r="C11" s="105">
        <f>IF($A11="","",IF(COUNTIFS(Trips!$Z5:$Z1004,$R11,Trips!$D5:$D1004,$A11)+COUNTIFS(Trips!$Z5:$Z1004,$R11,Trips!$E5:$E1004,$A11)=0,"",COUNTIFS(Trips!$Z5:$Z1004,$R11,Trips!$D5:$D1004,$A11)+COUNTIFS(Trips!$Z5:$Z1004,$R11,Trips!$E5:$E1004,$A11)))</f>
        <v/>
      </c>
      <c r="D11" s="106">
        <f>IF($C11="","",SUMIFS(Trips!$K5:$K1004,Trips!$Z5:$Z1004,$R11,Trips!$D5:$D1004,$A11)+SUMIFS(Trips!$K5:$K1004,Trips!$Z5:$Z1004,$R11,Trips!$E5:$E1004,$A11))</f>
        <v/>
      </c>
      <c r="E11" s="107">
        <f>IF($C11="","",SUMIFS(Trips!$N5:$N1004,Trips!$Z5:$Z1004,$R11,Trips!$D5:$D1004,$A11)+SUMIFS(Trips!$O5:$O1004,Trips!$Z5:$Z1004,$R11,Trips!$E5:$E1004,$A11))</f>
        <v/>
      </c>
      <c r="F11" s="108">
        <f>IF($C11="","",SUMIFS(Trips!$P5:$P1004,Trips!$Z5:$Z1004,$R11,Trips!$D5:$D1004,$A11))</f>
        <v/>
      </c>
      <c r="G11" s="108">
        <f>IF($C11="","",SUMIFS(Trips!$Q5:$Q1004,Trips!$Z5:$Z1004,$R11,Trips!$D5:$D1004,$A11))</f>
        <v/>
      </c>
      <c r="H11" s="107">
        <f>IF(AND($C11="",$I11="",$J11=""),"",N($E11)+N($F11)+N($G11))</f>
        <v/>
      </c>
      <c r="I11" s="108">
        <f>IF($A11="","",IFERROR(1/(1/SUMIFS(Expenses!$F5:$F1004,Expenses!$B5:$B1004,"Cash Advance",Expenses!$J5:$J1004,$R11,Expenses!$E5:$E1004,$A11)),""))</f>
        <v/>
      </c>
      <c r="J11" s="108">
        <f>IF($A11="","",IFERROR(1/(1/SUMIFS(Expenses!$F5:$F1004,Expenses!$B5:$B1004,"Payroll Payout",Expenses!$J5:$J1004,$R11,Expenses!$E5:$E1004,$A11)),""))</f>
        <v/>
      </c>
      <c r="K11" s="109">
        <f>IF($H11="","",N($H11)-N($I11)-N($J11))</f>
        <v/>
      </c>
      <c r="L11" s="110">
        <f>IF($K11="","",IF($K11&gt;0.5,"TO PAY",IF($K11&lt;-0.5,"ADVANCE / OWES","SETTLED")))</f>
        <v/>
      </c>
      <c r="R11" s="111" t="n">
        <v>46023</v>
      </c>
    </row>
    <row r="12">
      <c r="A12" s="103">
        <f>IF(Setup!$A82="","",Setup!$A82)</f>
        <v/>
      </c>
      <c r="B12" s="104">
        <f>IF($A12="","",Setup!$B82)</f>
        <v/>
      </c>
      <c r="C12" s="105">
        <f>IF($A12="","",IF(COUNTIFS(Trips!$Z5:$Z1004,$R12,Trips!$D5:$D1004,$A12)+COUNTIFS(Trips!$Z5:$Z1004,$R12,Trips!$E5:$E1004,$A12)=0,"",COUNTIFS(Trips!$Z5:$Z1004,$R12,Trips!$D5:$D1004,$A12)+COUNTIFS(Trips!$Z5:$Z1004,$R12,Trips!$E5:$E1004,$A12)))</f>
        <v/>
      </c>
      <c r="D12" s="106">
        <f>IF($C12="","",SUMIFS(Trips!$K5:$K1004,Trips!$Z5:$Z1004,$R12,Trips!$D5:$D1004,$A12)+SUMIFS(Trips!$K5:$K1004,Trips!$Z5:$Z1004,$R12,Trips!$E5:$E1004,$A12))</f>
        <v/>
      </c>
      <c r="E12" s="107">
        <f>IF($C12="","",SUMIFS(Trips!$N5:$N1004,Trips!$Z5:$Z1004,$R12,Trips!$D5:$D1004,$A12)+SUMIFS(Trips!$O5:$O1004,Trips!$Z5:$Z1004,$R12,Trips!$E5:$E1004,$A12))</f>
        <v/>
      </c>
      <c r="F12" s="108">
        <f>IF($C12="","",SUMIFS(Trips!$P5:$P1004,Trips!$Z5:$Z1004,$R12,Trips!$D5:$D1004,$A12))</f>
        <v/>
      </c>
      <c r="G12" s="108">
        <f>IF($C12="","",SUMIFS(Trips!$Q5:$Q1004,Trips!$Z5:$Z1004,$R12,Trips!$D5:$D1004,$A12))</f>
        <v/>
      </c>
      <c r="H12" s="107">
        <f>IF(AND($C12="",$I12="",$J12=""),"",N($E12)+N($F12)+N($G12))</f>
        <v/>
      </c>
      <c r="I12" s="108">
        <f>IF($A12="","",IFERROR(1/(1/SUMIFS(Expenses!$F5:$F1004,Expenses!$B5:$B1004,"Cash Advance",Expenses!$J5:$J1004,$R12,Expenses!$E5:$E1004,$A12)),""))</f>
        <v/>
      </c>
      <c r="J12" s="108">
        <f>IF($A12="","",IFERROR(1/(1/SUMIFS(Expenses!$F5:$F1004,Expenses!$B5:$B1004,"Payroll Payout",Expenses!$J5:$J1004,$R12,Expenses!$E5:$E1004,$A12)),""))</f>
        <v/>
      </c>
      <c r="K12" s="109">
        <f>IF($H12="","",N($H12)-N($I12)-N($J12))</f>
        <v/>
      </c>
      <c r="L12" s="110">
        <f>IF($K12="","",IF($K12&gt;0.5,"TO PAY",IF($K12&lt;-0.5,"ADVANCE / OWES","SETTLED")))</f>
        <v/>
      </c>
      <c r="R12" s="111" t="n">
        <v>46023</v>
      </c>
    </row>
    <row r="13">
      <c r="A13" s="103">
        <f>IF(Setup!$A83="","",Setup!$A83)</f>
        <v/>
      </c>
      <c r="B13" s="104">
        <f>IF($A13="","",Setup!$B83)</f>
        <v/>
      </c>
      <c r="C13" s="105">
        <f>IF($A13="","",IF(COUNTIFS(Trips!$Z5:$Z1004,$R13,Trips!$D5:$D1004,$A13)+COUNTIFS(Trips!$Z5:$Z1004,$R13,Trips!$E5:$E1004,$A13)=0,"",COUNTIFS(Trips!$Z5:$Z1004,$R13,Trips!$D5:$D1004,$A13)+COUNTIFS(Trips!$Z5:$Z1004,$R13,Trips!$E5:$E1004,$A13)))</f>
        <v/>
      </c>
      <c r="D13" s="106">
        <f>IF($C13="","",SUMIFS(Trips!$K5:$K1004,Trips!$Z5:$Z1004,$R13,Trips!$D5:$D1004,$A13)+SUMIFS(Trips!$K5:$K1004,Trips!$Z5:$Z1004,$R13,Trips!$E5:$E1004,$A13))</f>
        <v/>
      </c>
      <c r="E13" s="107">
        <f>IF($C13="","",SUMIFS(Trips!$N5:$N1004,Trips!$Z5:$Z1004,$R13,Trips!$D5:$D1004,$A13)+SUMIFS(Trips!$O5:$O1004,Trips!$Z5:$Z1004,$R13,Trips!$E5:$E1004,$A13))</f>
        <v/>
      </c>
      <c r="F13" s="108">
        <f>IF($C13="","",SUMIFS(Trips!$P5:$P1004,Trips!$Z5:$Z1004,$R13,Trips!$D5:$D1004,$A13))</f>
        <v/>
      </c>
      <c r="G13" s="108">
        <f>IF($C13="","",SUMIFS(Trips!$Q5:$Q1004,Trips!$Z5:$Z1004,$R13,Trips!$D5:$D1004,$A13))</f>
        <v/>
      </c>
      <c r="H13" s="107">
        <f>IF(AND($C13="",$I13="",$J13=""),"",N($E13)+N($F13)+N($G13))</f>
        <v/>
      </c>
      <c r="I13" s="108">
        <f>IF($A13="","",IFERROR(1/(1/SUMIFS(Expenses!$F5:$F1004,Expenses!$B5:$B1004,"Cash Advance",Expenses!$J5:$J1004,$R13,Expenses!$E5:$E1004,$A13)),""))</f>
        <v/>
      </c>
      <c r="J13" s="108">
        <f>IF($A13="","",IFERROR(1/(1/SUMIFS(Expenses!$F5:$F1004,Expenses!$B5:$B1004,"Payroll Payout",Expenses!$J5:$J1004,$R13,Expenses!$E5:$E1004,$A13)),""))</f>
        <v/>
      </c>
      <c r="K13" s="109">
        <f>IF($H13="","",N($H13)-N($I13)-N($J13))</f>
        <v/>
      </c>
      <c r="L13" s="110">
        <f>IF($K13="","",IF($K13&gt;0.5,"TO PAY",IF($K13&lt;-0.5,"ADVANCE / OWES","SETTLED")))</f>
        <v/>
      </c>
      <c r="R13" s="111" t="n">
        <v>46023</v>
      </c>
    </row>
    <row r="14">
      <c r="A14" s="103">
        <f>IF(Setup!$A84="","",Setup!$A84)</f>
        <v/>
      </c>
      <c r="B14" s="104">
        <f>IF($A14="","",Setup!$B84)</f>
        <v/>
      </c>
      <c r="C14" s="105">
        <f>IF($A14="","",IF(COUNTIFS(Trips!$Z5:$Z1004,$R14,Trips!$D5:$D1004,$A14)+COUNTIFS(Trips!$Z5:$Z1004,$R14,Trips!$E5:$E1004,$A14)=0,"",COUNTIFS(Trips!$Z5:$Z1004,$R14,Trips!$D5:$D1004,$A14)+COUNTIFS(Trips!$Z5:$Z1004,$R14,Trips!$E5:$E1004,$A14)))</f>
        <v/>
      </c>
      <c r="D14" s="106">
        <f>IF($C14="","",SUMIFS(Trips!$K5:$K1004,Trips!$Z5:$Z1004,$R14,Trips!$D5:$D1004,$A14)+SUMIFS(Trips!$K5:$K1004,Trips!$Z5:$Z1004,$R14,Trips!$E5:$E1004,$A14))</f>
        <v/>
      </c>
      <c r="E14" s="107">
        <f>IF($C14="","",SUMIFS(Trips!$N5:$N1004,Trips!$Z5:$Z1004,$R14,Trips!$D5:$D1004,$A14)+SUMIFS(Trips!$O5:$O1004,Trips!$Z5:$Z1004,$R14,Trips!$E5:$E1004,$A14))</f>
        <v/>
      </c>
      <c r="F14" s="108">
        <f>IF($C14="","",SUMIFS(Trips!$P5:$P1004,Trips!$Z5:$Z1004,$R14,Trips!$D5:$D1004,$A14))</f>
        <v/>
      </c>
      <c r="G14" s="108">
        <f>IF($C14="","",SUMIFS(Trips!$Q5:$Q1004,Trips!$Z5:$Z1004,$R14,Trips!$D5:$D1004,$A14))</f>
        <v/>
      </c>
      <c r="H14" s="107">
        <f>IF(AND($C14="",$I14="",$J14=""),"",N($E14)+N($F14)+N($G14))</f>
        <v/>
      </c>
      <c r="I14" s="108">
        <f>IF($A14="","",IFERROR(1/(1/SUMIFS(Expenses!$F5:$F1004,Expenses!$B5:$B1004,"Cash Advance",Expenses!$J5:$J1004,$R14,Expenses!$E5:$E1004,$A14)),""))</f>
        <v/>
      </c>
      <c r="J14" s="108">
        <f>IF($A14="","",IFERROR(1/(1/SUMIFS(Expenses!$F5:$F1004,Expenses!$B5:$B1004,"Payroll Payout",Expenses!$J5:$J1004,$R14,Expenses!$E5:$E1004,$A14)),""))</f>
        <v/>
      </c>
      <c r="K14" s="109">
        <f>IF($H14="","",N($H14)-N($I14)-N($J14))</f>
        <v/>
      </c>
      <c r="L14" s="110">
        <f>IF($K14="","",IF($K14&gt;0.5,"TO PAY",IF($K14&lt;-0.5,"ADVANCE / OWES","SETTLED")))</f>
        <v/>
      </c>
      <c r="R14" s="111" t="n">
        <v>46023</v>
      </c>
    </row>
    <row r="15">
      <c r="A15" s="103">
        <f>IF(Setup!$A85="","",Setup!$A85)</f>
        <v/>
      </c>
      <c r="B15" s="104">
        <f>IF($A15="","",Setup!$B85)</f>
        <v/>
      </c>
      <c r="C15" s="105">
        <f>IF($A15="","",IF(COUNTIFS(Trips!$Z5:$Z1004,$R15,Trips!$D5:$D1004,$A15)+COUNTIFS(Trips!$Z5:$Z1004,$R15,Trips!$E5:$E1004,$A15)=0,"",COUNTIFS(Trips!$Z5:$Z1004,$R15,Trips!$D5:$D1004,$A15)+COUNTIFS(Trips!$Z5:$Z1004,$R15,Trips!$E5:$E1004,$A15)))</f>
        <v/>
      </c>
      <c r="D15" s="106">
        <f>IF($C15="","",SUMIFS(Trips!$K5:$K1004,Trips!$Z5:$Z1004,$R15,Trips!$D5:$D1004,$A15)+SUMIFS(Trips!$K5:$K1004,Trips!$Z5:$Z1004,$R15,Trips!$E5:$E1004,$A15))</f>
        <v/>
      </c>
      <c r="E15" s="107">
        <f>IF($C15="","",SUMIFS(Trips!$N5:$N1004,Trips!$Z5:$Z1004,$R15,Trips!$D5:$D1004,$A15)+SUMIFS(Trips!$O5:$O1004,Trips!$Z5:$Z1004,$R15,Trips!$E5:$E1004,$A15))</f>
        <v/>
      </c>
      <c r="F15" s="108">
        <f>IF($C15="","",SUMIFS(Trips!$P5:$P1004,Trips!$Z5:$Z1004,$R15,Trips!$D5:$D1004,$A15))</f>
        <v/>
      </c>
      <c r="G15" s="108">
        <f>IF($C15="","",SUMIFS(Trips!$Q5:$Q1004,Trips!$Z5:$Z1004,$R15,Trips!$D5:$D1004,$A15))</f>
        <v/>
      </c>
      <c r="H15" s="107">
        <f>IF(AND($C15="",$I15="",$J15=""),"",N($E15)+N($F15)+N($G15))</f>
        <v/>
      </c>
      <c r="I15" s="108">
        <f>IF($A15="","",IFERROR(1/(1/SUMIFS(Expenses!$F5:$F1004,Expenses!$B5:$B1004,"Cash Advance",Expenses!$J5:$J1004,$R15,Expenses!$E5:$E1004,$A15)),""))</f>
        <v/>
      </c>
      <c r="J15" s="108">
        <f>IF($A15="","",IFERROR(1/(1/SUMIFS(Expenses!$F5:$F1004,Expenses!$B5:$B1004,"Payroll Payout",Expenses!$J5:$J1004,$R15,Expenses!$E5:$E1004,$A15)),""))</f>
        <v/>
      </c>
      <c r="K15" s="109">
        <f>IF($H15="","",N($H15)-N($I15)-N($J15))</f>
        <v/>
      </c>
      <c r="L15" s="110">
        <f>IF($K15="","",IF($K15&gt;0.5,"TO PAY",IF($K15&lt;-0.5,"ADVANCE / OWES","SETTLED")))</f>
        <v/>
      </c>
      <c r="R15" s="111" t="n">
        <v>46023</v>
      </c>
    </row>
    <row r="16">
      <c r="A16" s="103">
        <f>IF(Setup!$A86="","",Setup!$A86)</f>
        <v/>
      </c>
      <c r="B16" s="104">
        <f>IF($A16="","",Setup!$B86)</f>
        <v/>
      </c>
      <c r="C16" s="105">
        <f>IF($A16="","",IF(COUNTIFS(Trips!$Z5:$Z1004,$R16,Trips!$D5:$D1004,$A16)+COUNTIFS(Trips!$Z5:$Z1004,$R16,Trips!$E5:$E1004,$A16)=0,"",COUNTIFS(Trips!$Z5:$Z1004,$R16,Trips!$D5:$D1004,$A16)+COUNTIFS(Trips!$Z5:$Z1004,$R16,Trips!$E5:$E1004,$A16)))</f>
        <v/>
      </c>
      <c r="D16" s="106">
        <f>IF($C16="","",SUMIFS(Trips!$K5:$K1004,Trips!$Z5:$Z1004,$R16,Trips!$D5:$D1004,$A16)+SUMIFS(Trips!$K5:$K1004,Trips!$Z5:$Z1004,$R16,Trips!$E5:$E1004,$A16))</f>
        <v/>
      </c>
      <c r="E16" s="107">
        <f>IF($C16="","",SUMIFS(Trips!$N5:$N1004,Trips!$Z5:$Z1004,$R16,Trips!$D5:$D1004,$A16)+SUMIFS(Trips!$O5:$O1004,Trips!$Z5:$Z1004,$R16,Trips!$E5:$E1004,$A16))</f>
        <v/>
      </c>
      <c r="F16" s="108">
        <f>IF($C16="","",SUMIFS(Trips!$P5:$P1004,Trips!$Z5:$Z1004,$R16,Trips!$D5:$D1004,$A16))</f>
        <v/>
      </c>
      <c r="G16" s="108">
        <f>IF($C16="","",SUMIFS(Trips!$Q5:$Q1004,Trips!$Z5:$Z1004,$R16,Trips!$D5:$D1004,$A16))</f>
        <v/>
      </c>
      <c r="H16" s="107">
        <f>IF(AND($C16="",$I16="",$J16=""),"",N($E16)+N($F16)+N($G16))</f>
        <v/>
      </c>
      <c r="I16" s="108">
        <f>IF($A16="","",IFERROR(1/(1/SUMIFS(Expenses!$F5:$F1004,Expenses!$B5:$B1004,"Cash Advance",Expenses!$J5:$J1004,$R16,Expenses!$E5:$E1004,$A16)),""))</f>
        <v/>
      </c>
      <c r="J16" s="108">
        <f>IF($A16="","",IFERROR(1/(1/SUMIFS(Expenses!$F5:$F1004,Expenses!$B5:$B1004,"Payroll Payout",Expenses!$J5:$J1004,$R16,Expenses!$E5:$E1004,$A16)),""))</f>
        <v/>
      </c>
      <c r="K16" s="109">
        <f>IF($H16="","",N($H16)-N($I16)-N($J16))</f>
        <v/>
      </c>
      <c r="L16" s="110">
        <f>IF($K16="","",IF($K16&gt;0.5,"TO PAY",IF($K16&lt;-0.5,"ADVANCE / OWES","SETTLED")))</f>
        <v/>
      </c>
      <c r="R16" s="111" t="n">
        <v>46023</v>
      </c>
    </row>
    <row r="17">
      <c r="A17" s="103">
        <f>IF(Setup!$A87="","",Setup!$A87)</f>
        <v/>
      </c>
      <c r="B17" s="104">
        <f>IF($A17="","",Setup!$B87)</f>
        <v/>
      </c>
      <c r="C17" s="105">
        <f>IF($A17="","",IF(COUNTIFS(Trips!$Z5:$Z1004,$R17,Trips!$D5:$D1004,$A17)+COUNTIFS(Trips!$Z5:$Z1004,$R17,Trips!$E5:$E1004,$A17)=0,"",COUNTIFS(Trips!$Z5:$Z1004,$R17,Trips!$D5:$D1004,$A17)+COUNTIFS(Trips!$Z5:$Z1004,$R17,Trips!$E5:$E1004,$A17)))</f>
        <v/>
      </c>
      <c r="D17" s="106">
        <f>IF($C17="","",SUMIFS(Trips!$K5:$K1004,Trips!$Z5:$Z1004,$R17,Trips!$D5:$D1004,$A17)+SUMIFS(Trips!$K5:$K1004,Trips!$Z5:$Z1004,$R17,Trips!$E5:$E1004,$A17))</f>
        <v/>
      </c>
      <c r="E17" s="107">
        <f>IF($C17="","",SUMIFS(Trips!$N5:$N1004,Trips!$Z5:$Z1004,$R17,Trips!$D5:$D1004,$A17)+SUMIFS(Trips!$O5:$O1004,Trips!$Z5:$Z1004,$R17,Trips!$E5:$E1004,$A17))</f>
        <v/>
      </c>
      <c r="F17" s="108">
        <f>IF($C17="","",SUMIFS(Trips!$P5:$P1004,Trips!$Z5:$Z1004,$R17,Trips!$D5:$D1004,$A17))</f>
        <v/>
      </c>
      <c r="G17" s="108">
        <f>IF($C17="","",SUMIFS(Trips!$Q5:$Q1004,Trips!$Z5:$Z1004,$R17,Trips!$D5:$D1004,$A17))</f>
        <v/>
      </c>
      <c r="H17" s="107">
        <f>IF(AND($C17="",$I17="",$J17=""),"",N($E17)+N($F17)+N($G17))</f>
        <v/>
      </c>
      <c r="I17" s="108">
        <f>IF($A17="","",IFERROR(1/(1/SUMIFS(Expenses!$F5:$F1004,Expenses!$B5:$B1004,"Cash Advance",Expenses!$J5:$J1004,$R17,Expenses!$E5:$E1004,$A17)),""))</f>
        <v/>
      </c>
      <c r="J17" s="108">
        <f>IF($A17="","",IFERROR(1/(1/SUMIFS(Expenses!$F5:$F1004,Expenses!$B5:$B1004,"Payroll Payout",Expenses!$J5:$J1004,$R17,Expenses!$E5:$E1004,$A17)),""))</f>
        <v/>
      </c>
      <c r="K17" s="109">
        <f>IF($H17="","",N($H17)-N($I17)-N($J17))</f>
        <v/>
      </c>
      <c r="L17" s="110">
        <f>IF($K17="","",IF($K17&gt;0.5,"TO PAY",IF($K17&lt;-0.5,"ADVANCE / OWES","SETTLED")))</f>
        <v/>
      </c>
      <c r="R17" s="111" t="n">
        <v>46023</v>
      </c>
    </row>
    <row r="18">
      <c r="A18" s="112" t="inlineStr">
        <is>
          <t>MONTH TOTAL</t>
        </is>
      </c>
      <c r="B18" s="113" t="n"/>
      <c r="C18" s="114">
        <f>IF(COUNT(C6:C17)=0,"",SUM(C6:C17))</f>
        <v/>
      </c>
      <c r="D18" s="115">
        <f>IF(COUNT(D6:D17)=0,"",SUM(D6:D17))</f>
        <v/>
      </c>
      <c r="E18" s="116">
        <f>IF(COUNT(E6:E17)=0,"",SUM(E6:E17))</f>
        <v/>
      </c>
      <c r="F18" s="116">
        <f>IF(COUNT(F6:F17)=0,"",SUM(F6:F17))</f>
        <v/>
      </c>
      <c r="G18" s="116">
        <f>IF(COUNT(G6:G17)=0,"",SUM(G6:G17))</f>
        <v/>
      </c>
      <c r="H18" s="116">
        <f>IF(COUNT(H6:H17)=0,"",SUM(H6:H17))</f>
        <v/>
      </c>
      <c r="I18" s="116">
        <f>IF(COUNT(I6:I17)=0,"",SUM(I6:I17))</f>
        <v/>
      </c>
      <c r="J18" s="116">
        <f>IF(COUNT(J6:J17)=0,"",SUM(J6:J17))</f>
        <v/>
      </c>
      <c r="K18" s="116">
        <f>IF(COUNT(K6:K17)=0,"",SUM(K6:K17))</f>
        <v/>
      </c>
      <c r="L18" s="117" t="n"/>
    </row>
    <row r="19" ht="24" customHeight="1">
      <c r="A19" s="102" t="inlineStr">
        <is>
          <t>FEBRUARY 2026   ·   crew earnings &amp; settlement</t>
        </is>
      </c>
    </row>
    <row r="20">
      <c r="A20" s="103">
        <f>IF(Setup!$A76="","",Setup!$A76)</f>
        <v/>
      </c>
      <c r="B20" s="104">
        <f>IF($A20="","",Setup!$B76)</f>
        <v/>
      </c>
      <c r="C20" s="105">
        <f>IF($A20="","",IF(COUNTIFS(Trips!$Z5:$Z1004,$R20,Trips!$D5:$D1004,$A20)+COUNTIFS(Trips!$Z5:$Z1004,$R20,Trips!$E5:$E1004,$A20)=0,"",COUNTIFS(Trips!$Z5:$Z1004,$R20,Trips!$D5:$D1004,$A20)+COUNTIFS(Trips!$Z5:$Z1004,$R20,Trips!$E5:$E1004,$A20)))</f>
        <v/>
      </c>
      <c r="D20" s="106">
        <f>IF($C20="","",SUMIFS(Trips!$K5:$K1004,Trips!$Z5:$Z1004,$R20,Trips!$D5:$D1004,$A20)+SUMIFS(Trips!$K5:$K1004,Trips!$Z5:$Z1004,$R20,Trips!$E5:$E1004,$A20))</f>
        <v/>
      </c>
      <c r="E20" s="107">
        <f>IF($C20="","",SUMIFS(Trips!$N5:$N1004,Trips!$Z5:$Z1004,$R20,Trips!$D5:$D1004,$A20)+SUMIFS(Trips!$O5:$O1004,Trips!$Z5:$Z1004,$R20,Trips!$E5:$E1004,$A20))</f>
        <v/>
      </c>
      <c r="F20" s="108">
        <f>IF($C20="","",SUMIFS(Trips!$P5:$P1004,Trips!$Z5:$Z1004,$R20,Trips!$D5:$D1004,$A20))</f>
        <v/>
      </c>
      <c r="G20" s="108">
        <f>IF($C20="","",SUMIFS(Trips!$Q5:$Q1004,Trips!$Z5:$Z1004,$R20,Trips!$D5:$D1004,$A20))</f>
        <v/>
      </c>
      <c r="H20" s="107">
        <f>IF(AND($C20="",$I20="",$J20=""),"",N($E20)+N($F20)+N($G20))</f>
        <v/>
      </c>
      <c r="I20" s="108">
        <f>IF($A20="","",IFERROR(1/(1/SUMIFS(Expenses!$F5:$F1004,Expenses!$B5:$B1004,"Cash Advance",Expenses!$J5:$J1004,$R20,Expenses!$E5:$E1004,$A20)),""))</f>
        <v/>
      </c>
      <c r="J20" s="108">
        <f>IF($A20="","",IFERROR(1/(1/SUMIFS(Expenses!$F5:$F1004,Expenses!$B5:$B1004,"Payroll Payout",Expenses!$J5:$J1004,$R20,Expenses!$E5:$E1004,$A20)),""))</f>
        <v/>
      </c>
      <c r="K20" s="109">
        <f>IF($H20="","",N($H20)-N($I20)-N($J20))</f>
        <v/>
      </c>
      <c r="L20" s="110">
        <f>IF($K20="","",IF($K20&gt;0.5,"TO PAY",IF($K20&lt;-0.5,"ADVANCE / OWES","SETTLED")))</f>
        <v/>
      </c>
      <c r="R20" s="111" t="n">
        <v>46054</v>
      </c>
    </row>
    <row r="21">
      <c r="A21" s="103">
        <f>IF(Setup!$A77="","",Setup!$A77)</f>
        <v/>
      </c>
      <c r="B21" s="104">
        <f>IF($A21="","",Setup!$B77)</f>
        <v/>
      </c>
      <c r="C21" s="105">
        <f>IF($A21="","",IF(COUNTIFS(Trips!$Z5:$Z1004,$R21,Trips!$D5:$D1004,$A21)+COUNTIFS(Trips!$Z5:$Z1004,$R21,Trips!$E5:$E1004,$A21)=0,"",COUNTIFS(Trips!$Z5:$Z1004,$R21,Trips!$D5:$D1004,$A21)+COUNTIFS(Trips!$Z5:$Z1004,$R21,Trips!$E5:$E1004,$A21)))</f>
        <v/>
      </c>
      <c r="D21" s="106">
        <f>IF($C21="","",SUMIFS(Trips!$K5:$K1004,Trips!$Z5:$Z1004,$R21,Trips!$D5:$D1004,$A21)+SUMIFS(Trips!$K5:$K1004,Trips!$Z5:$Z1004,$R21,Trips!$E5:$E1004,$A21))</f>
        <v/>
      </c>
      <c r="E21" s="107">
        <f>IF($C21="","",SUMIFS(Trips!$N5:$N1004,Trips!$Z5:$Z1004,$R21,Trips!$D5:$D1004,$A21)+SUMIFS(Trips!$O5:$O1004,Trips!$Z5:$Z1004,$R21,Trips!$E5:$E1004,$A21))</f>
        <v/>
      </c>
      <c r="F21" s="108">
        <f>IF($C21="","",SUMIFS(Trips!$P5:$P1004,Trips!$Z5:$Z1004,$R21,Trips!$D5:$D1004,$A21))</f>
        <v/>
      </c>
      <c r="G21" s="108">
        <f>IF($C21="","",SUMIFS(Trips!$Q5:$Q1004,Trips!$Z5:$Z1004,$R21,Trips!$D5:$D1004,$A21))</f>
        <v/>
      </c>
      <c r="H21" s="107">
        <f>IF(AND($C21="",$I21="",$J21=""),"",N($E21)+N($F21)+N($G21))</f>
        <v/>
      </c>
      <c r="I21" s="108">
        <f>IF($A21="","",IFERROR(1/(1/SUMIFS(Expenses!$F5:$F1004,Expenses!$B5:$B1004,"Cash Advance",Expenses!$J5:$J1004,$R21,Expenses!$E5:$E1004,$A21)),""))</f>
        <v/>
      </c>
      <c r="J21" s="108">
        <f>IF($A21="","",IFERROR(1/(1/SUMIFS(Expenses!$F5:$F1004,Expenses!$B5:$B1004,"Payroll Payout",Expenses!$J5:$J1004,$R21,Expenses!$E5:$E1004,$A21)),""))</f>
        <v/>
      </c>
      <c r="K21" s="109">
        <f>IF($H21="","",N($H21)-N($I21)-N($J21))</f>
        <v/>
      </c>
      <c r="L21" s="110">
        <f>IF($K21="","",IF($K21&gt;0.5,"TO PAY",IF($K21&lt;-0.5,"ADVANCE / OWES","SETTLED")))</f>
        <v/>
      </c>
      <c r="R21" s="111" t="n">
        <v>46054</v>
      </c>
    </row>
    <row r="22">
      <c r="A22" s="103">
        <f>IF(Setup!$A78="","",Setup!$A78)</f>
        <v/>
      </c>
      <c r="B22" s="104">
        <f>IF($A22="","",Setup!$B78)</f>
        <v/>
      </c>
      <c r="C22" s="105">
        <f>IF($A22="","",IF(COUNTIFS(Trips!$Z5:$Z1004,$R22,Trips!$D5:$D1004,$A22)+COUNTIFS(Trips!$Z5:$Z1004,$R22,Trips!$E5:$E1004,$A22)=0,"",COUNTIFS(Trips!$Z5:$Z1004,$R22,Trips!$D5:$D1004,$A22)+COUNTIFS(Trips!$Z5:$Z1004,$R22,Trips!$E5:$E1004,$A22)))</f>
        <v/>
      </c>
      <c r="D22" s="106">
        <f>IF($C22="","",SUMIFS(Trips!$K5:$K1004,Trips!$Z5:$Z1004,$R22,Trips!$D5:$D1004,$A22)+SUMIFS(Trips!$K5:$K1004,Trips!$Z5:$Z1004,$R22,Trips!$E5:$E1004,$A22))</f>
        <v/>
      </c>
      <c r="E22" s="107">
        <f>IF($C22="","",SUMIFS(Trips!$N5:$N1004,Trips!$Z5:$Z1004,$R22,Trips!$D5:$D1004,$A22)+SUMIFS(Trips!$O5:$O1004,Trips!$Z5:$Z1004,$R22,Trips!$E5:$E1004,$A22))</f>
        <v/>
      </c>
      <c r="F22" s="108">
        <f>IF($C22="","",SUMIFS(Trips!$P5:$P1004,Trips!$Z5:$Z1004,$R22,Trips!$D5:$D1004,$A22))</f>
        <v/>
      </c>
      <c r="G22" s="108">
        <f>IF($C22="","",SUMIFS(Trips!$Q5:$Q1004,Trips!$Z5:$Z1004,$R22,Trips!$D5:$D1004,$A22))</f>
        <v/>
      </c>
      <c r="H22" s="107">
        <f>IF(AND($C22="",$I22="",$J22=""),"",N($E22)+N($F22)+N($G22))</f>
        <v/>
      </c>
      <c r="I22" s="108">
        <f>IF($A22="","",IFERROR(1/(1/SUMIFS(Expenses!$F5:$F1004,Expenses!$B5:$B1004,"Cash Advance",Expenses!$J5:$J1004,$R22,Expenses!$E5:$E1004,$A22)),""))</f>
        <v/>
      </c>
      <c r="J22" s="108">
        <f>IF($A22="","",IFERROR(1/(1/SUMIFS(Expenses!$F5:$F1004,Expenses!$B5:$B1004,"Payroll Payout",Expenses!$J5:$J1004,$R22,Expenses!$E5:$E1004,$A22)),""))</f>
        <v/>
      </c>
      <c r="K22" s="109">
        <f>IF($H22="","",N($H22)-N($I22)-N($J22))</f>
        <v/>
      </c>
      <c r="L22" s="110">
        <f>IF($K22="","",IF($K22&gt;0.5,"TO PAY",IF($K22&lt;-0.5,"ADVANCE / OWES","SETTLED")))</f>
        <v/>
      </c>
      <c r="R22" s="111" t="n">
        <v>46054</v>
      </c>
    </row>
    <row r="23">
      <c r="A23" s="103">
        <f>IF(Setup!$A79="","",Setup!$A79)</f>
        <v/>
      </c>
      <c r="B23" s="104">
        <f>IF($A23="","",Setup!$B79)</f>
        <v/>
      </c>
      <c r="C23" s="105">
        <f>IF($A23="","",IF(COUNTIFS(Trips!$Z5:$Z1004,$R23,Trips!$D5:$D1004,$A23)+COUNTIFS(Trips!$Z5:$Z1004,$R23,Trips!$E5:$E1004,$A23)=0,"",COUNTIFS(Trips!$Z5:$Z1004,$R23,Trips!$D5:$D1004,$A23)+COUNTIFS(Trips!$Z5:$Z1004,$R23,Trips!$E5:$E1004,$A23)))</f>
        <v/>
      </c>
      <c r="D23" s="106">
        <f>IF($C23="","",SUMIFS(Trips!$K5:$K1004,Trips!$Z5:$Z1004,$R23,Trips!$D5:$D1004,$A23)+SUMIFS(Trips!$K5:$K1004,Trips!$Z5:$Z1004,$R23,Trips!$E5:$E1004,$A23))</f>
        <v/>
      </c>
      <c r="E23" s="107">
        <f>IF($C23="","",SUMIFS(Trips!$N5:$N1004,Trips!$Z5:$Z1004,$R23,Trips!$D5:$D1004,$A23)+SUMIFS(Trips!$O5:$O1004,Trips!$Z5:$Z1004,$R23,Trips!$E5:$E1004,$A23))</f>
        <v/>
      </c>
      <c r="F23" s="108">
        <f>IF($C23="","",SUMIFS(Trips!$P5:$P1004,Trips!$Z5:$Z1004,$R23,Trips!$D5:$D1004,$A23))</f>
        <v/>
      </c>
      <c r="G23" s="108">
        <f>IF($C23="","",SUMIFS(Trips!$Q5:$Q1004,Trips!$Z5:$Z1004,$R23,Trips!$D5:$D1004,$A23))</f>
        <v/>
      </c>
      <c r="H23" s="107">
        <f>IF(AND($C23="",$I23="",$J23=""),"",N($E23)+N($F23)+N($G23))</f>
        <v/>
      </c>
      <c r="I23" s="108">
        <f>IF($A23="","",IFERROR(1/(1/SUMIFS(Expenses!$F5:$F1004,Expenses!$B5:$B1004,"Cash Advance",Expenses!$J5:$J1004,$R23,Expenses!$E5:$E1004,$A23)),""))</f>
        <v/>
      </c>
      <c r="J23" s="108">
        <f>IF($A23="","",IFERROR(1/(1/SUMIFS(Expenses!$F5:$F1004,Expenses!$B5:$B1004,"Payroll Payout",Expenses!$J5:$J1004,$R23,Expenses!$E5:$E1004,$A23)),""))</f>
        <v/>
      </c>
      <c r="K23" s="109">
        <f>IF($H23="","",N($H23)-N($I23)-N($J23))</f>
        <v/>
      </c>
      <c r="L23" s="110">
        <f>IF($K23="","",IF($K23&gt;0.5,"TO PAY",IF($K23&lt;-0.5,"ADVANCE / OWES","SETTLED")))</f>
        <v/>
      </c>
      <c r="R23" s="111" t="n">
        <v>46054</v>
      </c>
    </row>
    <row r="24">
      <c r="A24" s="103">
        <f>IF(Setup!$A80="","",Setup!$A80)</f>
        <v/>
      </c>
      <c r="B24" s="104">
        <f>IF($A24="","",Setup!$B80)</f>
        <v/>
      </c>
      <c r="C24" s="105">
        <f>IF($A24="","",IF(COUNTIFS(Trips!$Z5:$Z1004,$R24,Trips!$D5:$D1004,$A24)+COUNTIFS(Trips!$Z5:$Z1004,$R24,Trips!$E5:$E1004,$A24)=0,"",COUNTIFS(Trips!$Z5:$Z1004,$R24,Trips!$D5:$D1004,$A24)+COUNTIFS(Trips!$Z5:$Z1004,$R24,Trips!$E5:$E1004,$A24)))</f>
        <v/>
      </c>
      <c r="D24" s="106">
        <f>IF($C24="","",SUMIFS(Trips!$K5:$K1004,Trips!$Z5:$Z1004,$R24,Trips!$D5:$D1004,$A24)+SUMIFS(Trips!$K5:$K1004,Trips!$Z5:$Z1004,$R24,Trips!$E5:$E1004,$A24))</f>
        <v/>
      </c>
      <c r="E24" s="107">
        <f>IF($C24="","",SUMIFS(Trips!$N5:$N1004,Trips!$Z5:$Z1004,$R24,Trips!$D5:$D1004,$A24)+SUMIFS(Trips!$O5:$O1004,Trips!$Z5:$Z1004,$R24,Trips!$E5:$E1004,$A24))</f>
        <v/>
      </c>
      <c r="F24" s="108">
        <f>IF($C24="","",SUMIFS(Trips!$P5:$P1004,Trips!$Z5:$Z1004,$R24,Trips!$D5:$D1004,$A24))</f>
        <v/>
      </c>
      <c r="G24" s="108">
        <f>IF($C24="","",SUMIFS(Trips!$Q5:$Q1004,Trips!$Z5:$Z1004,$R24,Trips!$D5:$D1004,$A24))</f>
        <v/>
      </c>
      <c r="H24" s="107">
        <f>IF(AND($C24="",$I24="",$J24=""),"",N($E24)+N($F24)+N($G24))</f>
        <v/>
      </c>
      <c r="I24" s="108">
        <f>IF($A24="","",IFERROR(1/(1/SUMIFS(Expenses!$F5:$F1004,Expenses!$B5:$B1004,"Cash Advance",Expenses!$J5:$J1004,$R24,Expenses!$E5:$E1004,$A24)),""))</f>
        <v/>
      </c>
      <c r="J24" s="108">
        <f>IF($A24="","",IFERROR(1/(1/SUMIFS(Expenses!$F5:$F1004,Expenses!$B5:$B1004,"Payroll Payout",Expenses!$J5:$J1004,$R24,Expenses!$E5:$E1004,$A24)),""))</f>
        <v/>
      </c>
      <c r="K24" s="109">
        <f>IF($H24="","",N($H24)-N($I24)-N($J24))</f>
        <v/>
      </c>
      <c r="L24" s="110">
        <f>IF($K24="","",IF($K24&gt;0.5,"TO PAY",IF($K24&lt;-0.5,"ADVANCE / OWES","SETTLED")))</f>
        <v/>
      </c>
      <c r="R24" s="111" t="n">
        <v>46054</v>
      </c>
    </row>
    <row r="25">
      <c r="A25" s="103">
        <f>IF(Setup!$A81="","",Setup!$A81)</f>
        <v/>
      </c>
      <c r="B25" s="104">
        <f>IF($A25="","",Setup!$B81)</f>
        <v/>
      </c>
      <c r="C25" s="105">
        <f>IF($A25="","",IF(COUNTIFS(Trips!$Z5:$Z1004,$R25,Trips!$D5:$D1004,$A25)+COUNTIFS(Trips!$Z5:$Z1004,$R25,Trips!$E5:$E1004,$A25)=0,"",COUNTIFS(Trips!$Z5:$Z1004,$R25,Trips!$D5:$D1004,$A25)+COUNTIFS(Trips!$Z5:$Z1004,$R25,Trips!$E5:$E1004,$A25)))</f>
        <v/>
      </c>
      <c r="D25" s="106">
        <f>IF($C25="","",SUMIFS(Trips!$K5:$K1004,Trips!$Z5:$Z1004,$R25,Trips!$D5:$D1004,$A25)+SUMIFS(Trips!$K5:$K1004,Trips!$Z5:$Z1004,$R25,Trips!$E5:$E1004,$A25))</f>
        <v/>
      </c>
      <c r="E25" s="107">
        <f>IF($C25="","",SUMIFS(Trips!$N5:$N1004,Trips!$Z5:$Z1004,$R25,Trips!$D5:$D1004,$A25)+SUMIFS(Trips!$O5:$O1004,Trips!$Z5:$Z1004,$R25,Trips!$E5:$E1004,$A25))</f>
        <v/>
      </c>
      <c r="F25" s="108">
        <f>IF($C25="","",SUMIFS(Trips!$P5:$P1004,Trips!$Z5:$Z1004,$R25,Trips!$D5:$D1004,$A25))</f>
        <v/>
      </c>
      <c r="G25" s="108">
        <f>IF($C25="","",SUMIFS(Trips!$Q5:$Q1004,Trips!$Z5:$Z1004,$R25,Trips!$D5:$D1004,$A25))</f>
        <v/>
      </c>
      <c r="H25" s="107">
        <f>IF(AND($C25="",$I25="",$J25=""),"",N($E25)+N($F25)+N($G25))</f>
        <v/>
      </c>
      <c r="I25" s="108">
        <f>IF($A25="","",IFERROR(1/(1/SUMIFS(Expenses!$F5:$F1004,Expenses!$B5:$B1004,"Cash Advance",Expenses!$J5:$J1004,$R25,Expenses!$E5:$E1004,$A25)),""))</f>
        <v/>
      </c>
      <c r="J25" s="108">
        <f>IF($A25="","",IFERROR(1/(1/SUMIFS(Expenses!$F5:$F1004,Expenses!$B5:$B1004,"Payroll Payout",Expenses!$J5:$J1004,$R25,Expenses!$E5:$E1004,$A25)),""))</f>
        <v/>
      </c>
      <c r="K25" s="109">
        <f>IF($H25="","",N($H25)-N($I25)-N($J25))</f>
        <v/>
      </c>
      <c r="L25" s="110">
        <f>IF($K25="","",IF($K25&gt;0.5,"TO PAY",IF($K25&lt;-0.5,"ADVANCE / OWES","SETTLED")))</f>
        <v/>
      </c>
      <c r="R25" s="111" t="n">
        <v>46054</v>
      </c>
    </row>
    <row r="26">
      <c r="A26" s="103">
        <f>IF(Setup!$A82="","",Setup!$A82)</f>
        <v/>
      </c>
      <c r="B26" s="104">
        <f>IF($A26="","",Setup!$B82)</f>
        <v/>
      </c>
      <c r="C26" s="105">
        <f>IF($A26="","",IF(COUNTIFS(Trips!$Z5:$Z1004,$R26,Trips!$D5:$D1004,$A26)+COUNTIFS(Trips!$Z5:$Z1004,$R26,Trips!$E5:$E1004,$A26)=0,"",COUNTIFS(Trips!$Z5:$Z1004,$R26,Trips!$D5:$D1004,$A26)+COUNTIFS(Trips!$Z5:$Z1004,$R26,Trips!$E5:$E1004,$A26)))</f>
        <v/>
      </c>
      <c r="D26" s="106">
        <f>IF($C26="","",SUMIFS(Trips!$K5:$K1004,Trips!$Z5:$Z1004,$R26,Trips!$D5:$D1004,$A26)+SUMIFS(Trips!$K5:$K1004,Trips!$Z5:$Z1004,$R26,Trips!$E5:$E1004,$A26))</f>
        <v/>
      </c>
      <c r="E26" s="107">
        <f>IF($C26="","",SUMIFS(Trips!$N5:$N1004,Trips!$Z5:$Z1004,$R26,Trips!$D5:$D1004,$A26)+SUMIFS(Trips!$O5:$O1004,Trips!$Z5:$Z1004,$R26,Trips!$E5:$E1004,$A26))</f>
        <v/>
      </c>
      <c r="F26" s="108">
        <f>IF($C26="","",SUMIFS(Trips!$P5:$P1004,Trips!$Z5:$Z1004,$R26,Trips!$D5:$D1004,$A26))</f>
        <v/>
      </c>
      <c r="G26" s="108">
        <f>IF($C26="","",SUMIFS(Trips!$Q5:$Q1004,Trips!$Z5:$Z1004,$R26,Trips!$D5:$D1004,$A26))</f>
        <v/>
      </c>
      <c r="H26" s="107">
        <f>IF(AND($C26="",$I26="",$J26=""),"",N($E26)+N($F26)+N($G26))</f>
        <v/>
      </c>
      <c r="I26" s="108">
        <f>IF($A26="","",IFERROR(1/(1/SUMIFS(Expenses!$F5:$F1004,Expenses!$B5:$B1004,"Cash Advance",Expenses!$J5:$J1004,$R26,Expenses!$E5:$E1004,$A26)),""))</f>
        <v/>
      </c>
      <c r="J26" s="108">
        <f>IF($A26="","",IFERROR(1/(1/SUMIFS(Expenses!$F5:$F1004,Expenses!$B5:$B1004,"Payroll Payout",Expenses!$J5:$J1004,$R26,Expenses!$E5:$E1004,$A26)),""))</f>
        <v/>
      </c>
      <c r="K26" s="109">
        <f>IF($H26="","",N($H26)-N($I26)-N($J26))</f>
        <v/>
      </c>
      <c r="L26" s="110">
        <f>IF($K26="","",IF($K26&gt;0.5,"TO PAY",IF($K26&lt;-0.5,"ADVANCE / OWES","SETTLED")))</f>
        <v/>
      </c>
      <c r="R26" s="111" t="n">
        <v>46054</v>
      </c>
    </row>
    <row r="27">
      <c r="A27" s="103">
        <f>IF(Setup!$A83="","",Setup!$A83)</f>
        <v/>
      </c>
      <c r="B27" s="104">
        <f>IF($A27="","",Setup!$B83)</f>
        <v/>
      </c>
      <c r="C27" s="105">
        <f>IF($A27="","",IF(COUNTIFS(Trips!$Z5:$Z1004,$R27,Trips!$D5:$D1004,$A27)+COUNTIFS(Trips!$Z5:$Z1004,$R27,Trips!$E5:$E1004,$A27)=0,"",COUNTIFS(Trips!$Z5:$Z1004,$R27,Trips!$D5:$D1004,$A27)+COUNTIFS(Trips!$Z5:$Z1004,$R27,Trips!$E5:$E1004,$A27)))</f>
        <v/>
      </c>
      <c r="D27" s="106">
        <f>IF($C27="","",SUMIFS(Trips!$K5:$K1004,Trips!$Z5:$Z1004,$R27,Trips!$D5:$D1004,$A27)+SUMIFS(Trips!$K5:$K1004,Trips!$Z5:$Z1004,$R27,Trips!$E5:$E1004,$A27))</f>
        <v/>
      </c>
      <c r="E27" s="107">
        <f>IF($C27="","",SUMIFS(Trips!$N5:$N1004,Trips!$Z5:$Z1004,$R27,Trips!$D5:$D1004,$A27)+SUMIFS(Trips!$O5:$O1004,Trips!$Z5:$Z1004,$R27,Trips!$E5:$E1004,$A27))</f>
        <v/>
      </c>
      <c r="F27" s="108">
        <f>IF($C27="","",SUMIFS(Trips!$P5:$P1004,Trips!$Z5:$Z1004,$R27,Trips!$D5:$D1004,$A27))</f>
        <v/>
      </c>
      <c r="G27" s="108">
        <f>IF($C27="","",SUMIFS(Trips!$Q5:$Q1004,Trips!$Z5:$Z1004,$R27,Trips!$D5:$D1004,$A27))</f>
        <v/>
      </c>
      <c r="H27" s="107">
        <f>IF(AND($C27="",$I27="",$J27=""),"",N($E27)+N($F27)+N($G27))</f>
        <v/>
      </c>
      <c r="I27" s="108">
        <f>IF($A27="","",IFERROR(1/(1/SUMIFS(Expenses!$F5:$F1004,Expenses!$B5:$B1004,"Cash Advance",Expenses!$J5:$J1004,$R27,Expenses!$E5:$E1004,$A27)),""))</f>
        <v/>
      </c>
      <c r="J27" s="108">
        <f>IF($A27="","",IFERROR(1/(1/SUMIFS(Expenses!$F5:$F1004,Expenses!$B5:$B1004,"Payroll Payout",Expenses!$J5:$J1004,$R27,Expenses!$E5:$E1004,$A27)),""))</f>
        <v/>
      </c>
      <c r="K27" s="109">
        <f>IF($H27="","",N($H27)-N($I27)-N($J27))</f>
        <v/>
      </c>
      <c r="L27" s="110">
        <f>IF($K27="","",IF($K27&gt;0.5,"TO PAY",IF($K27&lt;-0.5,"ADVANCE / OWES","SETTLED")))</f>
        <v/>
      </c>
      <c r="R27" s="111" t="n">
        <v>46054</v>
      </c>
    </row>
    <row r="28">
      <c r="A28" s="103">
        <f>IF(Setup!$A84="","",Setup!$A84)</f>
        <v/>
      </c>
      <c r="B28" s="104">
        <f>IF($A28="","",Setup!$B84)</f>
        <v/>
      </c>
      <c r="C28" s="105">
        <f>IF($A28="","",IF(COUNTIFS(Trips!$Z5:$Z1004,$R28,Trips!$D5:$D1004,$A28)+COUNTIFS(Trips!$Z5:$Z1004,$R28,Trips!$E5:$E1004,$A28)=0,"",COUNTIFS(Trips!$Z5:$Z1004,$R28,Trips!$D5:$D1004,$A28)+COUNTIFS(Trips!$Z5:$Z1004,$R28,Trips!$E5:$E1004,$A28)))</f>
        <v/>
      </c>
      <c r="D28" s="106">
        <f>IF($C28="","",SUMIFS(Trips!$K5:$K1004,Trips!$Z5:$Z1004,$R28,Trips!$D5:$D1004,$A28)+SUMIFS(Trips!$K5:$K1004,Trips!$Z5:$Z1004,$R28,Trips!$E5:$E1004,$A28))</f>
        <v/>
      </c>
      <c r="E28" s="107">
        <f>IF($C28="","",SUMIFS(Trips!$N5:$N1004,Trips!$Z5:$Z1004,$R28,Trips!$D5:$D1004,$A28)+SUMIFS(Trips!$O5:$O1004,Trips!$Z5:$Z1004,$R28,Trips!$E5:$E1004,$A28))</f>
        <v/>
      </c>
      <c r="F28" s="108">
        <f>IF($C28="","",SUMIFS(Trips!$P5:$P1004,Trips!$Z5:$Z1004,$R28,Trips!$D5:$D1004,$A28))</f>
        <v/>
      </c>
      <c r="G28" s="108">
        <f>IF($C28="","",SUMIFS(Trips!$Q5:$Q1004,Trips!$Z5:$Z1004,$R28,Trips!$D5:$D1004,$A28))</f>
        <v/>
      </c>
      <c r="H28" s="107">
        <f>IF(AND($C28="",$I28="",$J28=""),"",N($E28)+N($F28)+N($G28))</f>
        <v/>
      </c>
      <c r="I28" s="108">
        <f>IF($A28="","",IFERROR(1/(1/SUMIFS(Expenses!$F5:$F1004,Expenses!$B5:$B1004,"Cash Advance",Expenses!$J5:$J1004,$R28,Expenses!$E5:$E1004,$A28)),""))</f>
        <v/>
      </c>
      <c r="J28" s="108">
        <f>IF($A28="","",IFERROR(1/(1/SUMIFS(Expenses!$F5:$F1004,Expenses!$B5:$B1004,"Payroll Payout",Expenses!$J5:$J1004,$R28,Expenses!$E5:$E1004,$A28)),""))</f>
        <v/>
      </c>
      <c r="K28" s="109">
        <f>IF($H28="","",N($H28)-N($I28)-N($J28))</f>
        <v/>
      </c>
      <c r="L28" s="110">
        <f>IF($K28="","",IF($K28&gt;0.5,"TO PAY",IF($K28&lt;-0.5,"ADVANCE / OWES","SETTLED")))</f>
        <v/>
      </c>
      <c r="R28" s="111" t="n">
        <v>46054</v>
      </c>
    </row>
    <row r="29">
      <c r="A29" s="103">
        <f>IF(Setup!$A85="","",Setup!$A85)</f>
        <v/>
      </c>
      <c r="B29" s="104">
        <f>IF($A29="","",Setup!$B85)</f>
        <v/>
      </c>
      <c r="C29" s="105">
        <f>IF($A29="","",IF(COUNTIFS(Trips!$Z5:$Z1004,$R29,Trips!$D5:$D1004,$A29)+COUNTIFS(Trips!$Z5:$Z1004,$R29,Trips!$E5:$E1004,$A29)=0,"",COUNTIFS(Trips!$Z5:$Z1004,$R29,Trips!$D5:$D1004,$A29)+COUNTIFS(Trips!$Z5:$Z1004,$R29,Trips!$E5:$E1004,$A29)))</f>
        <v/>
      </c>
      <c r="D29" s="106">
        <f>IF($C29="","",SUMIFS(Trips!$K5:$K1004,Trips!$Z5:$Z1004,$R29,Trips!$D5:$D1004,$A29)+SUMIFS(Trips!$K5:$K1004,Trips!$Z5:$Z1004,$R29,Trips!$E5:$E1004,$A29))</f>
        <v/>
      </c>
      <c r="E29" s="107">
        <f>IF($C29="","",SUMIFS(Trips!$N5:$N1004,Trips!$Z5:$Z1004,$R29,Trips!$D5:$D1004,$A29)+SUMIFS(Trips!$O5:$O1004,Trips!$Z5:$Z1004,$R29,Trips!$E5:$E1004,$A29))</f>
        <v/>
      </c>
      <c r="F29" s="108">
        <f>IF($C29="","",SUMIFS(Trips!$P5:$P1004,Trips!$Z5:$Z1004,$R29,Trips!$D5:$D1004,$A29))</f>
        <v/>
      </c>
      <c r="G29" s="108">
        <f>IF($C29="","",SUMIFS(Trips!$Q5:$Q1004,Trips!$Z5:$Z1004,$R29,Trips!$D5:$D1004,$A29))</f>
        <v/>
      </c>
      <c r="H29" s="107">
        <f>IF(AND($C29="",$I29="",$J29=""),"",N($E29)+N($F29)+N($G29))</f>
        <v/>
      </c>
      <c r="I29" s="108">
        <f>IF($A29="","",IFERROR(1/(1/SUMIFS(Expenses!$F5:$F1004,Expenses!$B5:$B1004,"Cash Advance",Expenses!$J5:$J1004,$R29,Expenses!$E5:$E1004,$A29)),""))</f>
        <v/>
      </c>
      <c r="J29" s="108">
        <f>IF($A29="","",IFERROR(1/(1/SUMIFS(Expenses!$F5:$F1004,Expenses!$B5:$B1004,"Payroll Payout",Expenses!$J5:$J1004,$R29,Expenses!$E5:$E1004,$A29)),""))</f>
        <v/>
      </c>
      <c r="K29" s="109">
        <f>IF($H29="","",N($H29)-N($I29)-N($J29))</f>
        <v/>
      </c>
      <c r="L29" s="110">
        <f>IF($K29="","",IF($K29&gt;0.5,"TO PAY",IF($K29&lt;-0.5,"ADVANCE / OWES","SETTLED")))</f>
        <v/>
      </c>
      <c r="R29" s="111" t="n">
        <v>46054</v>
      </c>
    </row>
    <row r="30">
      <c r="A30" s="103">
        <f>IF(Setup!$A86="","",Setup!$A86)</f>
        <v/>
      </c>
      <c r="B30" s="104">
        <f>IF($A30="","",Setup!$B86)</f>
        <v/>
      </c>
      <c r="C30" s="105">
        <f>IF($A30="","",IF(COUNTIFS(Trips!$Z5:$Z1004,$R30,Trips!$D5:$D1004,$A30)+COUNTIFS(Trips!$Z5:$Z1004,$R30,Trips!$E5:$E1004,$A30)=0,"",COUNTIFS(Trips!$Z5:$Z1004,$R30,Trips!$D5:$D1004,$A30)+COUNTIFS(Trips!$Z5:$Z1004,$R30,Trips!$E5:$E1004,$A30)))</f>
        <v/>
      </c>
      <c r="D30" s="106">
        <f>IF($C30="","",SUMIFS(Trips!$K5:$K1004,Trips!$Z5:$Z1004,$R30,Trips!$D5:$D1004,$A30)+SUMIFS(Trips!$K5:$K1004,Trips!$Z5:$Z1004,$R30,Trips!$E5:$E1004,$A30))</f>
        <v/>
      </c>
      <c r="E30" s="107">
        <f>IF($C30="","",SUMIFS(Trips!$N5:$N1004,Trips!$Z5:$Z1004,$R30,Trips!$D5:$D1004,$A30)+SUMIFS(Trips!$O5:$O1004,Trips!$Z5:$Z1004,$R30,Trips!$E5:$E1004,$A30))</f>
        <v/>
      </c>
      <c r="F30" s="108">
        <f>IF($C30="","",SUMIFS(Trips!$P5:$P1004,Trips!$Z5:$Z1004,$R30,Trips!$D5:$D1004,$A30))</f>
        <v/>
      </c>
      <c r="G30" s="108">
        <f>IF($C30="","",SUMIFS(Trips!$Q5:$Q1004,Trips!$Z5:$Z1004,$R30,Trips!$D5:$D1004,$A30))</f>
        <v/>
      </c>
      <c r="H30" s="107">
        <f>IF(AND($C30="",$I30="",$J30=""),"",N($E30)+N($F30)+N($G30))</f>
        <v/>
      </c>
      <c r="I30" s="108">
        <f>IF($A30="","",IFERROR(1/(1/SUMIFS(Expenses!$F5:$F1004,Expenses!$B5:$B1004,"Cash Advance",Expenses!$J5:$J1004,$R30,Expenses!$E5:$E1004,$A30)),""))</f>
        <v/>
      </c>
      <c r="J30" s="108">
        <f>IF($A30="","",IFERROR(1/(1/SUMIFS(Expenses!$F5:$F1004,Expenses!$B5:$B1004,"Payroll Payout",Expenses!$J5:$J1004,$R30,Expenses!$E5:$E1004,$A30)),""))</f>
        <v/>
      </c>
      <c r="K30" s="109">
        <f>IF($H30="","",N($H30)-N($I30)-N($J30))</f>
        <v/>
      </c>
      <c r="L30" s="110">
        <f>IF($K30="","",IF($K30&gt;0.5,"TO PAY",IF($K30&lt;-0.5,"ADVANCE / OWES","SETTLED")))</f>
        <v/>
      </c>
      <c r="R30" s="111" t="n">
        <v>46054</v>
      </c>
    </row>
    <row r="31">
      <c r="A31" s="103">
        <f>IF(Setup!$A87="","",Setup!$A87)</f>
        <v/>
      </c>
      <c r="B31" s="104">
        <f>IF($A31="","",Setup!$B87)</f>
        <v/>
      </c>
      <c r="C31" s="105">
        <f>IF($A31="","",IF(COUNTIFS(Trips!$Z5:$Z1004,$R31,Trips!$D5:$D1004,$A31)+COUNTIFS(Trips!$Z5:$Z1004,$R31,Trips!$E5:$E1004,$A31)=0,"",COUNTIFS(Trips!$Z5:$Z1004,$R31,Trips!$D5:$D1004,$A31)+COUNTIFS(Trips!$Z5:$Z1004,$R31,Trips!$E5:$E1004,$A31)))</f>
        <v/>
      </c>
      <c r="D31" s="106">
        <f>IF($C31="","",SUMIFS(Trips!$K5:$K1004,Trips!$Z5:$Z1004,$R31,Trips!$D5:$D1004,$A31)+SUMIFS(Trips!$K5:$K1004,Trips!$Z5:$Z1004,$R31,Trips!$E5:$E1004,$A31))</f>
        <v/>
      </c>
      <c r="E31" s="107">
        <f>IF($C31="","",SUMIFS(Trips!$N5:$N1004,Trips!$Z5:$Z1004,$R31,Trips!$D5:$D1004,$A31)+SUMIFS(Trips!$O5:$O1004,Trips!$Z5:$Z1004,$R31,Trips!$E5:$E1004,$A31))</f>
        <v/>
      </c>
      <c r="F31" s="108">
        <f>IF($C31="","",SUMIFS(Trips!$P5:$P1004,Trips!$Z5:$Z1004,$R31,Trips!$D5:$D1004,$A31))</f>
        <v/>
      </c>
      <c r="G31" s="108">
        <f>IF($C31="","",SUMIFS(Trips!$Q5:$Q1004,Trips!$Z5:$Z1004,$R31,Trips!$D5:$D1004,$A31))</f>
        <v/>
      </c>
      <c r="H31" s="107">
        <f>IF(AND($C31="",$I31="",$J31=""),"",N($E31)+N($F31)+N($G31))</f>
        <v/>
      </c>
      <c r="I31" s="108">
        <f>IF($A31="","",IFERROR(1/(1/SUMIFS(Expenses!$F5:$F1004,Expenses!$B5:$B1004,"Cash Advance",Expenses!$J5:$J1004,$R31,Expenses!$E5:$E1004,$A31)),""))</f>
        <v/>
      </c>
      <c r="J31" s="108">
        <f>IF($A31="","",IFERROR(1/(1/SUMIFS(Expenses!$F5:$F1004,Expenses!$B5:$B1004,"Payroll Payout",Expenses!$J5:$J1004,$R31,Expenses!$E5:$E1004,$A31)),""))</f>
        <v/>
      </c>
      <c r="K31" s="109">
        <f>IF($H31="","",N($H31)-N($I31)-N($J31))</f>
        <v/>
      </c>
      <c r="L31" s="110">
        <f>IF($K31="","",IF($K31&gt;0.5,"TO PAY",IF($K31&lt;-0.5,"ADVANCE / OWES","SETTLED")))</f>
        <v/>
      </c>
      <c r="R31" s="111" t="n">
        <v>46054</v>
      </c>
    </row>
    <row r="32">
      <c r="A32" s="112" t="inlineStr">
        <is>
          <t>MONTH TOTAL</t>
        </is>
      </c>
      <c r="B32" s="113" t="n"/>
      <c r="C32" s="114">
        <f>IF(COUNT(C20:C31)=0,"",SUM(C20:C31))</f>
        <v/>
      </c>
      <c r="D32" s="115">
        <f>IF(COUNT(D20:D31)=0,"",SUM(D20:D31))</f>
        <v/>
      </c>
      <c r="E32" s="116">
        <f>IF(COUNT(E20:E31)=0,"",SUM(E20:E31))</f>
        <v/>
      </c>
      <c r="F32" s="116">
        <f>IF(COUNT(F20:F31)=0,"",SUM(F20:F31))</f>
        <v/>
      </c>
      <c r="G32" s="116">
        <f>IF(COUNT(G20:G31)=0,"",SUM(G20:G31))</f>
        <v/>
      </c>
      <c r="H32" s="116">
        <f>IF(COUNT(H20:H31)=0,"",SUM(H20:H31))</f>
        <v/>
      </c>
      <c r="I32" s="116">
        <f>IF(COUNT(I20:I31)=0,"",SUM(I20:I31))</f>
        <v/>
      </c>
      <c r="J32" s="116">
        <f>IF(COUNT(J20:J31)=0,"",SUM(J20:J31))</f>
        <v/>
      </c>
      <c r="K32" s="116">
        <f>IF(COUNT(K20:K31)=0,"",SUM(K20:K31))</f>
        <v/>
      </c>
      <c r="L32" s="117" t="n"/>
    </row>
    <row r="33" ht="24" customHeight="1">
      <c r="A33" s="102" t="inlineStr">
        <is>
          <t>MARCH 2026   ·   crew earnings &amp; settlement</t>
        </is>
      </c>
    </row>
    <row r="34">
      <c r="A34" s="103">
        <f>IF(Setup!$A76="","",Setup!$A76)</f>
        <v/>
      </c>
      <c r="B34" s="104">
        <f>IF($A34="","",Setup!$B76)</f>
        <v/>
      </c>
      <c r="C34" s="105">
        <f>IF($A34="","",IF(COUNTIFS(Trips!$Z5:$Z1004,$R34,Trips!$D5:$D1004,$A34)+COUNTIFS(Trips!$Z5:$Z1004,$R34,Trips!$E5:$E1004,$A34)=0,"",COUNTIFS(Trips!$Z5:$Z1004,$R34,Trips!$D5:$D1004,$A34)+COUNTIFS(Trips!$Z5:$Z1004,$R34,Trips!$E5:$E1004,$A34)))</f>
        <v/>
      </c>
      <c r="D34" s="106">
        <f>IF($C34="","",SUMIFS(Trips!$K5:$K1004,Trips!$Z5:$Z1004,$R34,Trips!$D5:$D1004,$A34)+SUMIFS(Trips!$K5:$K1004,Trips!$Z5:$Z1004,$R34,Trips!$E5:$E1004,$A34))</f>
        <v/>
      </c>
      <c r="E34" s="107">
        <f>IF($C34="","",SUMIFS(Trips!$N5:$N1004,Trips!$Z5:$Z1004,$R34,Trips!$D5:$D1004,$A34)+SUMIFS(Trips!$O5:$O1004,Trips!$Z5:$Z1004,$R34,Trips!$E5:$E1004,$A34))</f>
        <v/>
      </c>
      <c r="F34" s="108">
        <f>IF($C34="","",SUMIFS(Trips!$P5:$P1004,Trips!$Z5:$Z1004,$R34,Trips!$D5:$D1004,$A34))</f>
        <v/>
      </c>
      <c r="G34" s="108">
        <f>IF($C34="","",SUMIFS(Trips!$Q5:$Q1004,Trips!$Z5:$Z1004,$R34,Trips!$D5:$D1004,$A34))</f>
        <v/>
      </c>
      <c r="H34" s="107">
        <f>IF(AND($C34="",$I34="",$J34=""),"",N($E34)+N($F34)+N($G34))</f>
        <v/>
      </c>
      <c r="I34" s="108">
        <f>IF($A34="","",IFERROR(1/(1/SUMIFS(Expenses!$F5:$F1004,Expenses!$B5:$B1004,"Cash Advance",Expenses!$J5:$J1004,$R34,Expenses!$E5:$E1004,$A34)),""))</f>
        <v/>
      </c>
      <c r="J34" s="108">
        <f>IF($A34="","",IFERROR(1/(1/SUMIFS(Expenses!$F5:$F1004,Expenses!$B5:$B1004,"Payroll Payout",Expenses!$J5:$J1004,$R34,Expenses!$E5:$E1004,$A34)),""))</f>
        <v/>
      </c>
      <c r="K34" s="109">
        <f>IF($H34="","",N($H34)-N($I34)-N($J34))</f>
        <v/>
      </c>
      <c r="L34" s="110">
        <f>IF($K34="","",IF($K34&gt;0.5,"TO PAY",IF($K34&lt;-0.5,"ADVANCE / OWES","SETTLED")))</f>
        <v/>
      </c>
      <c r="R34" s="111" t="n">
        <v>46082</v>
      </c>
    </row>
    <row r="35">
      <c r="A35" s="103">
        <f>IF(Setup!$A77="","",Setup!$A77)</f>
        <v/>
      </c>
      <c r="B35" s="104">
        <f>IF($A35="","",Setup!$B77)</f>
        <v/>
      </c>
      <c r="C35" s="105">
        <f>IF($A35="","",IF(COUNTIFS(Trips!$Z5:$Z1004,$R35,Trips!$D5:$D1004,$A35)+COUNTIFS(Trips!$Z5:$Z1004,$R35,Trips!$E5:$E1004,$A35)=0,"",COUNTIFS(Trips!$Z5:$Z1004,$R35,Trips!$D5:$D1004,$A35)+COUNTIFS(Trips!$Z5:$Z1004,$R35,Trips!$E5:$E1004,$A35)))</f>
        <v/>
      </c>
      <c r="D35" s="106">
        <f>IF($C35="","",SUMIFS(Trips!$K5:$K1004,Trips!$Z5:$Z1004,$R35,Trips!$D5:$D1004,$A35)+SUMIFS(Trips!$K5:$K1004,Trips!$Z5:$Z1004,$R35,Trips!$E5:$E1004,$A35))</f>
        <v/>
      </c>
      <c r="E35" s="107">
        <f>IF($C35="","",SUMIFS(Trips!$N5:$N1004,Trips!$Z5:$Z1004,$R35,Trips!$D5:$D1004,$A35)+SUMIFS(Trips!$O5:$O1004,Trips!$Z5:$Z1004,$R35,Trips!$E5:$E1004,$A35))</f>
        <v/>
      </c>
      <c r="F35" s="108">
        <f>IF($C35="","",SUMIFS(Trips!$P5:$P1004,Trips!$Z5:$Z1004,$R35,Trips!$D5:$D1004,$A35))</f>
        <v/>
      </c>
      <c r="G35" s="108">
        <f>IF($C35="","",SUMIFS(Trips!$Q5:$Q1004,Trips!$Z5:$Z1004,$R35,Trips!$D5:$D1004,$A35))</f>
        <v/>
      </c>
      <c r="H35" s="107">
        <f>IF(AND($C35="",$I35="",$J35=""),"",N($E35)+N($F35)+N($G35))</f>
        <v/>
      </c>
      <c r="I35" s="108">
        <f>IF($A35="","",IFERROR(1/(1/SUMIFS(Expenses!$F5:$F1004,Expenses!$B5:$B1004,"Cash Advance",Expenses!$J5:$J1004,$R35,Expenses!$E5:$E1004,$A35)),""))</f>
        <v/>
      </c>
      <c r="J35" s="108">
        <f>IF($A35="","",IFERROR(1/(1/SUMIFS(Expenses!$F5:$F1004,Expenses!$B5:$B1004,"Payroll Payout",Expenses!$J5:$J1004,$R35,Expenses!$E5:$E1004,$A35)),""))</f>
        <v/>
      </c>
      <c r="K35" s="109">
        <f>IF($H35="","",N($H35)-N($I35)-N($J35))</f>
        <v/>
      </c>
      <c r="L35" s="110">
        <f>IF($K35="","",IF($K35&gt;0.5,"TO PAY",IF($K35&lt;-0.5,"ADVANCE / OWES","SETTLED")))</f>
        <v/>
      </c>
      <c r="R35" s="111" t="n">
        <v>46082</v>
      </c>
    </row>
    <row r="36">
      <c r="A36" s="103">
        <f>IF(Setup!$A78="","",Setup!$A78)</f>
        <v/>
      </c>
      <c r="B36" s="104">
        <f>IF($A36="","",Setup!$B78)</f>
        <v/>
      </c>
      <c r="C36" s="105">
        <f>IF($A36="","",IF(COUNTIFS(Trips!$Z5:$Z1004,$R36,Trips!$D5:$D1004,$A36)+COUNTIFS(Trips!$Z5:$Z1004,$R36,Trips!$E5:$E1004,$A36)=0,"",COUNTIFS(Trips!$Z5:$Z1004,$R36,Trips!$D5:$D1004,$A36)+COUNTIFS(Trips!$Z5:$Z1004,$R36,Trips!$E5:$E1004,$A36)))</f>
        <v/>
      </c>
      <c r="D36" s="106">
        <f>IF($C36="","",SUMIFS(Trips!$K5:$K1004,Trips!$Z5:$Z1004,$R36,Trips!$D5:$D1004,$A36)+SUMIFS(Trips!$K5:$K1004,Trips!$Z5:$Z1004,$R36,Trips!$E5:$E1004,$A36))</f>
        <v/>
      </c>
      <c r="E36" s="107">
        <f>IF($C36="","",SUMIFS(Trips!$N5:$N1004,Trips!$Z5:$Z1004,$R36,Trips!$D5:$D1004,$A36)+SUMIFS(Trips!$O5:$O1004,Trips!$Z5:$Z1004,$R36,Trips!$E5:$E1004,$A36))</f>
        <v/>
      </c>
      <c r="F36" s="108">
        <f>IF($C36="","",SUMIFS(Trips!$P5:$P1004,Trips!$Z5:$Z1004,$R36,Trips!$D5:$D1004,$A36))</f>
        <v/>
      </c>
      <c r="G36" s="108">
        <f>IF($C36="","",SUMIFS(Trips!$Q5:$Q1004,Trips!$Z5:$Z1004,$R36,Trips!$D5:$D1004,$A36))</f>
        <v/>
      </c>
      <c r="H36" s="107">
        <f>IF(AND($C36="",$I36="",$J36=""),"",N($E36)+N($F36)+N($G36))</f>
        <v/>
      </c>
      <c r="I36" s="108">
        <f>IF($A36="","",IFERROR(1/(1/SUMIFS(Expenses!$F5:$F1004,Expenses!$B5:$B1004,"Cash Advance",Expenses!$J5:$J1004,$R36,Expenses!$E5:$E1004,$A36)),""))</f>
        <v/>
      </c>
      <c r="J36" s="108">
        <f>IF($A36="","",IFERROR(1/(1/SUMIFS(Expenses!$F5:$F1004,Expenses!$B5:$B1004,"Payroll Payout",Expenses!$J5:$J1004,$R36,Expenses!$E5:$E1004,$A36)),""))</f>
        <v/>
      </c>
      <c r="K36" s="109">
        <f>IF($H36="","",N($H36)-N($I36)-N($J36))</f>
        <v/>
      </c>
      <c r="L36" s="110">
        <f>IF($K36="","",IF($K36&gt;0.5,"TO PAY",IF($K36&lt;-0.5,"ADVANCE / OWES","SETTLED")))</f>
        <v/>
      </c>
      <c r="R36" s="111" t="n">
        <v>46082</v>
      </c>
    </row>
    <row r="37">
      <c r="A37" s="103">
        <f>IF(Setup!$A79="","",Setup!$A79)</f>
        <v/>
      </c>
      <c r="B37" s="104">
        <f>IF($A37="","",Setup!$B79)</f>
        <v/>
      </c>
      <c r="C37" s="105">
        <f>IF($A37="","",IF(COUNTIFS(Trips!$Z5:$Z1004,$R37,Trips!$D5:$D1004,$A37)+COUNTIFS(Trips!$Z5:$Z1004,$R37,Trips!$E5:$E1004,$A37)=0,"",COUNTIFS(Trips!$Z5:$Z1004,$R37,Trips!$D5:$D1004,$A37)+COUNTIFS(Trips!$Z5:$Z1004,$R37,Trips!$E5:$E1004,$A37)))</f>
        <v/>
      </c>
      <c r="D37" s="106">
        <f>IF($C37="","",SUMIFS(Trips!$K5:$K1004,Trips!$Z5:$Z1004,$R37,Trips!$D5:$D1004,$A37)+SUMIFS(Trips!$K5:$K1004,Trips!$Z5:$Z1004,$R37,Trips!$E5:$E1004,$A37))</f>
        <v/>
      </c>
      <c r="E37" s="107">
        <f>IF($C37="","",SUMIFS(Trips!$N5:$N1004,Trips!$Z5:$Z1004,$R37,Trips!$D5:$D1004,$A37)+SUMIFS(Trips!$O5:$O1004,Trips!$Z5:$Z1004,$R37,Trips!$E5:$E1004,$A37))</f>
        <v/>
      </c>
      <c r="F37" s="108">
        <f>IF($C37="","",SUMIFS(Trips!$P5:$P1004,Trips!$Z5:$Z1004,$R37,Trips!$D5:$D1004,$A37))</f>
        <v/>
      </c>
      <c r="G37" s="108">
        <f>IF($C37="","",SUMIFS(Trips!$Q5:$Q1004,Trips!$Z5:$Z1004,$R37,Trips!$D5:$D1004,$A37))</f>
        <v/>
      </c>
      <c r="H37" s="107">
        <f>IF(AND($C37="",$I37="",$J37=""),"",N($E37)+N($F37)+N($G37))</f>
        <v/>
      </c>
      <c r="I37" s="108">
        <f>IF($A37="","",IFERROR(1/(1/SUMIFS(Expenses!$F5:$F1004,Expenses!$B5:$B1004,"Cash Advance",Expenses!$J5:$J1004,$R37,Expenses!$E5:$E1004,$A37)),""))</f>
        <v/>
      </c>
      <c r="J37" s="108">
        <f>IF($A37="","",IFERROR(1/(1/SUMIFS(Expenses!$F5:$F1004,Expenses!$B5:$B1004,"Payroll Payout",Expenses!$J5:$J1004,$R37,Expenses!$E5:$E1004,$A37)),""))</f>
        <v/>
      </c>
      <c r="K37" s="109">
        <f>IF($H37="","",N($H37)-N($I37)-N($J37))</f>
        <v/>
      </c>
      <c r="L37" s="110">
        <f>IF($K37="","",IF($K37&gt;0.5,"TO PAY",IF($K37&lt;-0.5,"ADVANCE / OWES","SETTLED")))</f>
        <v/>
      </c>
      <c r="R37" s="111" t="n">
        <v>46082</v>
      </c>
    </row>
    <row r="38">
      <c r="A38" s="103">
        <f>IF(Setup!$A80="","",Setup!$A80)</f>
        <v/>
      </c>
      <c r="B38" s="104">
        <f>IF($A38="","",Setup!$B80)</f>
        <v/>
      </c>
      <c r="C38" s="105">
        <f>IF($A38="","",IF(COUNTIFS(Trips!$Z5:$Z1004,$R38,Trips!$D5:$D1004,$A38)+COUNTIFS(Trips!$Z5:$Z1004,$R38,Trips!$E5:$E1004,$A38)=0,"",COUNTIFS(Trips!$Z5:$Z1004,$R38,Trips!$D5:$D1004,$A38)+COUNTIFS(Trips!$Z5:$Z1004,$R38,Trips!$E5:$E1004,$A38)))</f>
        <v/>
      </c>
      <c r="D38" s="106">
        <f>IF($C38="","",SUMIFS(Trips!$K5:$K1004,Trips!$Z5:$Z1004,$R38,Trips!$D5:$D1004,$A38)+SUMIFS(Trips!$K5:$K1004,Trips!$Z5:$Z1004,$R38,Trips!$E5:$E1004,$A38))</f>
        <v/>
      </c>
      <c r="E38" s="107">
        <f>IF($C38="","",SUMIFS(Trips!$N5:$N1004,Trips!$Z5:$Z1004,$R38,Trips!$D5:$D1004,$A38)+SUMIFS(Trips!$O5:$O1004,Trips!$Z5:$Z1004,$R38,Trips!$E5:$E1004,$A38))</f>
        <v/>
      </c>
      <c r="F38" s="108">
        <f>IF($C38="","",SUMIFS(Trips!$P5:$P1004,Trips!$Z5:$Z1004,$R38,Trips!$D5:$D1004,$A38))</f>
        <v/>
      </c>
      <c r="G38" s="108">
        <f>IF($C38="","",SUMIFS(Trips!$Q5:$Q1004,Trips!$Z5:$Z1004,$R38,Trips!$D5:$D1004,$A38))</f>
        <v/>
      </c>
      <c r="H38" s="107">
        <f>IF(AND($C38="",$I38="",$J38=""),"",N($E38)+N($F38)+N($G38))</f>
        <v/>
      </c>
      <c r="I38" s="108">
        <f>IF($A38="","",IFERROR(1/(1/SUMIFS(Expenses!$F5:$F1004,Expenses!$B5:$B1004,"Cash Advance",Expenses!$J5:$J1004,$R38,Expenses!$E5:$E1004,$A38)),""))</f>
        <v/>
      </c>
      <c r="J38" s="108">
        <f>IF($A38="","",IFERROR(1/(1/SUMIFS(Expenses!$F5:$F1004,Expenses!$B5:$B1004,"Payroll Payout",Expenses!$J5:$J1004,$R38,Expenses!$E5:$E1004,$A38)),""))</f>
        <v/>
      </c>
      <c r="K38" s="109">
        <f>IF($H38="","",N($H38)-N($I38)-N($J38))</f>
        <v/>
      </c>
      <c r="L38" s="110">
        <f>IF($K38="","",IF($K38&gt;0.5,"TO PAY",IF($K38&lt;-0.5,"ADVANCE / OWES","SETTLED")))</f>
        <v/>
      </c>
      <c r="R38" s="111" t="n">
        <v>46082</v>
      </c>
    </row>
    <row r="39">
      <c r="A39" s="103">
        <f>IF(Setup!$A81="","",Setup!$A81)</f>
        <v/>
      </c>
      <c r="B39" s="104">
        <f>IF($A39="","",Setup!$B81)</f>
        <v/>
      </c>
      <c r="C39" s="105">
        <f>IF($A39="","",IF(COUNTIFS(Trips!$Z5:$Z1004,$R39,Trips!$D5:$D1004,$A39)+COUNTIFS(Trips!$Z5:$Z1004,$R39,Trips!$E5:$E1004,$A39)=0,"",COUNTIFS(Trips!$Z5:$Z1004,$R39,Trips!$D5:$D1004,$A39)+COUNTIFS(Trips!$Z5:$Z1004,$R39,Trips!$E5:$E1004,$A39)))</f>
        <v/>
      </c>
      <c r="D39" s="106">
        <f>IF($C39="","",SUMIFS(Trips!$K5:$K1004,Trips!$Z5:$Z1004,$R39,Trips!$D5:$D1004,$A39)+SUMIFS(Trips!$K5:$K1004,Trips!$Z5:$Z1004,$R39,Trips!$E5:$E1004,$A39))</f>
        <v/>
      </c>
      <c r="E39" s="107">
        <f>IF($C39="","",SUMIFS(Trips!$N5:$N1004,Trips!$Z5:$Z1004,$R39,Trips!$D5:$D1004,$A39)+SUMIFS(Trips!$O5:$O1004,Trips!$Z5:$Z1004,$R39,Trips!$E5:$E1004,$A39))</f>
        <v/>
      </c>
      <c r="F39" s="108">
        <f>IF($C39="","",SUMIFS(Trips!$P5:$P1004,Trips!$Z5:$Z1004,$R39,Trips!$D5:$D1004,$A39))</f>
        <v/>
      </c>
      <c r="G39" s="108">
        <f>IF($C39="","",SUMIFS(Trips!$Q5:$Q1004,Trips!$Z5:$Z1004,$R39,Trips!$D5:$D1004,$A39))</f>
        <v/>
      </c>
      <c r="H39" s="107">
        <f>IF(AND($C39="",$I39="",$J39=""),"",N($E39)+N($F39)+N($G39))</f>
        <v/>
      </c>
      <c r="I39" s="108">
        <f>IF($A39="","",IFERROR(1/(1/SUMIFS(Expenses!$F5:$F1004,Expenses!$B5:$B1004,"Cash Advance",Expenses!$J5:$J1004,$R39,Expenses!$E5:$E1004,$A39)),""))</f>
        <v/>
      </c>
      <c r="J39" s="108">
        <f>IF($A39="","",IFERROR(1/(1/SUMIFS(Expenses!$F5:$F1004,Expenses!$B5:$B1004,"Payroll Payout",Expenses!$J5:$J1004,$R39,Expenses!$E5:$E1004,$A39)),""))</f>
        <v/>
      </c>
      <c r="K39" s="109">
        <f>IF($H39="","",N($H39)-N($I39)-N($J39))</f>
        <v/>
      </c>
      <c r="L39" s="110">
        <f>IF($K39="","",IF($K39&gt;0.5,"TO PAY",IF($K39&lt;-0.5,"ADVANCE / OWES","SETTLED")))</f>
        <v/>
      </c>
      <c r="R39" s="111" t="n">
        <v>46082</v>
      </c>
    </row>
    <row r="40">
      <c r="A40" s="103">
        <f>IF(Setup!$A82="","",Setup!$A82)</f>
        <v/>
      </c>
      <c r="B40" s="104">
        <f>IF($A40="","",Setup!$B82)</f>
        <v/>
      </c>
      <c r="C40" s="105">
        <f>IF($A40="","",IF(COUNTIFS(Trips!$Z5:$Z1004,$R40,Trips!$D5:$D1004,$A40)+COUNTIFS(Trips!$Z5:$Z1004,$R40,Trips!$E5:$E1004,$A40)=0,"",COUNTIFS(Trips!$Z5:$Z1004,$R40,Trips!$D5:$D1004,$A40)+COUNTIFS(Trips!$Z5:$Z1004,$R40,Trips!$E5:$E1004,$A40)))</f>
        <v/>
      </c>
      <c r="D40" s="106">
        <f>IF($C40="","",SUMIFS(Trips!$K5:$K1004,Trips!$Z5:$Z1004,$R40,Trips!$D5:$D1004,$A40)+SUMIFS(Trips!$K5:$K1004,Trips!$Z5:$Z1004,$R40,Trips!$E5:$E1004,$A40))</f>
        <v/>
      </c>
      <c r="E40" s="107">
        <f>IF($C40="","",SUMIFS(Trips!$N5:$N1004,Trips!$Z5:$Z1004,$R40,Trips!$D5:$D1004,$A40)+SUMIFS(Trips!$O5:$O1004,Trips!$Z5:$Z1004,$R40,Trips!$E5:$E1004,$A40))</f>
        <v/>
      </c>
      <c r="F40" s="108">
        <f>IF($C40="","",SUMIFS(Trips!$P5:$P1004,Trips!$Z5:$Z1004,$R40,Trips!$D5:$D1004,$A40))</f>
        <v/>
      </c>
      <c r="G40" s="108">
        <f>IF($C40="","",SUMIFS(Trips!$Q5:$Q1004,Trips!$Z5:$Z1004,$R40,Trips!$D5:$D1004,$A40))</f>
        <v/>
      </c>
      <c r="H40" s="107">
        <f>IF(AND($C40="",$I40="",$J40=""),"",N($E40)+N($F40)+N($G40))</f>
        <v/>
      </c>
      <c r="I40" s="108">
        <f>IF($A40="","",IFERROR(1/(1/SUMIFS(Expenses!$F5:$F1004,Expenses!$B5:$B1004,"Cash Advance",Expenses!$J5:$J1004,$R40,Expenses!$E5:$E1004,$A40)),""))</f>
        <v/>
      </c>
      <c r="J40" s="108">
        <f>IF($A40="","",IFERROR(1/(1/SUMIFS(Expenses!$F5:$F1004,Expenses!$B5:$B1004,"Payroll Payout",Expenses!$J5:$J1004,$R40,Expenses!$E5:$E1004,$A40)),""))</f>
        <v/>
      </c>
      <c r="K40" s="109">
        <f>IF($H40="","",N($H40)-N($I40)-N($J40))</f>
        <v/>
      </c>
      <c r="L40" s="110">
        <f>IF($K40="","",IF($K40&gt;0.5,"TO PAY",IF($K40&lt;-0.5,"ADVANCE / OWES","SETTLED")))</f>
        <v/>
      </c>
      <c r="R40" s="111" t="n">
        <v>46082</v>
      </c>
    </row>
    <row r="41">
      <c r="A41" s="103">
        <f>IF(Setup!$A83="","",Setup!$A83)</f>
        <v/>
      </c>
      <c r="B41" s="104">
        <f>IF($A41="","",Setup!$B83)</f>
        <v/>
      </c>
      <c r="C41" s="105">
        <f>IF($A41="","",IF(COUNTIFS(Trips!$Z5:$Z1004,$R41,Trips!$D5:$D1004,$A41)+COUNTIFS(Trips!$Z5:$Z1004,$R41,Trips!$E5:$E1004,$A41)=0,"",COUNTIFS(Trips!$Z5:$Z1004,$R41,Trips!$D5:$D1004,$A41)+COUNTIFS(Trips!$Z5:$Z1004,$R41,Trips!$E5:$E1004,$A41)))</f>
        <v/>
      </c>
      <c r="D41" s="106">
        <f>IF($C41="","",SUMIFS(Trips!$K5:$K1004,Trips!$Z5:$Z1004,$R41,Trips!$D5:$D1004,$A41)+SUMIFS(Trips!$K5:$K1004,Trips!$Z5:$Z1004,$R41,Trips!$E5:$E1004,$A41))</f>
        <v/>
      </c>
      <c r="E41" s="107">
        <f>IF($C41="","",SUMIFS(Trips!$N5:$N1004,Trips!$Z5:$Z1004,$R41,Trips!$D5:$D1004,$A41)+SUMIFS(Trips!$O5:$O1004,Trips!$Z5:$Z1004,$R41,Trips!$E5:$E1004,$A41))</f>
        <v/>
      </c>
      <c r="F41" s="108">
        <f>IF($C41="","",SUMIFS(Trips!$P5:$P1004,Trips!$Z5:$Z1004,$R41,Trips!$D5:$D1004,$A41))</f>
        <v/>
      </c>
      <c r="G41" s="108">
        <f>IF($C41="","",SUMIFS(Trips!$Q5:$Q1004,Trips!$Z5:$Z1004,$R41,Trips!$D5:$D1004,$A41))</f>
        <v/>
      </c>
      <c r="H41" s="107">
        <f>IF(AND($C41="",$I41="",$J41=""),"",N($E41)+N($F41)+N($G41))</f>
        <v/>
      </c>
      <c r="I41" s="108">
        <f>IF($A41="","",IFERROR(1/(1/SUMIFS(Expenses!$F5:$F1004,Expenses!$B5:$B1004,"Cash Advance",Expenses!$J5:$J1004,$R41,Expenses!$E5:$E1004,$A41)),""))</f>
        <v/>
      </c>
      <c r="J41" s="108">
        <f>IF($A41="","",IFERROR(1/(1/SUMIFS(Expenses!$F5:$F1004,Expenses!$B5:$B1004,"Payroll Payout",Expenses!$J5:$J1004,$R41,Expenses!$E5:$E1004,$A41)),""))</f>
        <v/>
      </c>
      <c r="K41" s="109">
        <f>IF($H41="","",N($H41)-N($I41)-N($J41))</f>
        <v/>
      </c>
      <c r="L41" s="110">
        <f>IF($K41="","",IF($K41&gt;0.5,"TO PAY",IF($K41&lt;-0.5,"ADVANCE / OWES","SETTLED")))</f>
        <v/>
      </c>
      <c r="R41" s="111" t="n">
        <v>46082</v>
      </c>
    </row>
    <row r="42">
      <c r="A42" s="103">
        <f>IF(Setup!$A84="","",Setup!$A84)</f>
        <v/>
      </c>
      <c r="B42" s="104">
        <f>IF($A42="","",Setup!$B84)</f>
        <v/>
      </c>
      <c r="C42" s="105">
        <f>IF($A42="","",IF(COUNTIFS(Trips!$Z5:$Z1004,$R42,Trips!$D5:$D1004,$A42)+COUNTIFS(Trips!$Z5:$Z1004,$R42,Trips!$E5:$E1004,$A42)=0,"",COUNTIFS(Trips!$Z5:$Z1004,$R42,Trips!$D5:$D1004,$A42)+COUNTIFS(Trips!$Z5:$Z1004,$R42,Trips!$E5:$E1004,$A42)))</f>
        <v/>
      </c>
      <c r="D42" s="106">
        <f>IF($C42="","",SUMIFS(Trips!$K5:$K1004,Trips!$Z5:$Z1004,$R42,Trips!$D5:$D1004,$A42)+SUMIFS(Trips!$K5:$K1004,Trips!$Z5:$Z1004,$R42,Trips!$E5:$E1004,$A42))</f>
        <v/>
      </c>
      <c r="E42" s="107">
        <f>IF($C42="","",SUMIFS(Trips!$N5:$N1004,Trips!$Z5:$Z1004,$R42,Trips!$D5:$D1004,$A42)+SUMIFS(Trips!$O5:$O1004,Trips!$Z5:$Z1004,$R42,Trips!$E5:$E1004,$A42))</f>
        <v/>
      </c>
      <c r="F42" s="108">
        <f>IF($C42="","",SUMIFS(Trips!$P5:$P1004,Trips!$Z5:$Z1004,$R42,Trips!$D5:$D1004,$A42))</f>
        <v/>
      </c>
      <c r="G42" s="108">
        <f>IF($C42="","",SUMIFS(Trips!$Q5:$Q1004,Trips!$Z5:$Z1004,$R42,Trips!$D5:$D1004,$A42))</f>
        <v/>
      </c>
      <c r="H42" s="107">
        <f>IF(AND($C42="",$I42="",$J42=""),"",N($E42)+N($F42)+N($G42))</f>
        <v/>
      </c>
      <c r="I42" s="108">
        <f>IF($A42="","",IFERROR(1/(1/SUMIFS(Expenses!$F5:$F1004,Expenses!$B5:$B1004,"Cash Advance",Expenses!$J5:$J1004,$R42,Expenses!$E5:$E1004,$A42)),""))</f>
        <v/>
      </c>
      <c r="J42" s="108">
        <f>IF($A42="","",IFERROR(1/(1/SUMIFS(Expenses!$F5:$F1004,Expenses!$B5:$B1004,"Payroll Payout",Expenses!$J5:$J1004,$R42,Expenses!$E5:$E1004,$A42)),""))</f>
        <v/>
      </c>
      <c r="K42" s="109">
        <f>IF($H42="","",N($H42)-N($I42)-N($J42))</f>
        <v/>
      </c>
      <c r="L42" s="110">
        <f>IF($K42="","",IF($K42&gt;0.5,"TO PAY",IF($K42&lt;-0.5,"ADVANCE / OWES","SETTLED")))</f>
        <v/>
      </c>
      <c r="R42" s="111" t="n">
        <v>46082</v>
      </c>
    </row>
    <row r="43">
      <c r="A43" s="103">
        <f>IF(Setup!$A85="","",Setup!$A85)</f>
        <v/>
      </c>
      <c r="B43" s="104">
        <f>IF($A43="","",Setup!$B85)</f>
        <v/>
      </c>
      <c r="C43" s="105">
        <f>IF($A43="","",IF(COUNTIFS(Trips!$Z5:$Z1004,$R43,Trips!$D5:$D1004,$A43)+COUNTIFS(Trips!$Z5:$Z1004,$R43,Trips!$E5:$E1004,$A43)=0,"",COUNTIFS(Trips!$Z5:$Z1004,$R43,Trips!$D5:$D1004,$A43)+COUNTIFS(Trips!$Z5:$Z1004,$R43,Trips!$E5:$E1004,$A43)))</f>
        <v/>
      </c>
      <c r="D43" s="106">
        <f>IF($C43="","",SUMIFS(Trips!$K5:$K1004,Trips!$Z5:$Z1004,$R43,Trips!$D5:$D1004,$A43)+SUMIFS(Trips!$K5:$K1004,Trips!$Z5:$Z1004,$R43,Trips!$E5:$E1004,$A43))</f>
        <v/>
      </c>
      <c r="E43" s="107">
        <f>IF($C43="","",SUMIFS(Trips!$N5:$N1004,Trips!$Z5:$Z1004,$R43,Trips!$D5:$D1004,$A43)+SUMIFS(Trips!$O5:$O1004,Trips!$Z5:$Z1004,$R43,Trips!$E5:$E1004,$A43))</f>
        <v/>
      </c>
      <c r="F43" s="108">
        <f>IF($C43="","",SUMIFS(Trips!$P5:$P1004,Trips!$Z5:$Z1004,$R43,Trips!$D5:$D1004,$A43))</f>
        <v/>
      </c>
      <c r="G43" s="108">
        <f>IF($C43="","",SUMIFS(Trips!$Q5:$Q1004,Trips!$Z5:$Z1004,$R43,Trips!$D5:$D1004,$A43))</f>
        <v/>
      </c>
      <c r="H43" s="107">
        <f>IF(AND($C43="",$I43="",$J43=""),"",N($E43)+N($F43)+N($G43))</f>
        <v/>
      </c>
      <c r="I43" s="108">
        <f>IF($A43="","",IFERROR(1/(1/SUMIFS(Expenses!$F5:$F1004,Expenses!$B5:$B1004,"Cash Advance",Expenses!$J5:$J1004,$R43,Expenses!$E5:$E1004,$A43)),""))</f>
        <v/>
      </c>
      <c r="J43" s="108">
        <f>IF($A43="","",IFERROR(1/(1/SUMIFS(Expenses!$F5:$F1004,Expenses!$B5:$B1004,"Payroll Payout",Expenses!$J5:$J1004,$R43,Expenses!$E5:$E1004,$A43)),""))</f>
        <v/>
      </c>
      <c r="K43" s="109">
        <f>IF($H43="","",N($H43)-N($I43)-N($J43))</f>
        <v/>
      </c>
      <c r="L43" s="110">
        <f>IF($K43="","",IF($K43&gt;0.5,"TO PAY",IF($K43&lt;-0.5,"ADVANCE / OWES","SETTLED")))</f>
        <v/>
      </c>
      <c r="R43" s="111" t="n">
        <v>46082</v>
      </c>
    </row>
    <row r="44">
      <c r="A44" s="103">
        <f>IF(Setup!$A86="","",Setup!$A86)</f>
        <v/>
      </c>
      <c r="B44" s="104">
        <f>IF($A44="","",Setup!$B86)</f>
        <v/>
      </c>
      <c r="C44" s="105">
        <f>IF($A44="","",IF(COUNTIFS(Trips!$Z5:$Z1004,$R44,Trips!$D5:$D1004,$A44)+COUNTIFS(Trips!$Z5:$Z1004,$R44,Trips!$E5:$E1004,$A44)=0,"",COUNTIFS(Trips!$Z5:$Z1004,$R44,Trips!$D5:$D1004,$A44)+COUNTIFS(Trips!$Z5:$Z1004,$R44,Trips!$E5:$E1004,$A44)))</f>
        <v/>
      </c>
      <c r="D44" s="106">
        <f>IF($C44="","",SUMIFS(Trips!$K5:$K1004,Trips!$Z5:$Z1004,$R44,Trips!$D5:$D1004,$A44)+SUMIFS(Trips!$K5:$K1004,Trips!$Z5:$Z1004,$R44,Trips!$E5:$E1004,$A44))</f>
        <v/>
      </c>
      <c r="E44" s="107">
        <f>IF($C44="","",SUMIFS(Trips!$N5:$N1004,Trips!$Z5:$Z1004,$R44,Trips!$D5:$D1004,$A44)+SUMIFS(Trips!$O5:$O1004,Trips!$Z5:$Z1004,$R44,Trips!$E5:$E1004,$A44))</f>
        <v/>
      </c>
      <c r="F44" s="108">
        <f>IF($C44="","",SUMIFS(Trips!$P5:$P1004,Trips!$Z5:$Z1004,$R44,Trips!$D5:$D1004,$A44))</f>
        <v/>
      </c>
      <c r="G44" s="108">
        <f>IF($C44="","",SUMIFS(Trips!$Q5:$Q1004,Trips!$Z5:$Z1004,$R44,Trips!$D5:$D1004,$A44))</f>
        <v/>
      </c>
      <c r="H44" s="107">
        <f>IF(AND($C44="",$I44="",$J44=""),"",N($E44)+N($F44)+N($G44))</f>
        <v/>
      </c>
      <c r="I44" s="108">
        <f>IF($A44="","",IFERROR(1/(1/SUMIFS(Expenses!$F5:$F1004,Expenses!$B5:$B1004,"Cash Advance",Expenses!$J5:$J1004,$R44,Expenses!$E5:$E1004,$A44)),""))</f>
        <v/>
      </c>
      <c r="J44" s="108">
        <f>IF($A44="","",IFERROR(1/(1/SUMIFS(Expenses!$F5:$F1004,Expenses!$B5:$B1004,"Payroll Payout",Expenses!$J5:$J1004,$R44,Expenses!$E5:$E1004,$A44)),""))</f>
        <v/>
      </c>
      <c r="K44" s="109">
        <f>IF($H44="","",N($H44)-N($I44)-N($J44))</f>
        <v/>
      </c>
      <c r="L44" s="110">
        <f>IF($K44="","",IF($K44&gt;0.5,"TO PAY",IF($K44&lt;-0.5,"ADVANCE / OWES","SETTLED")))</f>
        <v/>
      </c>
      <c r="R44" s="111" t="n">
        <v>46082</v>
      </c>
    </row>
    <row r="45">
      <c r="A45" s="103">
        <f>IF(Setup!$A87="","",Setup!$A87)</f>
        <v/>
      </c>
      <c r="B45" s="104">
        <f>IF($A45="","",Setup!$B87)</f>
        <v/>
      </c>
      <c r="C45" s="105">
        <f>IF($A45="","",IF(COUNTIFS(Trips!$Z5:$Z1004,$R45,Trips!$D5:$D1004,$A45)+COUNTIFS(Trips!$Z5:$Z1004,$R45,Trips!$E5:$E1004,$A45)=0,"",COUNTIFS(Trips!$Z5:$Z1004,$R45,Trips!$D5:$D1004,$A45)+COUNTIFS(Trips!$Z5:$Z1004,$R45,Trips!$E5:$E1004,$A45)))</f>
        <v/>
      </c>
      <c r="D45" s="106">
        <f>IF($C45="","",SUMIFS(Trips!$K5:$K1004,Trips!$Z5:$Z1004,$R45,Trips!$D5:$D1004,$A45)+SUMIFS(Trips!$K5:$K1004,Trips!$Z5:$Z1004,$R45,Trips!$E5:$E1004,$A45))</f>
        <v/>
      </c>
      <c r="E45" s="107">
        <f>IF($C45="","",SUMIFS(Trips!$N5:$N1004,Trips!$Z5:$Z1004,$R45,Trips!$D5:$D1004,$A45)+SUMIFS(Trips!$O5:$O1004,Trips!$Z5:$Z1004,$R45,Trips!$E5:$E1004,$A45))</f>
        <v/>
      </c>
      <c r="F45" s="108">
        <f>IF($C45="","",SUMIFS(Trips!$P5:$P1004,Trips!$Z5:$Z1004,$R45,Trips!$D5:$D1004,$A45))</f>
        <v/>
      </c>
      <c r="G45" s="108">
        <f>IF($C45="","",SUMIFS(Trips!$Q5:$Q1004,Trips!$Z5:$Z1004,$R45,Trips!$D5:$D1004,$A45))</f>
        <v/>
      </c>
      <c r="H45" s="107">
        <f>IF(AND($C45="",$I45="",$J45=""),"",N($E45)+N($F45)+N($G45))</f>
        <v/>
      </c>
      <c r="I45" s="108">
        <f>IF($A45="","",IFERROR(1/(1/SUMIFS(Expenses!$F5:$F1004,Expenses!$B5:$B1004,"Cash Advance",Expenses!$J5:$J1004,$R45,Expenses!$E5:$E1004,$A45)),""))</f>
        <v/>
      </c>
      <c r="J45" s="108">
        <f>IF($A45="","",IFERROR(1/(1/SUMIFS(Expenses!$F5:$F1004,Expenses!$B5:$B1004,"Payroll Payout",Expenses!$J5:$J1004,$R45,Expenses!$E5:$E1004,$A45)),""))</f>
        <v/>
      </c>
      <c r="K45" s="109">
        <f>IF($H45="","",N($H45)-N($I45)-N($J45))</f>
        <v/>
      </c>
      <c r="L45" s="110">
        <f>IF($K45="","",IF($K45&gt;0.5,"TO PAY",IF($K45&lt;-0.5,"ADVANCE / OWES","SETTLED")))</f>
        <v/>
      </c>
      <c r="R45" s="111" t="n">
        <v>46082</v>
      </c>
    </row>
    <row r="46">
      <c r="A46" s="112" t="inlineStr">
        <is>
          <t>MONTH TOTAL</t>
        </is>
      </c>
      <c r="B46" s="113" t="n"/>
      <c r="C46" s="114">
        <f>IF(COUNT(C34:C45)=0,"",SUM(C34:C45))</f>
        <v/>
      </c>
      <c r="D46" s="115">
        <f>IF(COUNT(D34:D45)=0,"",SUM(D34:D45))</f>
        <v/>
      </c>
      <c r="E46" s="116">
        <f>IF(COUNT(E34:E45)=0,"",SUM(E34:E45))</f>
        <v/>
      </c>
      <c r="F46" s="116">
        <f>IF(COUNT(F34:F45)=0,"",SUM(F34:F45))</f>
        <v/>
      </c>
      <c r="G46" s="116">
        <f>IF(COUNT(G34:G45)=0,"",SUM(G34:G45))</f>
        <v/>
      </c>
      <c r="H46" s="116">
        <f>IF(COUNT(H34:H45)=0,"",SUM(H34:H45))</f>
        <v/>
      </c>
      <c r="I46" s="116">
        <f>IF(COUNT(I34:I45)=0,"",SUM(I34:I45))</f>
        <v/>
      </c>
      <c r="J46" s="116">
        <f>IF(COUNT(J34:J45)=0,"",SUM(J34:J45))</f>
        <v/>
      </c>
      <c r="K46" s="116">
        <f>IF(COUNT(K34:K45)=0,"",SUM(K34:K45))</f>
        <v/>
      </c>
      <c r="L46" s="117" t="n"/>
    </row>
    <row r="47" ht="24" customHeight="1">
      <c r="A47" s="102" t="inlineStr">
        <is>
          <t>APRIL 2026   ·   crew earnings &amp; settlement</t>
        </is>
      </c>
    </row>
    <row r="48">
      <c r="A48" s="103">
        <f>IF(Setup!$A76="","",Setup!$A76)</f>
        <v/>
      </c>
      <c r="B48" s="104">
        <f>IF($A48="","",Setup!$B76)</f>
        <v/>
      </c>
      <c r="C48" s="105">
        <f>IF($A48="","",IF(COUNTIFS(Trips!$Z5:$Z1004,$R48,Trips!$D5:$D1004,$A48)+COUNTIFS(Trips!$Z5:$Z1004,$R48,Trips!$E5:$E1004,$A48)=0,"",COUNTIFS(Trips!$Z5:$Z1004,$R48,Trips!$D5:$D1004,$A48)+COUNTIFS(Trips!$Z5:$Z1004,$R48,Trips!$E5:$E1004,$A48)))</f>
        <v/>
      </c>
      <c r="D48" s="106">
        <f>IF($C48="","",SUMIFS(Trips!$K5:$K1004,Trips!$Z5:$Z1004,$R48,Trips!$D5:$D1004,$A48)+SUMIFS(Trips!$K5:$K1004,Trips!$Z5:$Z1004,$R48,Trips!$E5:$E1004,$A48))</f>
        <v/>
      </c>
      <c r="E48" s="107">
        <f>IF($C48="","",SUMIFS(Trips!$N5:$N1004,Trips!$Z5:$Z1004,$R48,Trips!$D5:$D1004,$A48)+SUMIFS(Trips!$O5:$O1004,Trips!$Z5:$Z1004,$R48,Trips!$E5:$E1004,$A48))</f>
        <v/>
      </c>
      <c r="F48" s="108">
        <f>IF($C48="","",SUMIFS(Trips!$P5:$P1004,Trips!$Z5:$Z1004,$R48,Trips!$D5:$D1004,$A48))</f>
        <v/>
      </c>
      <c r="G48" s="108">
        <f>IF($C48="","",SUMIFS(Trips!$Q5:$Q1004,Trips!$Z5:$Z1004,$R48,Trips!$D5:$D1004,$A48))</f>
        <v/>
      </c>
      <c r="H48" s="107">
        <f>IF(AND($C48="",$I48="",$J48=""),"",N($E48)+N($F48)+N($G48))</f>
        <v/>
      </c>
      <c r="I48" s="108">
        <f>IF($A48="","",IFERROR(1/(1/SUMIFS(Expenses!$F5:$F1004,Expenses!$B5:$B1004,"Cash Advance",Expenses!$J5:$J1004,$R48,Expenses!$E5:$E1004,$A48)),""))</f>
        <v/>
      </c>
      <c r="J48" s="108">
        <f>IF($A48="","",IFERROR(1/(1/SUMIFS(Expenses!$F5:$F1004,Expenses!$B5:$B1004,"Payroll Payout",Expenses!$J5:$J1004,$R48,Expenses!$E5:$E1004,$A48)),""))</f>
        <v/>
      </c>
      <c r="K48" s="109">
        <f>IF($H48="","",N($H48)-N($I48)-N($J48))</f>
        <v/>
      </c>
      <c r="L48" s="110">
        <f>IF($K48="","",IF($K48&gt;0.5,"TO PAY",IF($K48&lt;-0.5,"ADVANCE / OWES","SETTLED")))</f>
        <v/>
      </c>
      <c r="R48" s="111" t="n">
        <v>46113</v>
      </c>
    </row>
    <row r="49">
      <c r="A49" s="103">
        <f>IF(Setup!$A77="","",Setup!$A77)</f>
        <v/>
      </c>
      <c r="B49" s="104">
        <f>IF($A49="","",Setup!$B77)</f>
        <v/>
      </c>
      <c r="C49" s="105">
        <f>IF($A49="","",IF(COUNTIFS(Trips!$Z5:$Z1004,$R49,Trips!$D5:$D1004,$A49)+COUNTIFS(Trips!$Z5:$Z1004,$R49,Trips!$E5:$E1004,$A49)=0,"",COUNTIFS(Trips!$Z5:$Z1004,$R49,Trips!$D5:$D1004,$A49)+COUNTIFS(Trips!$Z5:$Z1004,$R49,Trips!$E5:$E1004,$A49)))</f>
        <v/>
      </c>
      <c r="D49" s="106">
        <f>IF($C49="","",SUMIFS(Trips!$K5:$K1004,Trips!$Z5:$Z1004,$R49,Trips!$D5:$D1004,$A49)+SUMIFS(Trips!$K5:$K1004,Trips!$Z5:$Z1004,$R49,Trips!$E5:$E1004,$A49))</f>
        <v/>
      </c>
      <c r="E49" s="107">
        <f>IF($C49="","",SUMIFS(Trips!$N5:$N1004,Trips!$Z5:$Z1004,$R49,Trips!$D5:$D1004,$A49)+SUMIFS(Trips!$O5:$O1004,Trips!$Z5:$Z1004,$R49,Trips!$E5:$E1004,$A49))</f>
        <v/>
      </c>
      <c r="F49" s="108">
        <f>IF($C49="","",SUMIFS(Trips!$P5:$P1004,Trips!$Z5:$Z1004,$R49,Trips!$D5:$D1004,$A49))</f>
        <v/>
      </c>
      <c r="G49" s="108">
        <f>IF($C49="","",SUMIFS(Trips!$Q5:$Q1004,Trips!$Z5:$Z1004,$R49,Trips!$D5:$D1004,$A49))</f>
        <v/>
      </c>
      <c r="H49" s="107">
        <f>IF(AND($C49="",$I49="",$J49=""),"",N($E49)+N($F49)+N($G49))</f>
        <v/>
      </c>
      <c r="I49" s="108">
        <f>IF($A49="","",IFERROR(1/(1/SUMIFS(Expenses!$F5:$F1004,Expenses!$B5:$B1004,"Cash Advance",Expenses!$J5:$J1004,$R49,Expenses!$E5:$E1004,$A49)),""))</f>
        <v/>
      </c>
      <c r="J49" s="108">
        <f>IF($A49="","",IFERROR(1/(1/SUMIFS(Expenses!$F5:$F1004,Expenses!$B5:$B1004,"Payroll Payout",Expenses!$J5:$J1004,$R49,Expenses!$E5:$E1004,$A49)),""))</f>
        <v/>
      </c>
      <c r="K49" s="109">
        <f>IF($H49="","",N($H49)-N($I49)-N($J49))</f>
        <v/>
      </c>
      <c r="L49" s="110">
        <f>IF($K49="","",IF($K49&gt;0.5,"TO PAY",IF($K49&lt;-0.5,"ADVANCE / OWES","SETTLED")))</f>
        <v/>
      </c>
      <c r="R49" s="111" t="n">
        <v>46113</v>
      </c>
    </row>
    <row r="50">
      <c r="A50" s="103">
        <f>IF(Setup!$A78="","",Setup!$A78)</f>
        <v/>
      </c>
      <c r="B50" s="104">
        <f>IF($A50="","",Setup!$B78)</f>
        <v/>
      </c>
      <c r="C50" s="105">
        <f>IF($A50="","",IF(COUNTIFS(Trips!$Z5:$Z1004,$R50,Trips!$D5:$D1004,$A50)+COUNTIFS(Trips!$Z5:$Z1004,$R50,Trips!$E5:$E1004,$A50)=0,"",COUNTIFS(Trips!$Z5:$Z1004,$R50,Trips!$D5:$D1004,$A50)+COUNTIFS(Trips!$Z5:$Z1004,$R50,Trips!$E5:$E1004,$A50)))</f>
        <v/>
      </c>
      <c r="D50" s="106">
        <f>IF($C50="","",SUMIFS(Trips!$K5:$K1004,Trips!$Z5:$Z1004,$R50,Trips!$D5:$D1004,$A50)+SUMIFS(Trips!$K5:$K1004,Trips!$Z5:$Z1004,$R50,Trips!$E5:$E1004,$A50))</f>
        <v/>
      </c>
      <c r="E50" s="107">
        <f>IF($C50="","",SUMIFS(Trips!$N5:$N1004,Trips!$Z5:$Z1004,$R50,Trips!$D5:$D1004,$A50)+SUMIFS(Trips!$O5:$O1004,Trips!$Z5:$Z1004,$R50,Trips!$E5:$E1004,$A50))</f>
        <v/>
      </c>
      <c r="F50" s="108">
        <f>IF($C50="","",SUMIFS(Trips!$P5:$P1004,Trips!$Z5:$Z1004,$R50,Trips!$D5:$D1004,$A50))</f>
        <v/>
      </c>
      <c r="G50" s="108">
        <f>IF($C50="","",SUMIFS(Trips!$Q5:$Q1004,Trips!$Z5:$Z1004,$R50,Trips!$D5:$D1004,$A50))</f>
        <v/>
      </c>
      <c r="H50" s="107">
        <f>IF(AND($C50="",$I50="",$J50=""),"",N($E50)+N($F50)+N($G50))</f>
        <v/>
      </c>
      <c r="I50" s="108">
        <f>IF($A50="","",IFERROR(1/(1/SUMIFS(Expenses!$F5:$F1004,Expenses!$B5:$B1004,"Cash Advance",Expenses!$J5:$J1004,$R50,Expenses!$E5:$E1004,$A50)),""))</f>
        <v/>
      </c>
      <c r="J50" s="108">
        <f>IF($A50="","",IFERROR(1/(1/SUMIFS(Expenses!$F5:$F1004,Expenses!$B5:$B1004,"Payroll Payout",Expenses!$J5:$J1004,$R50,Expenses!$E5:$E1004,$A50)),""))</f>
        <v/>
      </c>
      <c r="K50" s="109">
        <f>IF($H50="","",N($H50)-N($I50)-N($J50))</f>
        <v/>
      </c>
      <c r="L50" s="110">
        <f>IF($K50="","",IF($K50&gt;0.5,"TO PAY",IF($K50&lt;-0.5,"ADVANCE / OWES","SETTLED")))</f>
        <v/>
      </c>
      <c r="R50" s="111" t="n">
        <v>46113</v>
      </c>
    </row>
    <row r="51">
      <c r="A51" s="103">
        <f>IF(Setup!$A79="","",Setup!$A79)</f>
        <v/>
      </c>
      <c r="B51" s="104">
        <f>IF($A51="","",Setup!$B79)</f>
        <v/>
      </c>
      <c r="C51" s="105">
        <f>IF($A51="","",IF(COUNTIFS(Trips!$Z5:$Z1004,$R51,Trips!$D5:$D1004,$A51)+COUNTIFS(Trips!$Z5:$Z1004,$R51,Trips!$E5:$E1004,$A51)=0,"",COUNTIFS(Trips!$Z5:$Z1004,$R51,Trips!$D5:$D1004,$A51)+COUNTIFS(Trips!$Z5:$Z1004,$R51,Trips!$E5:$E1004,$A51)))</f>
        <v/>
      </c>
      <c r="D51" s="106">
        <f>IF($C51="","",SUMIFS(Trips!$K5:$K1004,Trips!$Z5:$Z1004,$R51,Trips!$D5:$D1004,$A51)+SUMIFS(Trips!$K5:$K1004,Trips!$Z5:$Z1004,$R51,Trips!$E5:$E1004,$A51))</f>
        <v/>
      </c>
      <c r="E51" s="107">
        <f>IF($C51="","",SUMIFS(Trips!$N5:$N1004,Trips!$Z5:$Z1004,$R51,Trips!$D5:$D1004,$A51)+SUMIFS(Trips!$O5:$O1004,Trips!$Z5:$Z1004,$R51,Trips!$E5:$E1004,$A51))</f>
        <v/>
      </c>
      <c r="F51" s="108">
        <f>IF($C51="","",SUMIFS(Trips!$P5:$P1004,Trips!$Z5:$Z1004,$R51,Trips!$D5:$D1004,$A51))</f>
        <v/>
      </c>
      <c r="G51" s="108">
        <f>IF($C51="","",SUMIFS(Trips!$Q5:$Q1004,Trips!$Z5:$Z1004,$R51,Trips!$D5:$D1004,$A51))</f>
        <v/>
      </c>
      <c r="H51" s="107">
        <f>IF(AND($C51="",$I51="",$J51=""),"",N($E51)+N($F51)+N($G51))</f>
        <v/>
      </c>
      <c r="I51" s="108">
        <f>IF($A51="","",IFERROR(1/(1/SUMIFS(Expenses!$F5:$F1004,Expenses!$B5:$B1004,"Cash Advance",Expenses!$J5:$J1004,$R51,Expenses!$E5:$E1004,$A51)),""))</f>
        <v/>
      </c>
      <c r="J51" s="108">
        <f>IF($A51="","",IFERROR(1/(1/SUMIFS(Expenses!$F5:$F1004,Expenses!$B5:$B1004,"Payroll Payout",Expenses!$J5:$J1004,$R51,Expenses!$E5:$E1004,$A51)),""))</f>
        <v/>
      </c>
      <c r="K51" s="109">
        <f>IF($H51="","",N($H51)-N($I51)-N($J51))</f>
        <v/>
      </c>
      <c r="L51" s="110">
        <f>IF($K51="","",IF($K51&gt;0.5,"TO PAY",IF($K51&lt;-0.5,"ADVANCE / OWES","SETTLED")))</f>
        <v/>
      </c>
      <c r="R51" s="111" t="n">
        <v>46113</v>
      </c>
    </row>
    <row r="52">
      <c r="A52" s="103">
        <f>IF(Setup!$A80="","",Setup!$A80)</f>
        <v/>
      </c>
      <c r="B52" s="104">
        <f>IF($A52="","",Setup!$B80)</f>
        <v/>
      </c>
      <c r="C52" s="105">
        <f>IF($A52="","",IF(COUNTIFS(Trips!$Z5:$Z1004,$R52,Trips!$D5:$D1004,$A52)+COUNTIFS(Trips!$Z5:$Z1004,$R52,Trips!$E5:$E1004,$A52)=0,"",COUNTIFS(Trips!$Z5:$Z1004,$R52,Trips!$D5:$D1004,$A52)+COUNTIFS(Trips!$Z5:$Z1004,$R52,Trips!$E5:$E1004,$A52)))</f>
        <v/>
      </c>
      <c r="D52" s="106">
        <f>IF($C52="","",SUMIFS(Trips!$K5:$K1004,Trips!$Z5:$Z1004,$R52,Trips!$D5:$D1004,$A52)+SUMIFS(Trips!$K5:$K1004,Trips!$Z5:$Z1004,$R52,Trips!$E5:$E1004,$A52))</f>
        <v/>
      </c>
      <c r="E52" s="107">
        <f>IF($C52="","",SUMIFS(Trips!$N5:$N1004,Trips!$Z5:$Z1004,$R52,Trips!$D5:$D1004,$A52)+SUMIFS(Trips!$O5:$O1004,Trips!$Z5:$Z1004,$R52,Trips!$E5:$E1004,$A52))</f>
        <v/>
      </c>
      <c r="F52" s="108">
        <f>IF($C52="","",SUMIFS(Trips!$P5:$P1004,Trips!$Z5:$Z1004,$R52,Trips!$D5:$D1004,$A52))</f>
        <v/>
      </c>
      <c r="G52" s="108">
        <f>IF($C52="","",SUMIFS(Trips!$Q5:$Q1004,Trips!$Z5:$Z1004,$R52,Trips!$D5:$D1004,$A52))</f>
        <v/>
      </c>
      <c r="H52" s="107">
        <f>IF(AND($C52="",$I52="",$J52=""),"",N($E52)+N($F52)+N($G52))</f>
        <v/>
      </c>
      <c r="I52" s="108">
        <f>IF($A52="","",IFERROR(1/(1/SUMIFS(Expenses!$F5:$F1004,Expenses!$B5:$B1004,"Cash Advance",Expenses!$J5:$J1004,$R52,Expenses!$E5:$E1004,$A52)),""))</f>
        <v/>
      </c>
      <c r="J52" s="108">
        <f>IF($A52="","",IFERROR(1/(1/SUMIFS(Expenses!$F5:$F1004,Expenses!$B5:$B1004,"Payroll Payout",Expenses!$J5:$J1004,$R52,Expenses!$E5:$E1004,$A52)),""))</f>
        <v/>
      </c>
      <c r="K52" s="109">
        <f>IF($H52="","",N($H52)-N($I52)-N($J52))</f>
        <v/>
      </c>
      <c r="L52" s="110">
        <f>IF($K52="","",IF($K52&gt;0.5,"TO PAY",IF($K52&lt;-0.5,"ADVANCE / OWES","SETTLED")))</f>
        <v/>
      </c>
      <c r="R52" s="111" t="n">
        <v>46113</v>
      </c>
    </row>
    <row r="53">
      <c r="A53" s="103">
        <f>IF(Setup!$A81="","",Setup!$A81)</f>
        <v/>
      </c>
      <c r="B53" s="104">
        <f>IF($A53="","",Setup!$B81)</f>
        <v/>
      </c>
      <c r="C53" s="105">
        <f>IF($A53="","",IF(COUNTIFS(Trips!$Z5:$Z1004,$R53,Trips!$D5:$D1004,$A53)+COUNTIFS(Trips!$Z5:$Z1004,$R53,Trips!$E5:$E1004,$A53)=0,"",COUNTIFS(Trips!$Z5:$Z1004,$R53,Trips!$D5:$D1004,$A53)+COUNTIFS(Trips!$Z5:$Z1004,$R53,Trips!$E5:$E1004,$A53)))</f>
        <v/>
      </c>
      <c r="D53" s="106">
        <f>IF($C53="","",SUMIFS(Trips!$K5:$K1004,Trips!$Z5:$Z1004,$R53,Trips!$D5:$D1004,$A53)+SUMIFS(Trips!$K5:$K1004,Trips!$Z5:$Z1004,$R53,Trips!$E5:$E1004,$A53))</f>
        <v/>
      </c>
      <c r="E53" s="107">
        <f>IF($C53="","",SUMIFS(Trips!$N5:$N1004,Trips!$Z5:$Z1004,$R53,Trips!$D5:$D1004,$A53)+SUMIFS(Trips!$O5:$O1004,Trips!$Z5:$Z1004,$R53,Trips!$E5:$E1004,$A53))</f>
        <v/>
      </c>
      <c r="F53" s="108">
        <f>IF($C53="","",SUMIFS(Trips!$P5:$P1004,Trips!$Z5:$Z1004,$R53,Trips!$D5:$D1004,$A53))</f>
        <v/>
      </c>
      <c r="G53" s="108">
        <f>IF($C53="","",SUMIFS(Trips!$Q5:$Q1004,Trips!$Z5:$Z1004,$R53,Trips!$D5:$D1004,$A53))</f>
        <v/>
      </c>
      <c r="H53" s="107">
        <f>IF(AND($C53="",$I53="",$J53=""),"",N($E53)+N($F53)+N($G53))</f>
        <v/>
      </c>
      <c r="I53" s="108">
        <f>IF($A53="","",IFERROR(1/(1/SUMIFS(Expenses!$F5:$F1004,Expenses!$B5:$B1004,"Cash Advance",Expenses!$J5:$J1004,$R53,Expenses!$E5:$E1004,$A53)),""))</f>
        <v/>
      </c>
      <c r="J53" s="108">
        <f>IF($A53="","",IFERROR(1/(1/SUMIFS(Expenses!$F5:$F1004,Expenses!$B5:$B1004,"Payroll Payout",Expenses!$J5:$J1004,$R53,Expenses!$E5:$E1004,$A53)),""))</f>
        <v/>
      </c>
      <c r="K53" s="109">
        <f>IF($H53="","",N($H53)-N($I53)-N($J53))</f>
        <v/>
      </c>
      <c r="L53" s="110">
        <f>IF($K53="","",IF($K53&gt;0.5,"TO PAY",IF($K53&lt;-0.5,"ADVANCE / OWES","SETTLED")))</f>
        <v/>
      </c>
      <c r="R53" s="111" t="n">
        <v>46113</v>
      </c>
    </row>
    <row r="54">
      <c r="A54" s="103">
        <f>IF(Setup!$A82="","",Setup!$A82)</f>
        <v/>
      </c>
      <c r="B54" s="104">
        <f>IF($A54="","",Setup!$B82)</f>
        <v/>
      </c>
      <c r="C54" s="105">
        <f>IF($A54="","",IF(COUNTIFS(Trips!$Z5:$Z1004,$R54,Trips!$D5:$D1004,$A54)+COUNTIFS(Trips!$Z5:$Z1004,$R54,Trips!$E5:$E1004,$A54)=0,"",COUNTIFS(Trips!$Z5:$Z1004,$R54,Trips!$D5:$D1004,$A54)+COUNTIFS(Trips!$Z5:$Z1004,$R54,Trips!$E5:$E1004,$A54)))</f>
        <v/>
      </c>
      <c r="D54" s="106">
        <f>IF($C54="","",SUMIFS(Trips!$K5:$K1004,Trips!$Z5:$Z1004,$R54,Trips!$D5:$D1004,$A54)+SUMIFS(Trips!$K5:$K1004,Trips!$Z5:$Z1004,$R54,Trips!$E5:$E1004,$A54))</f>
        <v/>
      </c>
      <c r="E54" s="107">
        <f>IF($C54="","",SUMIFS(Trips!$N5:$N1004,Trips!$Z5:$Z1004,$R54,Trips!$D5:$D1004,$A54)+SUMIFS(Trips!$O5:$O1004,Trips!$Z5:$Z1004,$R54,Trips!$E5:$E1004,$A54))</f>
        <v/>
      </c>
      <c r="F54" s="108">
        <f>IF($C54="","",SUMIFS(Trips!$P5:$P1004,Trips!$Z5:$Z1004,$R54,Trips!$D5:$D1004,$A54))</f>
        <v/>
      </c>
      <c r="G54" s="108">
        <f>IF($C54="","",SUMIFS(Trips!$Q5:$Q1004,Trips!$Z5:$Z1004,$R54,Trips!$D5:$D1004,$A54))</f>
        <v/>
      </c>
      <c r="H54" s="107">
        <f>IF(AND($C54="",$I54="",$J54=""),"",N($E54)+N($F54)+N($G54))</f>
        <v/>
      </c>
      <c r="I54" s="108">
        <f>IF($A54="","",IFERROR(1/(1/SUMIFS(Expenses!$F5:$F1004,Expenses!$B5:$B1004,"Cash Advance",Expenses!$J5:$J1004,$R54,Expenses!$E5:$E1004,$A54)),""))</f>
        <v/>
      </c>
      <c r="J54" s="108">
        <f>IF($A54="","",IFERROR(1/(1/SUMIFS(Expenses!$F5:$F1004,Expenses!$B5:$B1004,"Payroll Payout",Expenses!$J5:$J1004,$R54,Expenses!$E5:$E1004,$A54)),""))</f>
        <v/>
      </c>
      <c r="K54" s="109">
        <f>IF($H54="","",N($H54)-N($I54)-N($J54))</f>
        <v/>
      </c>
      <c r="L54" s="110">
        <f>IF($K54="","",IF($K54&gt;0.5,"TO PAY",IF($K54&lt;-0.5,"ADVANCE / OWES","SETTLED")))</f>
        <v/>
      </c>
      <c r="R54" s="111" t="n">
        <v>46113</v>
      </c>
    </row>
    <row r="55">
      <c r="A55" s="103">
        <f>IF(Setup!$A83="","",Setup!$A83)</f>
        <v/>
      </c>
      <c r="B55" s="104">
        <f>IF($A55="","",Setup!$B83)</f>
        <v/>
      </c>
      <c r="C55" s="105">
        <f>IF($A55="","",IF(COUNTIFS(Trips!$Z5:$Z1004,$R55,Trips!$D5:$D1004,$A55)+COUNTIFS(Trips!$Z5:$Z1004,$R55,Trips!$E5:$E1004,$A55)=0,"",COUNTIFS(Trips!$Z5:$Z1004,$R55,Trips!$D5:$D1004,$A55)+COUNTIFS(Trips!$Z5:$Z1004,$R55,Trips!$E5:$E1004,$A55)))</f>
        <v/>
      </c>
      <c r="D55" s="106">
        <f>IF($C55="","",SUMIFS(Trips!$K5:$K1004,Trips!$Z5:$Z1004,$R55,Trips!$D5:$D1004,$A55)+SUMIFS(Trips!$K5:$K1004,Trips!$Z5:$Z1004,$R55,Trips!$E5:$E1004,$A55))</f>
        <v/>
      </c>
      <c r="E55" s="107">
        <f>IF($C55="","",SUMIFS(Trips!$N5:$N1004,Trips!$Z5:$Z1004,$R55,Trips!$D5:$D1004,$A55)+SUMIFS(Trips!$O5:$O1004,Trips!$Z5:$Z1004,$R55,Trips!$E5:$E1004,$A55))</f>
        <v/>
      </c>
      <c r="F55" s="108">
        <f>IF($C55="","",SUMIFS(Trips!$P5:$P1004,Trips!$Z5:$Z1004,$R55,Trips!$D5:$D1004,$A55))</f>
        <v/>
      </c>
      <c r="G55" s="108">
        <f>IF($C55="","",SUMIFS(Trips!$Q5:$Q1004,Trips!$Z5:$Z1004,$R55,Trips!$D5:$D1004,$A55))</f>
        <v/>
      </c>
      <c r="H55" s="107">
        <f>IF(AND($C55="",$I55="",$J55=""),"",N($E55)+N($F55)+N($G55))</f>
        <v/>
      </c>
      <c r="I55" s="108">
        <f>IF($A55="","",IFERROR(1/(1/SUMIFS(Expenses!$F5:$F1004,Expenses!$B5:$B1004,"Cash Advance",Expenses!$J5:$J1004,$R55,Expenses!$E5:$E1004,$A55)),""))</f>
        <v/>
      </c>
      <c r="J55" s="108">
        <f>IF($A55="","",IFERROR(1/(1/SUMIFS(Expenses!$F5:$F1004,Expenses!$B5:$B1004,"Payroll Payout",Expenses!$J5:$J1004,$R55,Expenses!$E5:$E1004,$A55)),""))</f>
        <v/>
      </c>
      <c r="K55" s="109">
        <f>IF($H55="","",N($H55)-N($I55)-N($J55))</f>
        <v/>
      </c>
      <c r="L55" s="110">
        <f>IF($K55="","",IF($K55&gt;0.5,"TO PAY",IF($K55&lt;-0.5,"ADVANCE / OWES","SETTLED")))</f>
        <v/>
      </c>
      <c r="R55" s="111" t="n">
        <v>46113</v>
      </c>
    </row>
    <row r="56">
      <c r="A56" s="103">
        <f>IF(Setup!$A84="","",Setup!$A84)</f>
        <v/>
      </c>
      <c r="B56" s="104">
        <f>IF($A56="","",Setup!$B84)</f>
        <v/>
      </c>
      <c r="C56" s="105">
        <f>IF($A56="","",IF(COUNTIFS(Trips!$Z5:$Z1004,$R56,Trips!$D5:$D1004,$A56)+COUNTIFS(Trips!$Z5:$Z1004,$R56,Trips!$E5:$E1004,$A56)=0,"",COUNTIFS(Trips!$Z5:$Z1004,$R56,Trips!$D5:$D1004,$A56)+COUNTIFS(Trips!$Z5:$Z1004,$R56,Trips!$E5:$E1004,$A56)))</f>
        <v/>
      </c>
      <c r="D56" s="106">
        <f>IF($C56="","",SUMIFS(Trips!$K5:$K1004,Trips!$Z5:$Z1004,$R56,Trips!$D5:$D1004,$A56)+SUMIFS(Trips!$K5:$K1004,Trips!$Z5:$Z1004,$R56,Trips!$E5:$E1004,$A56))</f>
        <v/>
      </c>
      <c r="E56" s="107">
        <f>IF($C56="","",SUMIFS(Trips!$N5:$N1004,Trips!$Z5:$Z1004,$R56,Trips!$D5:$D1004,$A56)+SUMIFS(Trips!$O5:$O1004,Trips!$Z5:$Z1004,$R56,Trips!$E5:$E1004,$A56))</f>
        <v/>
      </c>
      <c r="F56" s="108">
        <f>IF($C56="","",SUMIFS(Trips!$P5:$P1004,Trips!$Z5:$Z1004,$R56,Trips!$D5:$D1004,$A56))</f>
        <v/>
      </c>
      <c r="G56" s="108">
        <f>IF($C56="","",SUMIFS(Trips!$Q5:$Q1004,Trips!$Z5:$Z1004,$R56,Trips!$D5:$D1004,$A56))</f>
        <v/>
      </c>
      <c r="H56" s="107">
        <f>IF(AND($C56="",$I56="",$J56=""),"",N($E56)+N($F56)+N($G56))</f>
        <v/>
      </c>
      <c r="I56" s="108">
        <f>IF($A56="","",IFERROR(1/(1/SUMIFS(Expenses!$F5:$F1004,Expenses!$B5:$B1004,"Cash Advance",Expenses!$J5:$J1004,$R56,Expenses!$E5:$E1004,$A56)),""))</f>
        <v/>
      </c>
      <c r="J56" s="108">
        <f>IF($A56="","",IFERROR(1/(1/SUMIFS(Expenses!$F5:$F1004,Expenses!$B5:$B1004,"Payroll Payout",Expenses!$J5:$J1004,$R56,Expenses!$E5:$E1004,$A56)),""))</f>
        <v/>
      </c>
      <c r="K56" s="109">
        <f>IF($H56="","",N($H56)-N($I56)-N($J56))</f>
        <v/>
      </c>
      <c r="L56" s="110">
        <f>IF($K56="","",IF($K56&gt;0.5,"TO PAY",IF($K56&lt;-0.5,"ADVANCE / OWES","SETTLED")))</f>
        <v/>
      </c>
      <c r="R56" s="111" t="n">
        <v>46113</v>
      </c>
    </row>
    <row r="57">
      <c r="A57" s="103">
        <f>IF(Setup!$A85="","",Setup!$A85)</f>
        <v/>
      </c>
      <c r="B57" s="104">
        <f>IF($A57="","",Setup!$B85)</f>
        <v/>
      </c>
      <c r="C57" s="105">
        <f>IF($A57="","",IF(COUNTIFS(Trips!$Z5:$Z1004,$R57,Trips!$D5:$D1004,$A57)+COUNTIFS(Trips!$Z5:$Z1004,$R57,Trips!$E5:$E1004,$A57)=0,"",COUNTIFS(Trips!$Z5:$Z1004,$R57,Trips!$D5:$D1004,$A57)+COUNTIFS(Trips!$Z5:$Z1004,$R57,Trips!$E5:$E1004,$A57)))</f>
        <v/>
      </c>
      <c r="D57" s="106">
        <f>IF($C57="","",SUMIFS(Trips!$K5:$K1004,Trips!$Z5:$Z1004,$R57,Trips!$D5:$D1004,$A57)+SUMIFS(Trips!$K5:$K1004,Trips!$Z5:$Z1004,$R57,Trips!$E5:$E1004,$A57))</f>
        <v/>
      </c>
      <c r="E57" s="107">
        <f>IF($C57="","",SUMIFS(Trips!$N5:$N1004,Trips!$Z5:$Z1004,$R57,Trips!$D5:$D1004,$A57)+SUMIFS(Trips!$O5:$O1004,Trips!$Z5:$Z1004,$R57,Trips!$E5:$E1004,$A57))</f>
        <v/>
      </c>
      <c r="F57" s="108">
        <f>IF($C57="","",SUMIFS(Trips!$P5:$P1004,Trips!$Z5:$Z1004,$R57,Trips!$D5:$D1004,$A57))</f>
        <v/>
      </c>
      <c r="G57" s="108">
        <f>IF($C57="","",SUMIFS(Trips!$Q5:$Q1004,Trips!$Z5:$Z1004,$R57,Trips!$D5:$D1004,$A57))</f>
        <v/>
      </c>
      <c r="H57" s="107">
        <f>IF(AND($C57="",$I57="",$J57=""),"",N($E57)+N($F57)+N($G57))</f>
        <v/>
      </c>
      <c r="I57" s="108">
        <f>IF($A57="","",IFERROR(1/(1/SUMIFS(Expenses!$F5:$F1004,Expenses!$B5:$B1004,"Cash Advance",Expenses!$J5:$J1004,$R57,Expenses!$E5:$E1004,$A57)),""))</f>
        <v/>
      </c>
      <c r="J57" s="108">
        <f>IF($A57="","",IFERROR(1/(1/SUMIFS(Expenses!$F5:$F1004,Expenses!$B5:$B1004,"Payroll Payout",Expenses!$J5:$J1004,$R57,Expenses!$E5:$E1004,$A57)),""))</f>
        <v/>
      </c>
      <c r="K57" s="109">
        <f>IF($H57="","",N($H57)-N($I57)-N($J57))</f>
        <v/>
      </c>
      <c r="L57" s="110">
        <f>IF($K57="","",IF($K57&gt;0.5,"TO PAY",IF($K57&lt;-0.5,"ADVANCE / OWES","SETTLED")))</f>
        <v/>
      </c>
      <c r="R57" s="111" t="n">
        <v>46113</v>
      </c>
    </row>
    <row r="58">
      <c r="A58" s="103">
        <f>IF(Setup!$A86="","",Setup!$A86)</f>
        <v/>
      </c>
      <c r="B58" s="104">
        <f>IF($A58="","",Setup!$B86)</f>
        <v/>
      </c>
      <c r="C58" s="105">
        <f>IF($A58="","",IF(COUNTIFS(Trips!$Z5:$Z1004,$R58,Trips!$D5:$D1004,$A58)+COUNTIFS(Trips!$Z5:$Z1004,$R58,Trips!$E5:$E1004,$A58)=0,"",COUNTIFS(Trips!$Z5:$Z1004,$R58,Trips!$D5:$D1004,$A58)+COUNTIFS(Trips!$Z5:$Z1004,$R58,Trips!$E5:$E1004,$A58)))</f>
        <v/>
      </c>
      <c r="D58" s="106">
        <f>IF($C58="","",SUMIFS(Trips!$K5:$K1004,Trips!$Z5:$Z1004,$R58,Trips!$D5:$D1004,$A58)+SUMIFS(Trips!$K5:$K1004,Trips!$Z5:$Z1004,$R58,Trips!$E5:$E1004,$A58))</f>
        <v/>
      </c>
      <c r="E58" s="107">
        <f>IF($C58="","",SUMIFS(Trips!$N5:$N1004,Trips!$Z5:$Z1004,$R58,Trips!$D5:$D1004,$A58)+SUMIFS(Trips!$O5:$O1004,Trips!$Z5:$Z1004,$R58,Trips!$E5:$E1004,$A58))</f>
        <v/>
      </c>
      <c r="F58" s="108">
        <f>IF($C58="","",SUMIFS(Trips!$P5:$P1004,Trips!$Z5:$Z1004,$R58,Trips!$D5:$D1004,$A58))</f>
        <v/>
      </c>
      <c r="G58" s="108">
        <f>IF($C58="","",SUMIFS(Trips!$Q5:$Q1004,Trips!$Z5:$Z1004,$R58,Trips!$D5:$D1004,$A58))</f>
        <v/>
      </c>
      <c r="H58" s="107">
        <f>IF(AND($C58="",$I58="",$J58=""),"",N($E58)+N($F58)+N($G58))</f>
        <v/>
      </c>
      <c r="I58" s="108">
        <f>IF($A58="","",IFERROR(1/(1/SUMIFS(Expenses!$F5:$F1004,Expenses!$B5:$B1004,"Cash Advance",Expenses!$J5:$J1004,$R58,Expenses!$E5:$E1004,$A58)),""))</f>
        <v/>
      </c>
      <c r="J58" s="108">
        <f>IF($A58="","",IFERROR(1/(1/SUMIFS(Expenses!$F5:$F1004,Expenses!$B5:$B1004,"Payroll Payout",Expenses!$J5:$J1004,$R58,Expenses!$E5:$E1004,$A58)),""))</f>
        <v/>
      </c>
      <c r="K58" s="109">
        <f>IF($H58="","",N($H58)-N($I58)-N($J58))</f>
        <v/>
      </c>
      <c r="L58" s="110">
        <f>IF($K58="","",IF($K58&gt;0.5,"TO PAY",IF($K58&lt;-0.5,"ADVANCE / OWES","SETTLED")))</f>
        <v/>
      </c>
      <c r="R58" s="111" t="n">
        <v>46113</v>
      </c>
    </row>
    <row r="59">
      <c r="A59" s="103">
        <f>IF(Setup!$A87="","",Setup!$A87)</f>
        <v/>
      </c>
      <c r="B59" s="104">
        <f>IF($A59="","",Setup!$B87)</f>
        <v/>
      </c>
      <c r="C59" s="105">
        <f>IF($A59="","",IF(COUNTIFS(Trips!$Z5:$Z1004,$R59,Trips!$D5:$D1004,$A59)+COUNTIFS(Trips!$Z5:$Z1004,$R59,Trips!$E5:$E1004,$A59)=0,"",COUNTIFS(Trips!$Z5:$Z1004,$R59,Trips!$D5:$D1004,$A59)+COUNTIFS(Trips!$Z5:$Z1004,$R59,Trips!$E5:$E1004,$A59)))</f>
        <v/>
      </c>
      <c r="D59" s="106">
        <f>IF($C59="","",SUMIFS(Trips!$K5:$K1004,Trips!$Z5:$Z1004,$R59,Trips!$D5:$D1004,$A59)+SUMIFS(Trips!$K5:$K1004,Trips!$Z5:$Z1004,$R59,Trips!$E5:$E1004,$A59))</f>
        <v/>
      </c>
      <c r="E59" s="107">
        <f>IF($C59="","",SUMIFS(Trips!$N5:$N1004,Trips!$Z5:$Z1004,$R59,Trips!$D5:$D1004,$A59)+SUMIFS(Trips!$O5:$O1004,Trips!$Z5:$Z1004,$R59,Trips!$E5:$E1004,$A59))</f>
        <v/>
      </c>
      <c r="F59" s="108">
        <f>IF($C59="","",SUMIFS(Trips!$P5:$P1004,Trips!$Z5:$Z1004,$R59,Trips!$D5:$D1004,$A59))</f>
        <v/>
      </c>
      <c r="G59" s="108">
        <f>IF($C59="","",SUMIFS(Trips!$Q5:$Q1004,Trips!$Z5:$Z1004,$R59,Trips!$D5:$D1004,$A59))</f>
        <v/>
      </c>
      <c r="H59" s="107">
        <f>IF(AND($C59="",$I59="",$J59=""),"",N($E59)+N($F59)+N($G59))</f>
        <v/>
      </c>
      <c r="I59" s="108">
        <f>IF($A59="","",IFERROR(1/(1/SUMIFS(Expenses!$F5:$F1004,Expenses!$B5:$B1004,"Cash Advance",Expenses!$J5:$J1004,$R59,Expenses!$E5:$E1004,$A59)),""))</f>
        <v/>
      </c>
      <c r="J59" s="108">
        <f>IF($A59="","",IFERROR(1/(1/SUMIFS(Expenses!$F5:$F1004,Expenses!$B5:$B1004,"Payroll Payout",Expenses!$J5:$J1004,$R59,Expenses!$E5:$E1004,$A59)),""))</f>
        <v/>
      </c>
      <c r="K59" s="109">
        <f>IF($H59="","",N($H59)-N($I59)-N($J59))</f>
        <v/>
      </c>
      <c r="L59" s="110">
        <f>IF($K59="","",IF($K59&gt;0.5,"TO PAY",IF($K59&lt;-0.5,"ADVANCE / OWES","SETTLED")))</f>
        <v/>
      </c>
      <c r="R59" s="111" t="n">
        <v>46113</v>
      </c>
    </row>
    <row r="60">
      <c r="A60" s="112" t="inlineStr">
        <is>
          <t>MONTH TOTAL</t>
        </is>
      </c>
      <c r="B60" s="113" t="n"/>
      <c r="C60" s="114">
        <f>IF(COUNT(C48:C59)=0,"",SUM(C48:C59))</f>
        <v/>
      </c>
      <c r="D60" s="115">
        <f>IF(COUNT(D48:D59)=0,"",SUM(D48:D59))</f>
        <v/>
      </c>
      <c r="E60" s="116">
        <f>IF(COUNT(E48:E59)=0,"",SUM(E48:E59))</f>
        <v/>
      </c>
      <c r="F60" s="116">
        <f>IF(COUNT(F48:F59)=0,"",SUM(F48:F59))</f>
        <v/>
      </c>
      <c r="G60" s="116">
        <f>IF(COUNT(G48:G59)=0,"",SUM(G48:G59))</f>
        <v/>
      </c>
      <c r="H60" s="116">
        <f>IF(COUNT(H48:H59)=0,"",SUM(H48:H59))</f>
        <v/>
      </c>
      <c r="I60" s="116">
        <f>IF(COUNT(I48:I59)=0,"",SUM(I48:I59))</f>
        <v/>
      </c>
      <c r="J60" s="116">
        <f>IF(COUNT(J48:J59)=0,"",SUM(J48:J59))</f>
        <v/>
      </c>
      <c r="K60" s="116">
        <f>IF(COUNT(K48:K59)=0,"",SUM(K48:K59))</f>
        <v/>
      </c>
      <c r="L60" s="117" t="n"/>
    </row>
    <row r="61" ht="24" customHeight="1">
      <c r="A61" s="102" t="inlineStr">
        <is>
          <t>MAY 2026   ·   crew earnings &amp; settlement</t>
        </is>
      </c>
    </row>
    <row r="62">
      <c r="A62" s="103">
        <f>IF(Setup!$A76="","",Setup!$A76)</f>
        <v/>
      </c>
      <c r="B62" s="104">
        <f>IF($A62="","",Setup!$B76)</f>
        <v/>
      </c>
      <c r="C62" s="105">
        <f>IF($A62="","",IF(COUNTIFS(Trips!$Z5:$Z1004,$R62,Trips!$D5:$D1004,$A62)+COUNTIFS(Trips!$Z5:$Z1004,$R62,Trips!$E5:$E1004,$A62)=0,"",COUNTIFS(Trips!$Z5:$Z1004,$R62,Trips!$D5:$D1004,$A62)+COUNTIFS(Trips!$Z5:$Z1004,$R62,Trips!$E5:$E1004,$A62)))</f>
        <v/>
      </c>
      <c r="D62" s="106">
        <f>IF($C62="","",SUMIFS(Trips!$K5:$K1004,Trips!$Z5:$Z1004,$R62,Trips!$D5:$D1004,$A62)+SUMIFS(Trips!$K5:$K1004,Trips!$Z5:$Z1004,$R62,Trips!$E5:$E1004,$A62))</f>
        <v/>
      </c>
      <c r="E62" s="107">
        <f>IF($C62="","",SUMIFS(Trips!$N5:$N1004,Trips!$Z5:$Z1004,$R62,Trips!$D5:$D1004,$A62)+SUMIFS(Trips!$O5:$O1004,Trips!$Z5:$Z1004,$R62,Trips!$E5:$E1004,$A62))</f>
        <v/>
      </c>
      <c r="F62" s="108">
        <f>IF($C62="","",SUMIFS(Trips!$P5:$P1004,Trips!$Z5:$Z1004,$R62,Trips!$D5:$D1004,$A62))</f>
        <v/>
      </c>
      <c r="G62" s="108">
        <f>IF($C62="","",SUMIFS(Trips!$Q5:$Q1004,Trips!$Z5:$Z1004,$R62,Trips!$D5:$D1004,$A62))</f>
        <v/>
      </c>
      <c r="H62" s="107">
        <f>IF(AND($C62="",$I62="",$J62=""),"",N($E62)+N($F62)+N($G62))</f>
        <v/>
      </c>
      <c r="I62" s="108">
        <f>IF($A62="","",IFERROR(1/(1/SUMIFS(Expenses!$F5:$F1004,Expenses!$B5:$B1004,"Cash Advance",Expenses!$J5:$J1004,$R62,Expenses!$E5:$E1004,$A62)),""))</f>
        <v/>
      </c>
      <c r="J62" s="108">
        <f>IF($A62="","",IFERROR(1/(1/SUMIFS(Expenses!$F5:$F1004,Expenses!$B5:$B1004,"Payroll Payout",Expenses!$J5:$J1004,$R62,Expenses!$E5:$E1004,$A62)),""))</f>
        <v/>
      </c>
      <c r="K62" s="109">
        <f>IF($H62="","",N($H62)-N($I62)-N($J62))</f>
        <v/>
      </c>
      <c r="L62" s="110">
        <f>IF($K62="","",IF($K62&gt;0.5,"TO PAY",IF($K62&lt;-0.5,"ADVANCE / OWES","SETTLED")))</f>
        <v/>
      </c>
      <c r="R62" s="111" t="n">
        <v>46143</v>
      </c>
    </row>
    <row r="63">
      <c r="A63" s="103">
        <f>IF(Setup!$A77="","",Setup!$A77)</f>
        <v/>
      </c>
      <c r="B63" s="104">
        <f>IF($A63="","",Setup!$B77)</f>
        <v/>
      </c>
      <c r="C63" s="105">
        <f>IF($A63="","",IF(COUNTIFS(Trips!$Z5:$Z1004,$R63,Trips!$D5:$D1004,$A63)+COUNTIFS(Trips!$Z5:$Z1004,$R63,Trips!$E5:$E1004,$A63)=0,"",COUNTIFS(Trips!$Z5:$Z1004,$R63,Trips!$D5:$D1004,$A63)+COUNTIFS(Trips!$Z5:$Z1004,$R63,Trips!$E5:$E1004,$A63)))</f>
        <v/>
      </c>
      <c r="D63" s="106">
        <f>IF($C63="","",SUMIFS(Trips!$K5:$K1004,Trips!$Z5:$Z1004,$R63,Trips!$D5:$D1004,$A63)+SUMIFS(Trips!$K5:$K1004,Trips!$Z5:$Z1004,$R63,Trips!$E5:$E1004,$A63))</f>
        <v/>
      </c>
      <c r="E63" s="107">
        <f>IF($C63="","",SUMIFS(Trips!$N5:$N1004,Trips!$Z5:$Z1004,$R63,Trips!$D5:$D1004,$A63)+SUMIFS(Trips!$O5:$O1004,Trips!$Z5:$Z1004,$R63,Trips!$E5:$E1004,$A63))</f>
        <v/>
      </c>
      <c r="F63" s="108">
        <f>IF($C63="","",SUMIFS(Trips!$P5:$P1004,Trips!$Z5:$Z1004,$R63,Trips!$D5:$D1004,$A63))</f>
        <v/>
      </c>
      <c r="G63" s="108">
        <f>IF($C63="","",SUMIFS(Trips!$Q5:$Q1004,Trips!$Z5:$Z1004,$R63,Trips!$D5:$D1004,$A63))</f>
        <v/>
      </c>
      <c r="H63" s="107">
        <f>IF(AND($C63="",$I63="",$J63=""),"",N($E63)+N($F63)+N($G63))</f>
        <v/>
      </c>
      <c r="I63" s="108">
        <f>IF($A63="","",IFERROR(1/(1/SUMIFS(Expenses!$F5:$F1004,Expenses!$B5:$B1004,"Cash Advance",Expenses!$J5:$J1004,$R63,Expenses!$E5:$E1004,$A63)),""))</f>
        <v/>
      </c>
      <c r="J63" s="108">
        <f>IF($A63="","",IFERROR(1/(1/SUMIFS(Expenses!$F5:$F1004,Expenses!$B5:$B1004,"Payroll Payout",Expenses!$J5:$J1004,$R63,Expenses!$E5:$E1004,$A63)),""))</f>
        <v/>
      </c>
      <c r="K63" s="109">
        <f>IF($H63="","",N($H63)-N($I63)-N($J63))</f>
        <v/>
      </c>
      <c r="L63" s="110">
        <f>IF($K63="","",IF($K63&gt;0.5,"TO PAY",IF($K63&lt;-0.5,"ADVANCE / OWES","SETTLED")))</f>
        <v/>
      </c>
      <c r="R63" s="111" t="n">
        <v>46143</v>
      </c>
    </row>
    <row r="64">
      <c r="A64" s="103">
        <f>IF(Setup!$A78="","",Setup!$A78)</f>
        <v/>
      </c>
      <c r="B64" s="104">
        <f>IF($A64="","",Setup!$B78)</f>
        <v/>
      </c>
      <c r="C64" s="105">
        <f>IF($A64="","",IF(COUNTIFS(Trips!$Z5:$Z1004,$R64,Trips!$D5:$D1004,$A64)+COUNTIFS(Trips!$Z5:$Z1004,$R64,Trips!$E5:$E1004,$A64)=0,"",COUNTIFS(Trips!$Z5:$Z1004,$R64,Trips!$D5:$D1004,$A64)+COUNTIFS(Trips!$Z5:$Z1004,$R64,Trips!$E5:$E1004,$A64)))</f>
        <v/>
      </c>
      <c r="D64" s="106">
        <f>IF($C64="","",SUMIFS(Trips!$K5:$K1004,Trips!$Z5:$Z1004,$R64,Trips!$D5:$D1004,$A64)+SUMIFS(Trips!$K5:$K1004,Trips!$Z5:$Z1004,$R64,Trips!$E5:$E1004,$A64))</f>
        <v/>
      </c>
      <c r="E64" s="107">
        <f>IF($C64="","",SUMIFS(Trips!$N5:$N1004,Trips!$Z5:$Z1004,$R64,Trips!$D5:$D1004,$A64)+SUMIFS(Trips!$O5:$O1004,Trips!$Z5:$Z1004,$R64,Trips!$E5:$E1004,$A64))</f>
        <v/>
      </c>
      <c r="F64" s="108">
        <f>IF($C64="","",SUMIFS(Trips!$P5:$P1004,Trips!$Z5:$Z1004,$R64,Trips!$D5:$D1004,$A64))</f>
        <v/>
      </c>
      <c r="G64" s="108">
        <f>IF($C64="","",SUMIFS(Trips!$Q5:$Q1004,Trips!$Z5:$Z1004,$R64,Trips!$D5:$D1004,$A64))</f>
        <v/>
      </c>
      <c r="H64" s="107">
        <f>IF(AND($C64="",$I64="",$J64=""),"",N($E64)+N($F64)+N($G64))</f>
        <v/>
      </c>
      <c r="I64" s="108">
        <f>IF($A64="","",IFERROR(1/(1/SUMIFS(Expenses!$F5:$F1004,Expenses!$B5:$B1004,"Cash Advance",Expenses!$J5:$J1004,$R64,Expenses!$E5:$E1004,$A64)),""))</f>
        <v/>
      </c>
      <c r="J64" s="108">
        <f>IF($A64="","",IFERROR(1/(1/SUMIFS(Expenses!$F5:$F1004,Expenses!$B5:$B1004,"Payroll Payout",Expenses!$J5:$J1004,$R64,Expenses!$E5:$E1004,$A64)),""))</f>
        <v/>
      </c>
      <c r="K64" s="109">
        <f>IF($H64="","",N($H64)-N($I64)-N($J64))</f>
        <v/>
      </c>
      <c r="L64" s="110">
        <f>IF($K64="","",IF($K64&gt;0.5,"TO PAY",IF($K64&lt;-0.5,"ADVANCE / OWES","SETTLED")))</f>
        <v/>
      </c>
      <c r="R64" s="111" t="n">
        <v>46143</v>
      </c>
    </row>
    <row r="65">
      <c r="A65" s="103">
        <f>IF(Setup!$A79="","",Setup!$A79)</f>
        <v/>
      </c>
      <c r="B65" s="104">
        <f>IF($A65="","",Setup!$B79)</f>
        <v/>
      </c>
      <c r="C65" s="105">
        <f>IF($A65="","",IF(COUNTIFS(Trips!$Z5:$Z1004,$R65,Trips!$D5:$D1004,$A65)+COUNTIFS(Trips!$Z5:$Z1004,$R65,Trips!$E5:$E1004,$A65)=0,"",COUNTIFS(Trips!$Z5:$Z1004,$R65,Trips!$D5:$D1004,$A65)+COUNTIFS(Trips!$Z5:$Z1004,$R65,Trips!$E5:$E1004,$A65)))</f>
        <v/>
      </c>
      <c r="D65" s="106">
        <f>IF($C65="","",SUMIFS(Trips!$K5:$K1004,Trips!$Z5:$Z1004,$R65,Trips!$D5:$D1004,$A65)+SUMIFS(Trips!$K5:$K1004,Trips!$Z5:$Z1004,$R65,Trips!$E5:$E1004,$A65))</f>
        <v/>
      </c>
      <c r="E65" s="107">
        <f>IF($C65="","",SUMIFS(Trips!$N5:$N1004,Trips!$Z5:$Z1004,$R65,Trips!$D5:$D1004,$A65)+SUMIFS(Trips!$O5:$O1004,Trips!$Z5:$Z1004,$R65,Trips!$E5:$E1004,$A65))</f>
        <v/>
      </c>
      <c r="F65" s="108">
        <f>IF($C65="","",SUMIFS(Trips!$P5:$P1004,Trips!$Z5:$Z1004,$R65,Trips!$D5:$D1004,$A65))</f>
        <v/>
      </c>
      <c r="G65" s="108">
        <f>IF($C65="","",SUMIFS(Trips!$Q5:$Q1004,Trips!$Z5:$Z1004,$R65,Trips!$D5:$D1004,$A65))</f>
        <v/>
      </c>
      <c r="H65" s="107">
        <f>IF(AND($C65="",$I65="",$J65=""),"",N($E65)+N($F65)+N($G65))</f>
        <v/>
      </c>
      <c r="I65" s="108">
        <f>IF($A65="","",IFERROR(1/(1/SUMIFS(Expenses!$F5:$F1004,Expenses!$B5:$B1004,"Cash Advance",Expenses!$J5:$J1004,$R65,Expenses!$E5:$E1004,$A65)),""))</f>
        <v/>
      </c>
      <c r="J65" s="108">
        <f>IF($A65="","",IFERROR(1/(1/SUMIFS(Expenses!$F5:$F1004,Expenses!$B5:$B1004,"Payroll Payout",Expenses!$J5:$J1004,$R65,Expenses!$E5:$E1004,$A65)),""))</f>
        <v/>
      </c>
      <c r="K65" s="109">
        <f>IF($H65="","",N($H65)-N($I65)-N($J65))</f>
        <v/>
      </c>
      <c r="L65" s="110">
        <f>IF($K65="","",IF($K65&gt;0.5,"TO PAY",IF($K65&lt;-0.5,"ADVANCE / OWES","SETTLED")))</f>
        <v/>
      </c>
      <c r="R65" s="111" t="n">
        <v>46143</v>
      </c>
    </row>
    <row r="66">
      <c r="A66" s="103">
        <f>IF(Setup!$A80="","",Setup!$A80)</f>
        <v/>
      </c>
      <c r="B66" s="104">
        <f>IF($A66="","",Setup!$B80)</f>
        <v/>
      </c>
      <c r="C66" s="105">
        <f>IF($A66="","",IF(COUNTIFS(Trips!$Z5:$Z1004,$R66,Trips!$D5:$D1004,$A66)+COUNTIFS(Trips!$Z5:$Z1004,$R66,Trips!$E5:$E1004,$A66)=0,"",COUNTIFS(Trips!$Z5:$Z1004,$R66,Trips!$D5:$D1004,$A66)+COUNTIFS(Trips!$Z5:$Z1004,$R66,Trips!$E5:$E1004,$A66)))</f>
        <v/>
      </c>
      <c r="D66" s="106">
        <f>IF($C66="","",SUMIFS(Trips!$K5:$K1004,Trips!$Z5:$Z1004,$R66,Trips!$D5:$D1004,$A66)+SUMIFS(Trips!$K5:$K1004,Trips!$Z5:$Z1004,$R66,Trips!$E5:$E1004,$A66))</f>
        <v/>
      </c>
      <c r="E66" s="107">
        <f>IF($C66="","",SUMIFS(Trips!$N5:$N1004,Trips!$Z5:$Z1004,$R66,Trips!$D5:$D1004,$A66)+SUMIFS(Trips!$O5:$O1004,Trips!$Z5:$Z1004,$R66,Trips!$E5:$E1004,$A66))</f>
        <v/>
      </c>
      <c r="F66" s="108">
        <f>IF($C66="","",SUMIFS(Trips!$P5:$P1004,Trips!$Z5:$Z1004,$R66,Trips!$D5:$D1004,$A66))</f>
        <v/>
      </c>
      <c r="G66" s="108">
        <f>IF($C66="","",SUMIFS(Trips!$Q5:$Q1004,Trips!$Z5:$Z1004,$R66,Trips!$D5:$D1004,$A66))</f>
        <v/>
      </c>
      <c r="H66" s="107">
        <f>IF(AND($C66="",$I66="",$J66=""),"",N($E66)+N($F66)+N($G66))</f>
        <v/>
      </c>
      <c r="I66" s="108">
        <f>IF($A66="","",IFERROR(1/(1/SUMIFS(Expenses!$F5:$F1004,Expenses!$B5:$B1004,"Cash Advance",Expenses!$J5:$J1004,$R66,Expenses!$E5:$E1004,$A66)),""))</f>
        <v/>
      </c>
      <c r="J66" s="108">
        <f>IF($A66="","",IFERROR(1/(1/SUMIFS(Expenses!$F5:$F1004,Expenses!$B5:$B1004,"Payroll Payout",Expenses!$J5:$J1004,$R66,Expenses!$E5:$E1004,$A66)),""))</f>
        <v/>
      </c>
      <c r="K66" s="109">
        <f>IF($H66="","",N($H66)-N($I66)-N($J66))</f>
        <v/>
      </c>
      <c r="L66" s="110">
        <f>IF($K66="","",IF($K66&gt;0.5,"TO PAY",IF($K66&lt;-0.5,"ADVANCE / OWES","SETTLED")))</f>
        <v/>
      </c>
      <c r="R66" s="111" t="n">
        <v>46143</v>
      </c>
    </row>
    <row r="67">
      <c r="A67" s="103">
        <f>IF(Setup!$A81="","",Setup!$A81)</f>
        <v/>
      </c>
      <c r="B67" s="104">
        <f>IF($A67="","",Setup!$B81)</f>
        <v/>
      </c>
      <c r="C67" s="105">
        <f>IF($A67="","",IF(COUNTIFS(Trips!$Z5:$Z1004,$R67,Trips!$D5:$D1004,$A67)+COUNTIFS(Trips!$Z5:$Z1004,$R67,Trips!$E5:$E1004,$A67)=0,"",COUNTIFS(Trips!$Z5:$Z1004,$R67,Trips!$D5:$D1004,$A67)+COUNTIFS(Trips!$Z5:$Z1004,$R67,Trips!$E5:$E1004,$A67)))</f>
        <v/>
      </c>
      <c r="D67" s="106">
        <f>IF($C67="","",SUMIFS(Trips!$K5:$K1004,Trips!$Z5:$Z1004,$R67,Trips!$D5:$D1004,$A67)+SUMIFS(Trips!$K5:$K1004,Trips!$Z5:$Z1004,$R67,Trips!$E5:$E1004,$A67))</f>
        <v/>
      </c>
      <c r="E67" s="107">
        <f>IF($C67="","",SUMIFS(Trips!$N5:$N1004,Trips!$Z5:$Z1004,$R67,Trips!$D5:$D1004,$A67)+SUMIFS(Trips!$O5:$O1004,Trips!$Z5:$Z1004,$R67,Trips!$E5:$E1004,$A67))</f>
        <v/>
      </c>
      <c r="F67" s="108">
        <f>IF($C67="","",SUMIFS(Trips!$P5:$P1004,Trips!$Z5:$Z1004,$R67,Trips!$D5:$D1004,$A67))</f>
        <v/>
      </c>
      <c r="G67" s="108">
        <f>IF($C67="","",SUMIFS(Trips!$Q5:$Q1004,Trips!$Z5:$Z1004,$R67,Trips!$D5:$D1004,$A67))</f>
        <v/>
      </c>
      <c r="H67" s="107">
        <f>IF(AND($C67="",$I67="",$J67=""),"",N($E67)+N($F67)+N($G67))</f>
        <v/>
      </c>
      <c r="I67" s="108">
        <f>IF($A67="","",IFERROR(1/(1/SUMIFS(Expenses!$F5:$F1004,Expenses!$B5:$B1004,"Cash Advance",Expenses!$J5:$J1004,$R67,Expenses!$E5:$E1004,$A67)),""))</f>
        <v/>
      </c>
      <c r="J67" s="108">
        <f>IF($A67="","",IFERROR(1/(1/SUMIFS(Expenses!$F5:$F1004,Expenses!$B5:$B1004,"Payroll Payout",Expenses!$J5:$J1004,$R67,Expenses!$E5:$E1004,$A67)),""))</f>
        <v/>
      </c>
      <c r="K67" s="109">
        <f>IF($H67="","",N($H67)-N($I67)-N($J67))</f>
        <v/>
      </c>
      <c r="L67" s="110">
        <f>IF($K67="","",IF($K67&gt;0.5,"TO PAY",IF($K67&lt;-0.5,"ADVANCE / OWES","SETTLED")))</f>
        <v/>
      </c>
      <c r="R67" s="111" t="n">
        <v>46143</v>
      </c>
    </row>
    <row r="68">
      <c r="A68" s="103">
        <f>IF(Setup!$A82="","",Setup!$A82)</f>
        <v/>
      </c>
      <c r="B68" s="104">
        <f>IF($A68="","",Setup!$B82)</f>
        <v/>
      </c>
      <c r="C68" s="105">
        <f>IF($A68="","",IF(COUNTIFS(Trips!$Z5:$Z1004,$R68,Trips!$D5:$D1004,$A68)+COUNTIFS(Trips!$Z5:$Z1004,$R68,Trips!$E5:$E1004,$A68)=0,"",COUNTIFS(Trips!$Z5:$Z1004,$R68,Trips!$D5:$D1004,$A68)+COUNTIFS(Trips!$Z5:$Z1004,$R68,Trips!$E5:$E1004,$A68)))</f>
        <v/>
      </c>
      <c r="D68" s="106">
        <f>IF($C68="","",SUMIFS(Trips!$K5:$K1004,Trips!$Z5:$Z1004,$R68,Trips!$D5:$D1004,$A68)+SUMIFS(Trips!$K5:$K1004,Trips!$Z5:$Z1004,$R68,Trips!$E5:$E1004,$A68))</f>
        <v/>
      </c>
      <c r="E68" s="107">
        <f>IF($C68="","",SUMIFS(Trips!$N5:$N1004,Trips!$Z5:$Z1004,$R68,Trips!$D5:$D1004,$A68)+SUMIFS(Trips!$O5:$O1004,Trips!$Z5:$Z1004,$R68,Trips!$E5:$E1004,$A68))</f>
        <v/>
      </c>
      <c r="F68" s="108">
        <f>IF($C68="","",SUMIFS(Trips!$P5:$P1004,Trips!$Z5:$Z1004,$R68,Trips!$D5:$D1004,$A68))</f>
        <v/>
      </c>
      <c r="G68" s="108">
        <f>IF($C68="","",SUMIFS(Trips!$Q5:$Q1004,Trips!$Z5:$Z1004,$R68,Trips!$D5:$D1004,$A68))</f>
        <v/>
      </c>
      <c r="H68" s="107">
        <f>IF(AND($C68="",$I68="",$J68=""),"",N($E68)+N($F68)+N($G68))</f>
        <v/>
      </c>
      <c r="I68" s="108">
        <f>IF($A68="","",IFERROR(1/(1/SUMIFS(Expenses!$F5:$F1004,Expenses!$B5:$B1004,"Cash Advance",Expenses!$J5:$J1004,$R68,Expenses!$E5:$E1004,$A68)),""))</f>
        <v/>
      </c>
      <c r="J68" s="108">
        <f>IF($A68="","",IFERROR(1/(1/SUMIFS(Expenses!$F5:$F1004,Expenses!$B5:$B1004,"Payroll Payout",Expenses!$J5:$J1004,$R68,Expenses!$E5:$E1004,$A68)),""))</f>
        <v/>
      </c>
      <c r="K68" s="109">
        <f>IF($H68="","",N($H68)-N($I68)-N($J68))</f>
        <v/>
      </c>
      <c r="L68" s="110">
        <f>IF($K68="","",IF($K68&gt;0.5,"TO PAY",IF($K68&lt;-0.5,"ADVANCE / OWES","SETTLED")))</f>
        <v/>
      </c>
      <c r="R68" s="111" t="n">
        <v>46143</v>
      </c>
    </row>
    <row r="69">
      <c r="A69" s="103">
        <f>IF(Setup!$A83="","",Setup!$A83)</f>
        <v/>
      </c>
      <c r="B69" s="104">
        <f>IF($A69="","",Setup!$B83)</f>
        <v/>
      </c>
      <c r="C69" s="105">
        <f>IF($A69="","",IF(COUNTIFS(Trips!$Z5:$Z1004,$R69,Trips!$D5:$D1004,$A69)+COUNTIFS(Trips!$Z5:$Z1004,$R69,Trips!$E5:$E1004,$A69)=0,"",COUNTIFS(Trips!$Z5:$Z1004,$R69,Trips!$D5:$D1004,$A69)+COUNTIFS(Trips!$Z5:$Z1004,$R69,Trips!$E5:$E1004,$A69)))</f>
        <v/>
      </c>
      <c r="D69" s="106">
        <f>IF($C69="","",SUMIFS(Trips!$K5:$K1004,Trips!$Z5:$Z1004,$R69,Trips!$D5:$D1004,$A69)+SUMIFS(Trips!$K5:$K1004,Trips!$Z5:$Z1004,$R69,Trips!$E5:$E1004,$A69))</f>
        <v/>
      </c>
      <c r="E69" s="107">
        <f>IF($C69="","",SUMIFS(Trips!$N5:$N1004,Trips!$Z5:$Z1004,$R69,Trips!$D5:$D1004,$A69)+SUMIFS(Trips!$O5:$O1004,Trips!$Z5:$Z1004,$R69,Trips!$E5:$E1004,$A69))</f>
        <v/>
      </c>
      <c r="F69" s="108">
        <f>IF($C69="","",SUMIFS(Trips!$P5:$P1004,Trips!$Z5:$Z1004,$R69,Trips!$D5:$D1004,$A69))</f>
        <v/>
      </c>
      <c r="G69" s="108">
        <f>IF($C69="","",SUMIFS(Trips!$Q5:$Q1004,Trips!$Z5:$Z1004,$R69,Trips!$D5:$D1004,$A69))</f>
        <v/>
      </c>
      <c r="H69" s="107">
        <f>IF(AND($C69="",$I69="",$J69=""),"",N($E69)+N($F69)+N($G69))</f>
        <v/>
      </c>
      <c r="I69" s="108">
        <f>IF($A69="","",IFERROR(1/(1/SUMIFS(Expenses!$F5:$F1004,Expenses!$B5:$B1004,"Cash Advance",Expenses!$J5:$J1004,$R69,Expenses!$E5:$E1004,$A69)),""))</f>
        <v/>
      </c>
      <c r="J69" s="108">
        <f>IF($A69="","",IFERROR(1/(1/SUMIFS(Expenses!$F5:$F1004,Expenses!$B5:$B1004,"Payroll Payout",Expenses!$J5:$J1004,$R69,Expenses!$E5:$E1004,$A69)),""))</f>
        <v/>
      </c>
      <c r="K69" s="109">
        <f>IF($H69="","",N($H69)-N($I69)-N($J69))</f>
        <v/>
      </c>
      <c r="L69" s="110">
        <f>IF($K69="","",IF($K69&gt;0.5,"TO PAY",IF($K69&lt;-0.5,"ADVANCE / OWES","SETTLED")))</f>
        <v/>
      </c>
      <c r="R69" s="111" t="n">
        <v>46143</v>
      </c>
    </row>
    <row r="70">
      <c r="A70" s="103">
        <f>IF(Setup!$A84="","",Setup!$A84)</f>
        <v/>
      </c>
      <c r="B70" s="104">
        <f>IF($A70="","",Setup!$B84)</f>
        <v/>
      </c>
      <c r="C70" s="105">
        <f>IF($A70="","",IF(COUNTIFS(Trips!$Z5:$Z1004,$R70,Trips!$D5:$D1004,$A70)+COUNTIFS(Trips!$Z5:$Z1004,$R70,Trips!$E5:$E1004,$A70)=0,"",COUNTIFS(Trips!$Z5:$Z1004,$R70,Trips!$D5:$D1004,$A70)+COUNTIFS(Trips!$Z5:$Z1004,$R70,Trips!$E5:$E1004,$A70)))</f>
        <v/>
      </c>
      <c r="D70" s="106">
        <f>IF($C70="","",SUMIFS(Trips!$K5:$K1004,Trips!$Z5:$Z1004,$R70,Trips!$D5:$D1004,$A70)+SUMIFS(Trips!$K5:$K1004,Trips!$Z5:$Z1004,$R70,Trips!$E5:$E1004,$A70))</f>
        <v/>
      </c>
      <c r="E70" s="107">
        <f>IF($C70="","",SUMIFS(Trips!$N5:$N1004,Trips!$Z5:$Z1004,$R70,Trips!$D5:$D1004,$A70)+SUMIFS(Trips!$O5:$O1004,Trips!$Z5:$Z1004,$R70,Trips!$E5:$E1004,$A70))</f>
        <v/>
      </c>
      <c r="F70" s="108">
        <f>IF($C70="","",SUMIFS(Trips!$P5:$P1004,Trips!$Z5:$Z1004,$R70,Trips!$D5:$D1004,$A70))</f>
        <v/>
      </c>
      <c r="G70" s="108">
        <f>IF($C70="","",SUMIFS(Trips!$Q5:$Q1004,Trips!$Z5:$Z1004,$R70,Trips!$D5:$D1004,$A70))</f>
        <v/>
      </c>
      <c r="H70" s="107">
        <f>IF(AND($C70="",$I70="",$J70=""),"",N($E70)+N($F70)+N($G70))</f>
        <v/>
      </c>
      <c r="I70" s="108">
        <f>IF($A70="","",IFERROR(1/(1/SUMIFS(Expenses!$F5:$F1004,Expenses!$B5:$B1004,"Cash Advance",Expenses!$J5:$J1004,$R70,Expenses!$E5:$E1004,$A70)),""))</f>
        <v/>
      </c>
      <c r="J70" s="108">
        <f>IF($A70="","",IFERROR(1/(1/SUMIFS(Expenses!$F5:$F1004,Expenses!$B5:$B1004,"Payroll Payout",Expenses!$J5:$J1004,$R70,Expenses!$E5:$E1004,$A70)),""))</f>
        <v/>
      </c>
      <c r="K70" s="109">
        <f>IF($H70="","",N($H70)-N($I70)-N($J70))</f>
        <v/>
      </c>
      <c r="L70" s="110">
        <f>IF($K70="","",IF($K70&gt;0.5,"TO PAY",IF($K70&lt;-0.5,"ADVANCE / OWES","SETTLED")))</f>
        <v/>
      </c>
      <c r="R70" s="111" t="n">
        <v>46143</v>
      </c>
    </row>
    <row r="71">
      <c r="A71" s="103">
        <f>IF(Setup!$A85="","",Setup!$A85)</f>
        <v/>
      </c>
      <c r="B71" s="104">
        <f>IF($A71="","",Setup!$B85)</f>
        <v/>
      </c>
      <c r="C71" s="105">
        <f>IF($A71="","",IF(COUNTIFS(Trips!$Z5:$Z1004,$R71,Trips!$D5:$D1004,$A71)+COUNTIFS(Trips!$Z5:$Z1004,$R71,Trips!$E5:$E1004,$A71)=0,"",COUNTIFS(Trips!$Z5:$Z1004,$R71,Trips!$D5:$D1004,$A71)+COUNTIFS(Trips!$Z5:$Z1004,$R71,Trips!$E5:$E1004,$A71)))</f>
        <v/>
      </c>
      <c r="D71" s="106">
        <f>IF($C71="","",SUMIFS(Trips!$K5:$K1004,Trips!$Z5:$Z1004,$R71,Trips!$D5:$D1004,$A71)+SUMIFS(Trips!$K5:$K1004,Trips!$Z5:$Z1004,$R71,Trips!$E5:$E1004,$A71))</f>
        <v/>
      </c>
      <c r="E71" s="107">
        <f>IF($C71="","",SUMIFS(Trips!$N5:$N1004,Trips!$Z5:$Z1004,$R71,Trips!$D5:$D1004,$A71)+SUMIFS(Trips!$O5:$O1004,Trips!$Z5:$Z1004,$R71,Trips!$E5:$E1004,$A71))</f>
        <v/>
      </c>
      <c r="F71" s="108">
        <f>IF($C71="","",SUMIFS(Trips!$P5:$P1004,Trips!$Z5:$Z1004,$R71,Trips!$D5:$D1004,$A71))</f>
        <v/>
      </c>
      <c r="G71" s="108">
        <f>IF($C71="","",SUMIFS(Trips!$Q5:$Q1004,Trips!$Z5:$Z1004,$R71,Trips!$D5:$D1004,$A71))</f>
        <v/>
      </c>
      <c r="H71" s="107">
        <f>IF(AND($C71="",$I71="",$J71=""),"",N($E71)+N($F71)+N($G71))</f>
        <v/>
      </c>
      <c r="I71" s="108">
        <f>IF($A71="","",IFERROR(1/(1/SUMIFS(Expenses!$F5:$F1004,Expenses!$B5:$B1004,"Cash Advance",Expenses!$J5:$J1004,$R71,Expenses!$E5:$E1004,$A71)),""))</f>
        <v/>
      </c>
      <c r="J71" s="108">
        <f>IF($A71="","",IFERROR(1/(1/SUMIFS(Expenses!$F5:$F1004,Expenses!$B5:$B1004,"Payroll Payout",Expenses!$J5:$J1004,$R71,Expenses!$E5:$E1004,$A71)),""))</f>
        <v/>
      </c>
      <c r="K71" s="109">
        <f>IF($H71="","",N($H71)-N($I71)-N($J71))</f>
        <v/>
      </c>
      <c r="L71" s="110">
        <f>IF($K71="","",IF($K71&gt;0.5,"TO PAY",IF($K71&lt;-0.5,"ADVANCE / OWES","SETTLED")))</f>
        <v/>
      </c>
      <c r="R71" s="111" t="n">
        <v>46143</v>
      </c>
    </row>
    <row r="72">
      <c r="A72" s="103">
        <f>IF(Setup!$A86="","",Setup!$A86)</f>
        <v/>
      </c>
      <c r="B72" s="104">
        <f>IF($A72="","",Setup!$B86)</f>
        <v/>
      </c>
      <c r="C72" s="105">
        <f>IF($A72="","",IF(COUNTIFS(Trips!$Z5:$Z1004,$R72,Trips!$D5:$D1004,$A72)+COUNTIFS(Trips!$Z5:$Z1004,$R72,Trips!$E5:$E1004,$A72)=0,"",COUNTIFS(Trips!$Z5:$Z1004,$R72,Trips!$D5:$D1004,$A72)+COUNTIFS(Trips!$Z5:$Z1004,$R72,Trips!$E5:$E1004,$A72)))</f>
        <v/>
      </c>
      <c r="D72" s="106">
        <f>IF($C72="","",SUMIFS(Trips!$K5:$K1004,Trips!$Z5:$Z1004,$R72,Trips!$D5:$D1004,$A72)+SUMIFS(Trips!$K5:$K1004,Trips!$Z5:$Z1004,$R72,Trips!$E5:$E1004,$A72))</f>
        <v/>
      </c>
      <c r="E72" s="107">
        <f>IF($C72="","",SUMIFS(Trips!$N5:$N1004,Trips!$Z5:$Z1004,$R72,Trips!$D5:$D1004,$A72)+SUMIFS(Trips!$O5:$O1004,Trips!$Z5:$Z1004,$R72,Trips!$E5:$E1004,$A72))</f>
        <v/>
      </c>
      <c r="F72" s="108">
        <f>IF($C72="","",SUMIFS(Trips!$P5:$P1004,Trips!$Z5:$Z1004,$R72,Trips!$D5:$D1004,$A72))</f>
        <v/>
      </c>
      <c r="G72" s="108">
        <f>IF($C72="","",SUMIFS(Trips!$Q5:$Q1004,Trips!$Z5:$Z1004,$R72,Trips!$D5:$D1004,$A72))</f>
        <v/>
      </c>
      <c r="H72" s="107">
        <f>IF(AND($C72="",$I72="",$J72=""),"",N($E72)+N($F72)+N($G72))</f>
        <v/>
      </c>
      <c r="I72" s="108">
        <f>IF($A72="","",IFERROR(1/(1/SUMIFS(Expenses!$F5:$F1004,Expenses!$B5:$B1004,"Cash Advance",Expenses!$J5:$J1004,$R72,Expenses!$E5:$E1004,$A72)),""))</f>
        <v/>
      </c>
      <c r="J72" s="108">
        <f>IF($A72="","",IFERROR(1/(1/SUMIFS(Expenses!$F5:$F1004,Expenses!$B5:$B1004,"Payroll Payout",Expenses!$J5:$J1004,$R72,Expenses!$E5:$E1004,$A72)),""))</f>
        <v/>
      </c>
      <c r="K72" s="109">
        <f>IF($H72="","",N($H72)-N($I72)-N($J72))</f>
        <v/>
      </c>
      <c r="L72" s="110">
        <f>IF($K72="","",IF($K72&gt;0.5,"TO PAY",IF($K72&lt;-0.5,"ADVANCE / OWES","SETTLED")))</f>
        <v/>
      </c>
      <c r="R72" s="111" t="n">
        <v>46143</v>
      </c>
    </row>
    <row r="73">
      <c r="A73" s="103">
        <f>IF(Setup!$A87="","",Setup!$A87)</f>
        <v/>
      </c>
      <c r="B73" s="104">
        <f>IF($A73="","",Setup!$B87)</f>
        <v/>
      </c>
      <c r="C73" s="105">
        <f>IF($A73="","",IF(COUNTIFS(Trips!$Z5:$Z1004,$R73,Trips!$D5:$D1004,$A73)+COUNTIFS(Trips!$Z5:$Z1004,$R73,Trips!$E5:$E1004,$A73)=0,"",COUNTIFS(Trips!$Z5:$Z1004,$R73,Trips!$D5:$D1004,$A73)+COUNTIFS(Trips!$Z5:$Z1004,$R73,Trips!$E5:$E1004,$A73)))</f>
        <v/>
      </c>
      <c r="D73" s="106">
        <f>IF($C73="","",SUMIFS(Trips!$K5:$K1004,Trips!$Z5:$Z1004,$R73,Trips!$D5:$D1004,$A73)+SUMIFS(Trips!$K5:$K1004,Trips!$Z5:$Z1004,$R73,Trips!$E5:$E1004,$A73))</f>
        <v/>
      </c>
      <c r="E73" s="107">
        <f>IF($C73="","",SUMIFS(Trips!$N5:$N1004,Trips!$Z5:$Z1004,$R73,Trips!$D5:$D1004,$A73)+SUMIFS(Trips!$O5:$O1004,Trips!$Z5:$Z1004,$R73,Trips!$E5:$E1004,$A73))</f>
        <v/>
      </c>
      <c r="F73" s="108">
        <f>IF($C73="","",SUMIFS(Trips!$P5:$P1004,Trips!$Z5:$Z1004,$R73,Trips!$D5:$D1004,$A73))</f>
        <v/>
      </c>
      <c r="G73" s="108">
        <f>IF($C73="","",SUMIFS(Trips!$Q5:$Q1004,Trips!$Z5:$Z1004,$R73,Trips!$D5:$D1004,$A73))</f>
        <v/>
      </c>
      <c r="H73" s="107">
        <f>IF(AND($C73="",$I73="",$J73=""),"",N($E73)+N($F73)+N($G73))</f>
        <v/>
      </c>
      <c r="I73" s="108">
        <f>IF($A73="","",IFERROR(1/(1/SUMIFS(Expenses!$F5:$F1004,Expenses!$B5:$B1004,"Cash Advance",Expenses!$J5:$J1004,$R73,Expenses!$E5:$E1004,$A73)),""))</f>
        <v/>
      </c>
      <c r="J73" s="108">
        <f>IF($A73="","",IFERROR(1/(1/SUMIFS(Expenses!$F5:$F1004,Expenses!$B5:$B1004,"Payroll Payout",Expenses!$J5:$J1004,$R73,Expenses!$E5:$E1004,$A73)),""))</f>
        <v/>
      </c>
      <c r="K73" s="109">
        <f>IF($H73="","",N($H73)-N($I73)-N($J73))</f>
        <v/>
      </c>
      <c r="L73" s="110">
        <f>IF($K73="","",IF($K73&gt;0.5,"TO PAY",IF($K73&lt;-0.5,"ADVANCE / OWES","SETTLED")))</f>
        <v/>
      </c>
      <c r="R73" s="111" t="n">
        <v>46143</v>
      </c>
    </row>
    <row r="74">
      <c r="A74" s="112" t="inlineStr">
        <is>
          <t>MONTH TOTAL</t>
        </is>
      </c>
      <c r="B74" s="113" t="n"/>
      <c r="C74" s="114">
        <f>IF(COUNT(C62:C73)=0,"",SUM(C62:C73))</f>
        <v/>
      </c>
      <c r="D74" s="115">
        <f>IF(COUNT(D62:D73)=0,"",SUM(D62:D73))</f>
        <v/>
      </c>
      <c r="E74" s="116">
        <f>IF(COUNT(E62:E73)=0,"",SUM(E62:E73))</f>
        <v/>
      </c>
      <c r="F74" s="116">
        <f>IF(COUNT(F62:F73)=0,"",SUM(F62:F73))</f>
        <v/>
      </c>
      <c r="G74" s="116">
        <f>IF(COUNT(G62:G73)=0,"",SUM(G62:G73))</f>
        <v/>
      </c>
      <c r="H74" s="116">
        <f>IF(COUNT(H62:H73)=0,"",SUM(H62:H73))</f>
        <v/>
      </c>
      <c r="I74" s="116">
        <f>IF(COUNT(I62:I73)=0,"",SUM(I62:I73))</f>
        <v/>
      </c>
      <c r="J74" s="116">
        <f>IF(COUNT(J62:J73)=0,"",SUM(J62:J73))</f>
        <v/>
      </c>
      <c r="K74" s="116">
        <f>IF(COUNT(K62:K73)=0,"",SUM(K62:K73))</f>
        <v/>
      </c>
      <c r="L74" s="117" t="n"/>
    </row>
    <row r="75" ht="24" customHeight="1">
      <c r="A75" s="102" t="inlineStr">
        <is>
          <t>JUNE 2026   ·   crew earnings &amp; settlement</t>
        </is>
      </c>
    </row>
    <row r="76">
      <c r="A76" s="103">
        <f>IF(Setup!$A76="","",Setup!$A76)</f>
        <v/>
      </c>
      <c r="B76" s="104">
        <f>IF($A76="","",Setup!$B76)</f>
        <v/>
      </c>
      <c r="C76" s="105">
        <f>IF($A76="","",IF(COUNTIFS(Trips!$Z5:$Z1004,$R76,Trips!$D5:$D1004,$A76)+COUNTIFS(Trips!$Z5:$Z1004,$R76,Trips!$E5:$E1004,$A76)=0,"",COUNTIFS(Trips!$Z5:$Z1004,$R76,Trips!$D5:$D1004,$A76)+COUNTIFS(Trips!$Z5:$Z1004,$R76,Trips!$E5:$E1004,$A76)))</f>
        <v/>
      </c>
      <c r="D76" s="106">
        <f>IF($C76="","",SUMIFS(Trips!$K5:$K1004,Trips!$Z5:$Z1004,$R76,Trips!$D5:$D1004,$A76)+SUMIFS(Trips!$K5:$K1004,Trips!$Z5:$Z1004,$R76,Trips!$E5:$E1004,$A76))</f>
        <v/>
      </c>
      <c r="E76" s="107">
        <f>IF($C76="","",SUMIFS(Trips!$N5:$N1004,Trips!$Z5:$Z1004,$R76,Trips!$D5:$D1004,$A76)+SUMIFS(Trips!$O5:$O1004,Trips!$Z5:$Z1004,$R76,Trips!$E5:$E1004,$A76))</f>
        <v/>
      </c>
      <c r="F76" s="108">
        <f>IF($C76="","",SUMIFS(Trips!$P5:$P1004,Trips!$Z5:$Z1004,$R76,Trips!$D5:$D1004,$A76))</f>
        <v/>
      </c>
      <c r="G76" s="108">
        <f>IF($C76="","",SUMIFS(Trips!$Q5:$Q1004,Trips!$Z5:$Z1004,$R76,Trips!$D5:$D1004,$A76))</f>
        <v/>
      </c>
      <c r="H76" s="107">
        <f>IF(AND($C76="",$I76="",$J76=""),"",N($E76)+N($F76)+N($G76))</f>
        <v/>
      </c>
      <c r="I76" s="108">
        <f>IF($A76="","",IFERROR(1/(1/SUMIFS(Expenses!$F5:$F1004,Expenses!$B5:$B1004,"Cash Advance",Expenses!$J5:$J1004,$R76,Expenses!$E5:$E1004,$A76)),""))</f>
        <v/>
      </c>
      <c r="J76" s="108">
        <f>IF($A76="","",IFERROR(1/(1/SUMIFS(Expenses!$F5:$F1004,Expenses!$B5:$B1004,"Payroll Payout",Expenses!$J5:$J1004,$R76,Expenses!$E5:$E1004,$A76)),""))</f>
        <v/>
      </c>
      <c r="K76" s="109">
        <f>IF($H76="","",N($H76)-N($I76)-N($J76))</f>
        <v/>
      </c>
      <c r="L76" s="110">
        <f>IF($K76="","",IF($K76&gt;0.5,"TO PAY",IF($K76&lt;-0.5,"ADVANCE / OWES","SETTLED")))</f>
        <v/>
      </c>
      <c r="R76" s="111" t="n">
        <v>46174</v>
      </c>
    </row>
    <row r="77">
      <c r="A77" s="103">
        <f>IF(Setup!$A77="","",Setup!$A77)</f>
        <v/>
      </c>
      <c r="B77" s="104">
        <f>IF($A77="","",Setup!$B77)</f>
        <v/>
      </c>
      <c r="C77" s="105">
        <f>IF($A77="","",IF(COUNTIFS(Trips!$Z5:$Z1004,$R77,Trips!$D5:$D1004,$A77)+COUNTIFS(Trips!$Z5:$Z1004,$R77,Trips!$E5:$E1004,$A77)=0,"",COUNTIFS(Trips!$Z5:$Z1004,$R77,Trips!$D5:$D1004,$A77)+COUNTIFS(Trips!$Z5:$Z1004,$R77,Trips!$E5:$E1004,$A77)))</f>
        <v/>
      </c>
      <c r="D77" s="106">
        <f>IF($C77="","",SUMIFS(Trips!$K5:$K1004,Trips!$Z5:$Z1004,$R77,Trips!$D5:$D1004,$A77)+SUMIFS(Trips!$K5:$K1004,Trips!$Z5:$Z1004,$R77,Trips!$E5:$E1004,$A77))</f>
        <v/>
      </c>
      <c r="E77" s="107">
        <f>IF($C77="","",SUMIFS(Trips!$N5:$N1004,Trips!$Z5:$Z1004,$R77,Trips!$D5:$D1004,$A77)+SUMIFS(Trips!$O5:$O1004,Trips!$Z5:$Z1004,$R77,Trips!$E5:$E1004,$A77))</f>
        <v/>
      </c>
      <c r="F77" s="108">
        <f>IF($C77="","",SUMIFS(Trips!$P5:$P1004,Trips!$Z5:$Z1004,$R77,Trips!$D5:$D1004,$A77))</f>
        <v/>
      </c>
      <c r="G77" s="108">
        <f>IF($C77="","",SUMIFS(Trips!$Q5:$Q1004,Trips!$Z5:$Z1004,$R77,Trips!$D5:$D1004,$A77))</f>
        <v/>
      </c>
      <c r="H77" s="107">
        <f>IF(AND($C77="",$I77="",$J77=""),"",N($E77)+N($F77)+N($G77))</f>
        <v/>
      </c>
      <c r="I77" s="108">
        <f>IF($A77="","",IFERROR(1/(1/SUMIFS(Expenses!$F5:$F1004,Expenses!$B5:$B1004,"Cash Advance",Expenses!$J5:$J1004,$R77,Expenses!$E5:$E1004,$A77)),""))</f>
        <v/>
      </c>
      <c r="J77" s="108">
        <f>IF($A77="","",IFERROR(1/(1/SUMIFS(Expenses!$F5:$F1004,Expenses!$B5:$B1004,"Payroll Payout",Expenses!$J5:$J1004,$R77,Expenses!$E5:$E1004,$A77)),""))</f>
        <v/>
      </c>
      <c r="K77" s="109">
        <f>IF($H77="","",N($H77)-N($I77)-N($J77))</f>
        <v/>
      </c>
      <c r="L77" s="110">
        <f>IF($K77="","",IF($K77&gt;0.5,"TO PAY",IF($K77&lt;-0.5,"ADVANCE / OWES","SETTLED")))</f>
        <v/>
      </c>
      <c r="R77" s="111" t="n">
        <v>46174</v>
      </c>
    </row>
    <row r="78">
      <c r="A78" s="103">
        <f>IF(Setup!$A78="","",Setup!$A78)</f>
        <v/>
      </c>
      <c r="B78" s="104">
        <f>IF($A78="","",Setup!$B78)</f>
        <v/>
      </c>
      <c r="C78" s="105">
        <f>IF($A78="","",IF(COUNTIFS(Trips!$Z5:$Z1004,$R78,Trips!$D5:$D1004,$A78)+COUNTIFS(Trips!$Z5:$Z1004,$R78,Trips!$E5:$E1004,$A78)=0,"",COUNTIFS(Trips!$Z5:$Z1004,$R78,Trips!$D5:$D1004,$A78)+COUNTIFS(Trips!$Z5:$Z1004,$R78,Trips!$E5:$E1004,$A78)))</f>
        <v/>
      </c>
      <c r="D78" s="106">
        <f>IF($C78="","",SUMIFS(Trips!$K5:$K1004,Trips!$Z5:$Z1004,$R78,Trips!$D5:$D1004,$A78)+SUMIFS(Trips!$K5:$K1004,Trips!$Z5:$Z1004,$R78,Trips!$E5:$E1004,$A78))</f>
        <v/>
      </c>
      <c r="E78" s="107">
        <f>IF($C78="","",SUMIFS(Trips!$N5:$N1004,Trips!$Z5:$Z1004,$R78,Trips!$D5:$D1004,$A78)+SUMIFS(Trips!$O5:$O1004,Trips!$Z5:$Z1004,$R78,Trips!$E5:$E1004,$A78))</f>
        <v/>
      </c>
      <c r="F78" s="108">
        <f>IF($C78="","",SUMIFS(Trips!$P5:$P1004,Trips!$Z5:$Z1004,$R78,Trips!$D5:$D1004,$A78))</f>
        <v/>
      </c>
      <c r="G78" s="108">
        <f>IF($C78="","",SUMIFS(Trips!$Q5:$Q1004,Trips!$Z5:$Z1004,$R78,Trips!$D5:$D1004,$A78))</f>
        <v/>
      </c>
      <c r="H78" s="107">
        <f>IF(AND($C78="",$I78="",$J78=""),"",N($E78)+N($F78)+N($G78))</f>
        <v/>
      </c>
      <c r="I78" s="108">
        <f>IF($A78="","",IFERROR(1/(1/SUMIFS(Expenses!$F5:$F1004,Expenses!$B5:$B1004,"Cash Advance",Expenses!$J5:$J1004,$R78,Expenses!$E5:$E1004,$A78)),""))</f>
        <v/>
      </c>
      <c r="J78" s="108">
        <f>IF($A78="","",IFERROR(1/(1/SUMIFS(Expenses!$F5:$F1004,Expenses!$B5:$B1004,"Payroll Payout",Expenses!$J5:$J1004,$R78,Expenses!$E5:$E1004,$A78)),""))</f>
        <v/>
      </c>
      <c r="K78" s="109">
        <f>IF($H78="","",N($H78)-N($I78)-N($J78))</f>
        <v/>
      </c>
      <c r="L78" s="110">
        <f>IF($K78="","",IF($K78&gt;0.5,"TO PAY",IF($K78&lt;-0.5,"ADVANCE / OWES","SETTLED")))</f>
        <v/>
      </c>
      <c r="R78" s="111" t="n">
        <v>46174</v>
      </c>
    </row>
    <row r="79">
      <c r="A79" s="103">
        <f>IF(Setup!$A79="","",Setup!$A79)</f>
        <v/>
      </c>
      <c r="B79" s="104">
        <f>IF($A79="","",Setup!$B79)</f>
        <v/>
      </c>
      <c r="C79" s="105">
        <f>IF($A79="","",IF(COUNTIFS(Trips!$Z5:$Z1004,$R79,Trips!$D5:$D1004,$A79)+COUNTIFS(Trips!$Z5:$Z1004,$R79,Trips!$E5:$E1004,$A79)=0,"",COUNTIFS(Trips!$Z5:$Z1004,$R79,Trips!$D5:$D1004,$A79)+COUNTIFS(Trips!$Z5:$Z1004,$R79,Trips!$E5:$E1004,$A79)))</f>
        <v/>
      </c>
      <c r="D79" s="106">
        <f>IF($C79="","",SUMIFS(Trips!$K5:$K1004,Trips!$Z5:$Z1004,$R79,Trips!$D5:$D1004,$A79)+SUMIFS(Trips!$K5:$K1004,Trips!$Z5:$Z1004,$R79,Trips!$E5:$E1004,$A79))</f>
        <v/>
      </c>
      <c r="E79" s="107">
        <f>IF($C79="","",SUMIFS(Trips!$N5:$N1004,Trips!$Z5:$Z1004,$R79,Trips!$D5:$D1004,$A79)+SUMIFS(Trips!$O5:$O1004,Trips!$Z5:$Z1004,$R79,Trips!$E5:$E1004,$A79))</f>
        <v/>
      </c>
      <c r="F79" s="108">
        <f>IF($C79="","",SUMIFS(Trips!$P5:$P1004,Trips!$Z5:$Z1004,$R79,Trips!$D5:$D1004,$A79))</f>
        <v/>
      </c>
      <c r="G79" s="108">
        <f>IF($C79="","",SUMIFS(Trips!$Q5:$Q1004,Trips!$Z5:$Z1004,$R79,Trips!$D5:$D1004,$A79))</f>
        <v/>
      </c>
      <c r="H79" s="107">
        <f>IF(AND($C79="",$I79="",$J79=""),"",N($E79)+N($F79)+N($G79))</f>
        <v/>
      </c>
      <c r="I79" s="108">
        <f>IF($A79="","",IFERROR(1/(1/SUMIFS(Expenses!$F5:$F1004,Expenses!$B5:$B1004,"Cash Advance",Expenses!$J5:$J1004,$R79,Expenses!$E5:$E1004,$A79)),""))</f>
        <v/>
      </c>
      <c r="J79" s="108">
        <f>IF($A79="","",IFERROR(1/(1/SUMIFS(Expenses!$F5:$F1004,Expenses!$B5:$B1004,"Payroll Payout",Expenses!$J5:$J1004,$R79,Expenses!$E5:$E1004,$A79)),""))</f>
        <v/>
      </c>
      <c r="K79" s="109">
        <f>IF($H79="","",N($H79)-N($I79)-N($J79))</f>
        <v/>
      </c>
      <c r="L79" s="110">
        <f>IF($K79="","",IF($K79&gt;0.5,"TO PAY",IF($K79&lt;-0.5,"ADVANCE / OWES","SETTLED")))</f>
        <v/>
      </c>
      <c r="R79" s="111" t="n">
        <v>46174</v>
      </c>
    </row>
    <row r="80">
      <c r="A80" s="103">
        <f>IF(Setup!$A80="","",Setup!$A80)</f>
        <v/>
      </c>
      <c r="B80" s="104">
        <f>IF($A80="","",Setup!$B80)</f>
        <v/>
      </c>
      <c r="C80" s="105">
        <f>IF($A80="","",IF(COUNTIFS(Trips!$Z5:$Z1004,$R80,Trips!$D5:$D1004,$A80)+COUNTIFS(Trips!$Z5:$Z1004,$R80,Trips!$E5:$E1004,$A80)=0,"",COUNTIFS(Trips!$Z5:$Z1004,$R80,Trips!$D5:$D1004,$A80)+COUNTIFS(Trips!$Z5:$Z1004,$R80,Trips!$E5:$E1004,$A80)))</f>
        <v/>
      </c>
      <c r="D80" s="106">
        <f>IF($C80="","",SUMIFS(Trips!$K5:$K1004,Trips!$Z5:$Z1004,$R80,Trips!$D5:$D1004,$A80)+SUMIFS(Trips!$K5:$K1004,Trips!$Z5:$Z1004,$R80,Trips!$E5:$E1004,$A80))</f>
        <v/>
      </c>
      <c r="E80" s="107">
        <f>IF($C80="","",SUMIFS(Trips!$N5:$N1004,Trips!$Z5:$Z1004,$R80,Trips!$D5:$D1004,$A80)+SUMIFS(Trips!$O5:$O1004,Trips!$Z5:$Z1004,$R80,Trips!$E5:$E1004,$A80))</f>
        <v/>
      </c>
      <c r="F80" s="108">
        <f>IF($C80="","",SUMIFS(Trips!$P5:$P1004,Trips!$Z5:$Z1004,$R80,Trips!$D5:$D1004,$A80))</f>
        <v/>
      </c>
      <c r="G80" s="108">
        <f>IF($C80="","",SUMIFS(Trips!$Q5:$Q1004,Trips!$Z5:$Z1004,$R80,Trips!$D5:$D1004,$A80))</f>
        <v/>
      </c>
      <c r="H80" s="107">
        <f>IF(AND($C80="",$I80="",$J80=""),"",N($E80)+N($F80)+N($G80))</f>
        <v/>
      </c>
      <c r="I80" s="108">
        <f>IF($A80="","",IFERROR(1/(1/SUMIFS(Expenses!$F5:$F1004,Expenses!$B5:$B1004,"Cash Advance",Expenses!$J5:$J1004,$R80,Expenses!$E5:$E1004,$A80)),""))</f>
        <v/>
      </c>
      <c r="J80" s="108">
        <f>IF($A80="","",IFERROR(1/(1/SUMIFS(Expenses!$F5:$F1004,Expenses!$B5:$B1004,"Payroll Payout",Expenses!$J5:$J1004,$R80,Expenses!$E5:$E1004,$A80)),""))</f>
        <v/>
      </c>
      <c r="K80" s="109">
        <f>IF($H80="","",N($H80)-N($I80)-N($J80))</f>
        <v/>
      </c>
      <c r="L80" s="110">
        <f>IF($K80="","",IF($K80&gt;0.5,"TO PAY",IF($K80&lt;-0.5,"ADVANCE / OWES","SETTLED")))</f>
        <v/>
      </c>
      <c r="R80" s="111" t="n">
        <v>46174</v>
      </c>
    </row>
    <row r="81">
      <c r="A81" s="103">
        <f>IF(Setup!$A81="","",Setup!$A81)</f>
        <v/>
      </c>
      <c r="B81" s="104">
        <f>IF($A81="","",Setup!$B81)</f>
        <v/>
      </c>
      <c r="C81" s="105">
        <f>IF($A81="","",IF(COUNTIFS(Trips!$Z5:$Z1004,$R81,Trips!$D5:$D1004,$A81)+COUNTIFS(Trips!$Z5:$Z1004,$R81,Trips!$E5:$E1004,$A81)=0,"",COUNTIFS(Trips!$Z5:$Z1004,$R81,Trips!$D5:$D1004,$A81)+COUNTIFS(Trips!$Z5:$Z1004,$R81,Trips!$E5:$E1004,$A81)))</f>
        <v/>
      </c>
      <c r="D81" s="106">
        <f>IF($C81="","",SUMIFS(Trips!$K5:$K1004,Trips!$Z5:$Z1004,$R81,Trips!$D5:$D1004,$A81)+SUMIFS(Trips!$K5:$K1004,Trips!$Z5:$Z1004,$R81,Trips!$E5:$E1004,$A81))</f>
        <v/>
      </c>
      <c r="E81" s="107">
        <f>IF($C81="","",SUMIFS(Trips!$N5:$N1004,Trips!$Z5:$Z1004,$R81,Trips!$D5:$D1004,$A81)+SUMIFS(Trips!$O5:$O1004,Trips!$Z5:$Z1004,$R81,Trips!$E5:$E1004,$A81))</f>
        <v/>
      </c>
      <c r="F81" s="108">
        <f>IF($C81="","",SUMIFS(Trips!$P5:$P1004,Trips!$Z5:$Z1004,$R81,Trips!$D5:$D1004,$A81))</f>
        <v/>
      </c>
      <c r="G81" s="108">
        <f>IF($C81="","",SUMIFS(Trips!$Q5:$Q1004,Trips!$Z5:$Z1004,$R81,Trips!$D5:$D1004,$A81))</f>
        <v/>
      </c>
      <c r="H81" s="107">
        <f>IF(AND($C81="",$I81="",$J81=""),"",N($E81)+N($F81)+N($G81))</f>
        <v/>
      </c>
      <c r="I81" s="108">
        <f>IF($A81="","",IFERROR(1/(1/SUMIFS(Expenses!$F5:$F1004,Expenses!$B5:$B1004,"Cash Advance",Expenses!$J5:$J1004,$R81,Expenses!$E5:$E1004,$A81)),""))</f>
        <v/>
      </c>
      <c r="J81" s="108">
        <f>IF($A81="","",IFERROR(1/(1/SUMIFS(Expenses!$F5:$F1004,Expenses!$B5:$B1004,"Payroll Payout",Expenses!$J5:$J1004,$R81,Expenses!$E5:$E1004,$A81)),""))</f>
        <v/>
      </c>
      <c r="K81" s="109">
        <f>IF($H81="","",N($H81)-N($I81)-N($J81))</f>
        <v/>
      </c>
      <c r="L81" s="110">
        <f>IF($K81="","",IF($K81&gt;0.5,"TO PAY",IF($K81&lt;-0.5,"ADVANCE / OWES","SETTLED")))</f>
        <v/>
      </c>
      <c r="R81" s="111" t="n">
        <v>46174</v>
      </c>
    </row>
    <row r="82">
      <c r="A82" s="103">
        <f>IF(Setup!$A82="","",Setup!$A82)</f>
        <v/>
      </c>
      <c r="B82" s="104">
        <f>IF($A82="","",Setup!$B82)</f>
        <v/>
      </c>
      <c r="C82" s="105">
        <f>IF($A82="","",IF(COUNTIFS(Trips!$Z5:$Z1004,$R82,Trips!$D5:$D1004,$A82)+COUNTIFS(Trips!$Z5:$Z1004,$R82,Trips!$E5:$E1004,$A82)=0,"",COUNTIFS(Trips!$Z5:$Z1004,$R82,Trips!$D5:$D1004,$A82)+COUNTIFS(Trips!$Z5:$Z1004,$R82,Trips!$E5:$E1004,$A82)))</f>
        <v/>
      </c>
      <c r="D82" s="106">
        <f>IF($C82="","",SUMIFS(Trips!$K5:$K1004,Trips!$Z5:$Z1004,$R82,Trips!$D5:$D1004,$A82)+SUMIFS(Trips!$K5:$K1004,Trips!$Z5:$Z1004,$R82,Trips!$E5:$E1004,$A82))</f>
        <v/>
      </c>
      <c r="E82" s="107">
        <f>IF($C82="","",SUMIFS(Trips!$N5:$N1004,Trips!$Z5:$Z1004,$R82,Trips!$D5:$D1004,$A82)+SUMIFS(Trips!$O5:$O1004,Trips!$Z5:$Z1004,$R82,Trips!$E5:$E1004,$A82))</f>
        <v/>
      </c>
      <c r="F82" s="108">
        <f>IF($C82="","",SUMIFS(Trips!$P5:$P1004,Trips!$Z5:$Z1004,$R82,Trips!$D5:$D1004,$A82))</f>
        <v/>
      </c>
      <c r="G82" s="108">
        <f>IF($C82="","",SUMIFS(Trips!$Q5:$Q1004,Trips!$Z5:$Z1004,$R82,Trips!$D5:$D1004,$A82))</f>
        <v/>
      </c>
      <c r="H82" s="107">
        <f>IF(AND($C82="",$I82="",$J82=""),"",N($E82)+N($F82)+N($G82))</f>
        <v/>
      </c>
      <c r="I82" s="108">
        <f>IF($A82="","",IFERROR(1/(1/SUMIFS(Expenses!$F5:$F1004,Expenses!$B5:$B1004,"Cash Advance",Expenses!$J5:$J1004,$R82,Expenses!$E5:$E1004,$A82)),""))</f>
        <v/>
      </c>
      <c r="J82" s="108">
        <f>IF($A82="","",IFERROR(1/(1/SUMIFS(Expenses!$F5:$F1004,Expenses!$B5:$B1004,"Payroll Payout",Expenses!$J5:$J1004,$R82,Expenses!$E5:$E1004,$A82)),""))</f>
        <v/>
      </c>
      <c r="K82" s="109">
        <f>IF($H82="","",N($H82)-N($I82)-N($J82))</f>
        <v/>
      </c>
      <c r="L82" s="110">
        <f>IF($K82="","",IF($K82&gt;0.5,"TO PAY",IF($K82&lt;-0.5,"ADVANCE / OWES","SETTLED")))</f>
        <v/>
      </c>
      <c r="R82" s="111" t="n">
        <v>46174</v>
      </c>
    </row>
    <row r="83">
      <c r="A83" s="103">
        <f>IF(Setup!$A83="","",Setup!$A83)</f>
        <v/>
      </c>
      <c r="B83" s="104">
        <f>IF($A83="","",Setup!$B83)</f>
        <v/>
      </c>
      <c r="C83" s="105">
        <f>IF($A83="","",IF(COUNTIFS(Trips!$Z5:$Z1004,$R83,Trips!$D5:$D1004,$A83)+COUNTIFS(Trips!$Z5:$Z1004,$R83,Trips!$E5:$E1004,$A83)=0,"",COUNTIFS(Trips!$Z5:$Z1004,$R83,Trips!$D5:$D1004,$A83)+COUNTIFS(Trips!$Z5:$Z1004,$R83,Trips!$E5:$E1004,$A83)))</f>
        <v/>
      </c>
      <c r="D83" s="106">
        <f>IF($C83="","",SUMIFS(Trips!$K5:$K1004,Trips!$Z5:$Z1004,$R83,Trips!$D5:$D1004,$A83)+SUMIFS(Trips!$K5:$K1004,Trips!$Z5:$Z1004,$R83,Trips!$E5:$E1004,$A83))</f>
        <v/>
      </c>
      <c r="E83" s="107">
        <f>IF($C83="","",SUMIFS(Trips!$N5:$N1004,Trips!$Z5:$Z1004,$R83,Trips!$D5:$D1004,$A83)+SUMIFS(Trips!$O5:$O1004,Trips!$Z5:$Z1004,$R83,Trips!$E5:$E1004,$A83))</f>
        <v/>
      </c>
      <c r="F83" s="108">
        <f>IF($C83="","",SUMIFS(Trips!$P5:$P1004,Trips!$Z5:$Z1004,$R83,Trips!$D5:$D1004,$A83))</f>
        <v/>
      </c>
      <c r="G83" s="108">
        <f>IF($C83="","",SUMIFS(Trips!$Q5:$Q1004,Trips!$Z5:$Z1004,$R83,Trips!$D5:$D1004,$A83))</f>
        <v/>
      </c>
      <c r="H83" s="107">
        <f>IF(AND($C83="",$I83="",$J83=""),"",N($E83)+N($F83)+N($G83))</f>
        <v/>
      </c>
      <c r="I83" s="108">
        <f>IF($A83="","",IFERROR(1/(1/SUMIFS(Expenses!$F5:$F1004,Expenses!$B5:$B1004,"Cash Advance",Expenses!$J5:$J1004,$R83,Expenses!$E5:$E1004,$A83)),""))</f>
        <v/>
      </c>
      <c r="J83" s="108">
        <f>IF($A83="","",IFERROR(1/(1/SUMIFS(Expenses!$F5:$F1004,Expenses!$B5:$B1004,"Payroll Payout",Expenses!$J5:$J1004,$R83,Expenses!$E5:$E1004,$A83)),""))</f>
        <v/>
      </c>
      <c r="K83" s="109">
        <f>IF($H83="","",N($H83)-N($I83)-N($J83))</f>
        <v/>
      </c>
      <c r="L83" s="110">
        <f>IF($K83="","",IF($K83&gt;0.5,"TO PAY",IF($K83&lt;-0.5,"ADVANCE / OWES","SETTLED")))</f>
        <v/>
      </c>
      <c r="R83" s="111" t="n">
        <v>46174</v>
      </c>
    </row>
    <row r="84">
      <c r="A84" s="103">
        <f>IF(Setup!$A84="","",Setup!$A84)</f>
        <v/>
      </c>
      <c r="B84" s="104">
        <f>IF($A84="","",Setup!$B84)</f>
        <v/>
      </c>
      <c r="C84" s="105">
        <f>IF($A84="","",IF(COUNTIFS(Trips!$Z5:$Z1004,$R84,Trips!$D5:$D1004,$A84)+COUNTIFS(Trips!$Z5:$Z1004,$R84,Trips!$E5:$E1004,$A84)=0,"",COUNTIFS(Trips!$Z5:$Z1004,$R84,Trips!$D5:$D1004,$A84)+COUNTIFS(Trips!$Z5:$Z1004,$R84,Trips!$E5:$E1004,$A84)))</f>
        <v/>
      </c>
      <c r="D84" s="106">
        <f>IF($C84="","",SUMIFS(Trips!$K5:$K1004,Trips!$Z5:$Z1004,$R84,Trips!$D5:$D1004,$A84)+SUMIFS(Trips!$K5:$K1004,Trips!$Z5:$Z1004,$R84,Trips!$E5:$E1004,$A84))</f>
        <v/>
      </c>
      <c r="E84" s="107">
        <f>IF($C84="","",SUMIFS(Trips!$N5:$N1004,Trips!$Z5:$Z1004,$R84,Trips!$D5:$D1004,$A84)+SUMIFS(Trips!$O5:$O1004,Trips!$Z5:$Z1004,$R84,Trips!$E5:$E1004,$A84))</f>
        <v/>
      </c>
      <c r="F84" s="108">
        <f>IF($C84="","",SUMIFS(Trips!$P5:$P1004,Trips!$Z5:$Z1004,$R84,Trips!$D5:$D1004,$A84))</f>
        <v/>
      </c>
      <c r="G84" s="108">
        <f>IF($C84="","",SUMIFS(Trips!$Q5:$Q1004,Trips!$Z5:$Z1004,$R84,Trips!$D5:$D1004,$A84))</f>
        <v/>
      </c>
      <c r="H84" s="107">
        <f>IF(AND($C84="",$I84="",$J84=""),"",N($E84)+N($F84)+N($G84))</f>
        <v/>
      </c>
      <c r="I84" s="108">
        <f>IF($A84="","",IFERROR(1/(1/SUMIFS(Expenses!$F5:$F1004,Expenses!$B5:$B1004,"Cash Advance",Expenses!$J5:$J1004,$R84,Expenses!$E5:$E1004,$A84)),""))</f>
        <v/>
      </c>
      <c r="J84" s="108">
        <f>IF($A84="","",IFERROR(1/(1/SUMIFS(Expenses!$F5:$F1004,Expenses!$B5:$B1004,"Payroll Payout",Expenses!$J5:$J1004,$R84,Expenses!$E5:$E1004,$A84)),""))</f>
        <v/>
      </c>
      <c r="K84" s="109">
        <f>IF($H84="","",N($H84)-N($I84)-N($J84))</f>
        <v/>
      </c>
      <c r="L84" s="110">
        <f>IF($K84="","",IF($K84&gt;0.5,"TO PAY",IF($K84&lt;-0.5,"ADVANCE / OWES","SETTLED")))</f>
        <v/>
      </c>
      <c r="R84" s="111" t="n">
        <v>46174</v>
      </c>
    </row>
    <row r="85">
      <c r="A85" s="103">
        <f>IF(Setup!$A85="","",Setup!$A85)</f>
        <v/>
      </c>
      <c r="B85" s="104">
        <f>IF($A85="","",Setup!$B85)</f>
        <v/>
      </c>
      <c r="C85" s="105">
        <f>IF($A85="","",IF(COUNTIFS(Trips!$Z5:$Z1004,$R85,Trips!$D5:$D1004,$A85)+COUNTIFS(Trips!$Z5:$Z1004,$R85,Trips!$E5:$E1004,$A85)=0,"",COUNTIFS(Trips!$Z5:$Z1004,$R85,Trips!$D5:$D1004,$A85)+COUNTIFS(Trips!$Z5:$Z1004,$R85,Trips!$E5:$E1004,$A85)))</f>
        <v/>
      </c>
      <c r="D85" s="106">
        <f>IF($C85="","",SUMIFS(Trips!$K5:$K1004,Trips!$Z5:$Z1004,$R85,Trips!$D5:$D1004,$A85)+SUMIFS(Trips!$K5:$K1004,Trips!$Z5:$Z1004,$R85,Trips!$E5:$E1004,$A85))</f>
        <v/>
      </c>
      <c r="E85" s="107">
        <f>IF($C85="","",SUMIFS(Trips!$N5:$N1004,Trips!$Z5:$Z1004,$R85,Trips!$D5:$D1004,$A85)+SUMIFS(Trips!$O5:$O1004,Trips!$Z5:$Z1004,$R85,Trips!$E5:$E1004,$A85))</f>
        <v/>
      </c>
      <c r="F85" s="108">
        <f>IF($C85="","",SUMIFS(Trips!$P5:$P1004,Trips!$Z5:$Z1004,$R85,Trips!$D5:$D1004,$A85))</f>
        <v/>
      </c>
      <c r="G85" s="108">
        <f>IF($C85="","",SUMIFS(Trips!$Q5:$Q1004,Trips!$Z5:$Z1004,$R85,Trips!$D5:$D1004,$A85))</f>
        <v/>
      </c>
      <c r="H85" s="107">
        <f>IF(AND($C85="",$I85="",$J85=""),"",N($E85)+N($F85)+N($G85))</f>
        <v/>
      </c>
      <c r="I85" s="108">
        <f>IF($A85="","",IFERROR(1/(1/SUMIFS(Expenses!$F5:$F1004,Expenses!$B5:$B1004,"Cash Advance",Expenses!$J5:$J1004,$R85,Expenses!$E5:$E1004,$A85)),""))</f>
        <v/>
      </c>
      <c r="J85" s="108">
        <f>IF($A85="","",IFERROR(1/(1/SUMIFS(Expenses!$F5:$F1004,Expenses!$B5:$B1004,"Payroll Payout",Expenses!$J5:$J1004,$R85,Expenses!$E5:$E1004,$A85)),""))</f>
        <v/>
      </c>
      <c r="K85" s="109">
        <f>IF($H85="","",N($H85)-N($I85)-N($J85))</f>
        <v/>
      </c>
      <c r="L85" s="110">
        <f>IF($K85="","",IF($K85&gt;0.5,"TO PAY",IF($K85&lt;-0.5,"ADVANCE / OWES","SETTLED")))</f>
        <v/>
      </c>
      <c r="R85" s="111" t="n">
        <v>46174</v>
      </c>
    </row>
    <row r="86">
      <c r="A86" s="103">
        <f>IF(Setup!$A86="","",Setup!$A86)</f>
        <v/>
      </c>
      <c r="B86" s="104">
        <f>IF($A86="","",Setup!$B86)</f>
        <v/>
      </c>
      <c r="C86" s="105">
        <f>IF($A86="","",IF(COUNTIFS(Trips!$Z5:$Z1004,$R86,Trips!$D5:$D1004,$A86)+COUNTIFS(Trips!$Z5:$Z1004,$R86,Trips!$E5:$E1004,$A86)=0,"",COUNTIFS(Trips!$Z5:$Z1004,$R86,Trips!$D5:$D1004,$A86)+COUNTIFS(Trips!$Z5:$Z1004,$R86,Trips!$E5:$E1004,$A86)))</f>
        <v/>
      </c>
      <c r="D86" s="106">
        <f>IF($C86="","",SUMIFS(Trips!$K5:$K1004,Trips!$Z5:$Z1004,$R86,Trips!$D5:$D1004,$A86)+SUMIFS(Trips!$K5:$K1004,Trips!$Z5:$Z1004,$R86,Trips!$E5:$E1004,$A86))</f>
        <v/>
      </c>
      <c r="E86" s="107">
        <f>IF($C86="","",SUMIFS(Trips!$N5:$N1004,Trips!$Z5:$Z1004,$R86,Trips!$D5:$D1004,$A86)+SUMIFS(Trips!$O5:$O1004,Trips!$Z5:$Z1004,$R86,Trips!$E5:$E1004,$A86))</f>
        <v/>
      </c>
      <c r="F86" s="108">
        <f>IF($C86="","",SUMIFS(Trips!$P5:$P1004,Trips!$Z5:$Z1004,$R86,Trips!$D5:$D1004,$A86))</f>
        <v/>
      </c>
      <c r="G86" s="108">
        <f>IF($C86="","",SUMIFS(Trips!$Q5:$Q1004,Trips!$Z5:$Z1004,$R86,Trips!$D5:$D1004,$A86))</f>
        <v/>
      </c>
      <c r="H86" s="107">
        <f>IF(AND($C86="",$I86="",$J86=""),"",N($E86)+N($F86)+N($G86))</f>
        <v/>
      </c>
      <c r="I86" s="108">
        <f>IF($A86="","",IFERROR(1/(1/SUMIFS(Expenses!$F5:$F1004,Expenses!$B5:$B1004,"Cash Advance",Expenses!$J5:$J1004,$R86,Expenses!$E5:$E1004,$A86)),""))</f>
        <v/>
      </c>
      <c r="J86" s="108">
        <f>IF($A86="","",IFERROR(1/(1/SUMIFS(Expenses!$F5:$F1004,Expenses!$B5:$B1004,"Payroll Payout",Expenses!$J5:$J1004,$R86,Expenses!$E5:$E1004,$A86)),""))</f>
        <v/>
      </c>
      <c r="K86" s="109">
        <f>IF($H86="","",N($H86)-N($I86)-N($J86))</f>
        <v/>
      </c>
      <c r="L86" s="110">
        <f>IF($K86="","",IF($K86&gt;0.5,"TO PAY",IF($K86&lt;-0.5,"ADVANCE / OWES","SETTLED")))</f>
        <v/>
      </c>
      <c r="R86" s="111" t="n">
        <v>46174</v>
      </c>
    </row>
    <row r="87">
      <c r="A87" s="103">
        <f>IF(Setup!$A87="","",Setup!$A87)</f>
        <v/>
      </c>
      <c r="B87" s="104">
        <f>IF($A87="","",Setup!$B87)</f>
        <v/>
      </c>
      <c r="C87" s="105">
        <f>IF($A87="","",IF(COUNTIFS(Trips!$Z5:$Z1004,$R87,Trips!$D5:$D1004,$A87)+COUNTIFS(Trips!$Z5:$Z1004,$R87,Trips!$E5:$E1004,$A87)=0,"",COUNTIFS(Trips!$Z5:$Z1004,$R87,Trips!$D5:$D1004,$A87)+COUNTIFS(Trips!$Z5:$Z1004,$R87,Trips!$E5:$E1004,$A87)))</f>
        <v/>
      </c>
      <c r="D87" s="106">
        <f>IF($C87="","",SUMIFS(Trips!$K5:$K1004,Trips!$Z5:$Z1004,$R87,Trips!$D5:$D1004,$A87)+SUMIFS(Trips!$K5:$K1004,Trips!$Z5:$Z1004,$R87,Trips!$E5:$E1004,$A87))</f>
        <v/>
      </c>
      <c r="E87" s="107">
        <f>IF($C87="","",SUMIFS(Trips!$N5:$N1004,Trips!$Z5:$Z1004,$R87,Trips!$D5:$D1004,$A87)+SUMIFS(Trips!$O5:$O1004,Trips!$Z5:$Z1004,$R87,Trips!$E5:$E1004,$A87))</f>
        <v/>
      </c>
      <c r="F87" s="108">
        <f>IF($C87="","",SUMIFS(Trips!$P5:$P1004,Trips!$Z5:$Z1004,$R87,Trips!$D5:$D1004,$A87))</f>
        <v/>
      </c>
      <c r="G87" s="108">
        <f>IF($C87="","",SUMIFS(Trips!$Q5:$Q1004,Trips!$Z5:$Z1004,$R87,Trips!$D5:$D1004,$A87))</f>
        <v/>
      </c>
      <c r="H87" s="107">
        <f>IF(AND($C87="",$I87="",$J87=""),"",N($E87)+N($F87)+N($G87))</f>
        <v/>
      </c>
      <c r="I87" s="108">
        <f>IF($A87="","",IFERROR(1/(1/SUMIFS(Expenses!$F5:$F1004,Expenses!$B5:$B1004,"Cash Advance",Expenses!$J5:$J1004,$R87,Expenses!$E5:$E1004,$A87)),""))</f>
        <v/>
      </c>
      <c r="J87" s="108">
        <f>IF($A87="","",IFERROR(1/(1/SUMIFS(Expenses!$F5:$F1004,Expenses!$B5:$B1004,"Payroll Payout",Expenses!$J5:$J1004,$R87,Expenses!$E5:$E1004,$A87)),""))</f>
        <v/>
      </c>
      <c r="K87" s="109">
        <f>IF($H87="","",N($H87)-N($I87)-N($J87))</f>
        <v/>
      </c>
      <c r="L87" s="110">
        <f>IF($K87="","",IF($K87&gt;0.5,"TO PAY",IF($K87&lt;-0.5,"ADVANCE / OWES","SETTLED")))</f>
        <v/>
      </c>
      <c r="R87" s="111" t="n">
        <v>46174</v>
      </c>
    </row>
    <row r="88">
      <c r="A88" s="112" t="inlineStr">
        <is>
          <t>MONTH TOTAL</t>
        </is>
      </c>
      <c r="B88" s="113" t="n"/>
      <c r="C88" s="114">
        <f>IF(COUNT(C76:C87)=0,"",SUM(C76:C87))</f>
        <v/>
      </c>
      <c r="D88" s="115">
        <f>IF(COUNT(D76:D87)=0,"",SUM(D76:D87))</f>
        <v/>
      </c>
      <c r="E88" s="116">
        <f>IF(COUNT(E76:E87)=0,"",SUM(E76:E87))</f>
        <v/>
      </c>
      <c r="F88" s="116">
        <f>IF(COUNT(F76:F87)=0,"",SUM(F76:F87))</f>
        <v/>
      </c>
      <c r="G88" s="116">
        <f>IF(COUNT(G76:G87)=0,"",SUM(G76:G87))</f>
        <v/>
      </c>
      <c r="H88" s="116">
        <f>IF(COUNT(H76:H87)=0,"",SUM(H76:H87))</f>
        <v/>
      </c>
      <c r="I88" s="116">
        <f>IF(COUNT(I76:I87)=0,"",SUM(I76:I87))</f>
        <v/>
      </c>
      <c r="J88" s="116">
        <f>IF(COUNT(J76:J87)=0,"",SUM(J76:J87))</f>
        <v/>
      </c>
      <c r="K88" s="116">
        <f>IF(COUNT(K76:K87)=0,"",SUM(K76:K87))</f>
        <v/>
      </c>
      <c r="L88" s="117" t="n"/>
    </row>
    <row r="89" ht="24" customHeight="1">
      <c r="A89" s="102" t="inlineStr">
        <is>
          <t>JULY 2026   ·   crew earnings &amp; settlement</t>
        </is>
      </c>
    </row>
    <row r="90">
      <c r="A90" s="103">
        <f>IF(Setup!$A76="","",Setup!$A76)</f>
        <v/>
      </c>
      <c r="B90" s="104">
        <f>IF($A90="","",Setup!$B76)</f>
        <v/>
      </c>
      <c r="C90" s="105">
        <f>IF($A90="","",IF(COUNTIFS(Trips!$Z5:$Z1004,$R90,Trips!$D5:$D1004,$A90)+COUNTIFS(Trips!$Z5:$Z1004,$R90,Trips!$E5:$E1004,$A90)=0,"",COUNTIFS(Trips!$Z5:$Z1004,$R90,Trips!$D5:$D1004,$A90)+COUNTIFS(Trips!$Z5:$Z1004,$R90,Trips!$E5:$E1004,$A90)))</f>
        <v/>
      </c>
      <c r="D90" s="106">
        <f>IF($C90="","",SUMIFS(Trips!$K5:$K1004,Trips!$Z5:$Z1004,$R90,Trips!$D5:$D1004,$A90)+SUMIFS(Trips!$K5:$K1004,Trips!$Z5:$Z1004,$R90,Trips!$E5:$E1004,$A90))</f>
        <v/>
      </c>
      <c r="E90" s="107">
        <f>IF($C90="","",SUMIFS(Trips!$N5:$N1004,Trips!$Z5:$Z1004,$R90,Trips!$D5:$D1004,$A90)+SUMIFS(Trips!$O5:$O1004,Trips!$Z5:$Z1004,$R90,Trips!$E5:$E1004,$A90))</f>
        <v/>
      </c>
      <c r="F90" s="108">
        <f>IF($C90="","",SUMIFS(Trips!$P5:$P1004,Trips!$Z5:$Z1004,$R90,Trips!$D5:$D1004,$A90))</f>
        <v/>
      </c>
      <c r="G90" s="108">
        <f>IF($C90="","",SUMIFS(Trips!$Q5:$Q1004,Trips!$Z5:$Z1004,$R90,Trips!$D5:$D1004,$A90))</f>
        <v/>
      </c>
      <c r="H90" s="107">
        <f>IF(AND($C90="",$I90="",$J90=""),"",N($E90)+N($F90)+N($G90))</f>
        <v/>
      </c>
      <c r="I90" s="108">
        <f>IF($A90="","",IFERROR(1/(1/SUMIFS(Expenses!$F5:$F1004,Expenses!$B5:$B1004,"Cash Advance",Expenses!$J5:$J1004,$R90,Expenses!$E5:$E1004,$A90)),""))</f>
        <v/>
      </c>
      <c r="J90" s="108">
        <f>IF($A90="","",IFERROR(1/(1/SUMIFS(Expenses!$F5:$F1004,Expenses!$B5:$B1004,"Payroll Payout",Expenses!$J5:$J1004,$R90,Expenses!$E5:$E1004,$A90)),""))</f>
        <v/>
      </c>
      <c r="K90" s="109">
        <f>IF($H90="","",N($H90)-N($I90)-N($J90))</f>
        <v/>
      </c>
      <c r="L90" s="110">
        <f>IF($K90="","",IF($K90&gt;0.5,"TO PAY",IF($K90&lt;-0.5,"ADVANCE / OWES","SETTLED")))</f>
        <v/>
      </c>
      <c r="R90" s="111" t="n">
        <v>46204</v>
      </c>
    </row>
    <row r="91">
      <c r="A91" s="103">
        <f>IF(Setup!$A77="","",Setup!$A77)</f>
        <v/>
      </c>
      <c r="B91" s="104">
        <f>IF($A91="","",Setup!$B77)</f>
        <v/>
      </c>
      <c r="C91" s="105">
        <f>IF($A91="","",IF(COUNTIFS(Trips!$Z5:$Z1004,$R91,Trips!$D5:$D1004,$A91)+COUNTIFS(Trips!$Z5:$Z1004,$R91,Trips!$E5:$E1004,$A91)=0,"",COUNTIFS(Trips!$Z5:$Z1004,$R91,Trips!$D5:$D1004,$A91)+COUNTIFS(Trips!$Z5:$Z1004,$R91,Trips!$E5:$E1004,$A91)))</f>
        <v/>
      </c>
      <c r="D91" s="106">
        <f>IF($C91="","",SUMIFS(Trips!$K5:$K1004,Trips!$Z5:$Z1004,$R91,Trips!$D5:$D1004,$A91)+SUMIFS(Trips!$K5:$K1004,Trips!$Z5:$Z1004,$R91,Trips!$E5:$E1004,$A91))</f>
        <v/>
      </c>
      <c r="E91" s="107">
        <f>IF($C91="","",SUMIFS(Trips!$N5:$N1004,Trips!$Z5:$Z1004,$R91,Trips!$D5:$D1004,$A91)+SUMIFS(Trips!$O5:$O1004,Trips!$Z5:$Z1004,$R91,Trips!$E5:$E1004,$A91))</f>
        <v/>
      </c>
      <c r="F91" s="108">
        <f>IF($C91="","",SUMIFS(Trips!$P5:$P1004,Trips!$Z5:$Z1004,$R91,Trips!$D5:$D1004,$A91))</f>
        <v/>
      </c>
      <c r="G91" s="108">
        <f>IF($C91="","",SUMIFS(Trips!$Q5:$Q1004,Trips!$Z5:$Z1004,$R91,Trips!$D5:$D1004,$A91))</f>
        <v/>
      </c>
      <c r="H91" s="107">
        <f>IF(AND($C91="",$I91="",$J91=""),"",N($E91)+N($F91)+N($G91))</f>
        <v/>
      </c>
      <c r="I91" s="108">
        <f>IF($A91="","",IFERROR(1/(1/SUMIFS(Expenses!$F5:$F1004,Expenses!$B5:$B1004,"Cash Advance",Expenses!$J5:$J1004,$R91,Expenses!$E5:$E1004,$A91)),""))</f>
        <v/>
      </c>
      <c r="J91" s="108">
        <f>IF($A91="","",IFERROR(1/(1/SUMIFS(Expenses!$F5:$F1004,Expenses!$B5:$B1004,"Payroll Payout",Expenses!$J5:$J1004,$R91,Expenses!$E5:$E1004,$A91)),""))</f>
        <v/>
      </c>
      <c r="K91" s="109">
        <f>IF($H91="","",N($H91)-N($I91)-N($J91))</f>
        <v/>
      </c>
      <c r="L91" s="110">
        <f>IF($K91="","",IF($K91&gt;0.5,"TO PAY",IF($K91&lt;-0.5,"ADVANCE / OWES","SETTLED")))</f>
        <v/>
      </c>
      <c r="R91" s="111" t="n">
        <v>46204</v>
      </c>
    </row>
    <row r="92">
      <c r="A92" s="103">
        <f>IF(Setup!$A78="","",Setup!$A78)</f>
        <v/>
      </c>
      <c r="B92" s="104">
        <f>IF($A92="","",Setup!$B78)</f>
        <v/>
      </c>
      <c r="C92" s="105">
        <f>IF($A92="","",IF(COUNTIFS(Trips!$Z5:$Z1004,$R92,Trips!$D5:$D1004,$A92)+COUNTIFS(Trips!$Z5:$Z1004,$R92,Trips!$E5:$E1004,$A92)=0,"",COUNTIFS(Trips!$Z5:$Z1004,$R92,Trips!$D5:$D1004,$A92)+COUNTIFS(Trips!$Z5:$Z1004,$R92,Trips!$E5:$E1004,$A92)))</f>
        <v/>
      </c>
      <c r="D92" s="106">
        <f>IF($C92="","",SUMIFS(Trips!$K5:$K1004,Trips!$Z5:$Z1004,$R92,Trips!$D5:$D1004,$A92)+SUMIFS(Trips!$K5:$K1004,Trips!$Z5:$Z1004,$R92,Trips!$E5:$E1004,$A92))</f>
        <v/>
      </c>
      <c r="E92" s="107">
        <f>IF($C92="","",SUMIFS(Trips!$N5:$N1004,Trips!$Z5:$Z1004,$R92,Trips!$D5:$D1004,$A92)+SUMIFS(Trips!$O5:$O1004,Trips!$Z5:$Z1004,$R92,Trips!$E5:$E1004,$A92))</f>
        <v/>
      </c>
      <c r="F92" s="108">
        <f>IF($C92="","",SUMIFS(Trips!$P5:$P1004,Trips!$Z5:$Z1004,$R92,Trips!$D5:$D1004,$A92))</f>
        <v/>
      </c>
      <c r="G92" s="108">
        <f>IF($C92="","",SUMIFS(Trips!$Q5:$Q1004,Trips!$Z5:$Z1004,$R92,Trips!$D5:$D1004,$A92))</f>
        <v/>
      </c>
      <c r="H92" s="107">
        <f>IF(AND($C92="",$I92="",$J92=""),"",N($E92)+N($F92)+N($G92))</f>
        <v/>
      </c>
      <c r="I92" s="108">
        <f>IF($A92="","",IFERROR(1/(1/SUMIFS(Expenses!$F5:$F1004,Expenses!$B5:$B1004,"Cash Advance",Expenses!$J5:$J1004,$R92,Expenses!$E5:$E1004,$A92)),""))</f>
        <v/>
      </c>
      <c r="J92" s="108">
        <f>IF($A92="","",IFERROR(1/(1/SUMIFS(Expenses!$F5:$F1004,Expenses!$B5:$B1004,"Payroll Payout",Expenses!$J5:$J1004,$R92,Expenses!$E5:$E1004,$A92)),""))</f>
        <v/>
      </c>
      <c r="K92" s="109">
        <f>IF($H92="","",N($H92)-N($I92)-N($J92))</f>
        <v/>
      </c>
      <c r="L92" s="110">
        <f>IF($K92="","",IF($K92&gt;0.5,"TO PAY",IF($K92&lt;-0.5,"ADVANCE / OWES","SETTLED")))</f>
        <v/>
      </c>
      <c r="R92" s="111" t="n">
        <v>46204</v>
      </c>
    </row>
    <row r="93">
      <c r="A93" s="103">
        <f>IF(Setup!$A79="","",Setup!$A79)</f>
        <v/>
      </c>
      <c r="B93" s="104">
        <f>IF($A93="","",Setup!$B79)</f>
        <v/>
      </c>
      <c r="C93" s="105">
        <f>IF($A93="","",IF(COUNTIFS(Trips!$Z5:$Z1004,$R93,Trips!$D5:$D1004,$A93)+COUNTIFS(Trips!$Z5:$Z1004,$R93,Trips!$E5:$E1004,$A93)=0,"",COUNTIFS(Trips!$Z5:$Z1004,$R93,Trips!$D5:$D1004,$A93)+COUNTIFS(Trips!$Z5:$Z1004,$R93,Trips!$E5:$E1004,$A93)))</f>
        <v/>
      </c>
      <c r="D93" s="106">
        <f>IF($C93="","",SUMIFS(Trips!$K5:$K1004,Trips!$Z5:$Z1004,$R93,Trips!$D5:$D1004,$A93)+SUMIFS(Trips!$K5:$K1004,Trips!$Z5:$Z1004,$R93,Trips!$E5:$E1004,$A93))</f>
        <v/>
      </c>
      <c r="E93" s="107">
        <f>IF($C93="","",SUMIFS(Trips!$N5:$N1004,Trips!$Z5:$Z1004,$R93,Trips!$D5:$D1004,$A93)+SUMIFS(Trips!$O5:$O1004,Trips!$Z5:$Z1004,$R93,Trips!$E5:$E1004,$A93))</f>
        <v/>
      </c>
      <c r="F93" s="108">
        <f>IF($C93="","",SUMIFS(Trips!$P5:$P1004,Trips!$Z5:$Z1004,$R93,Trips!$D5:$D1004,$A93))</f>
        <v/>
      </c>
      <c r="G93" s="108">
        <f>IF($C93="","",SUMIFS(Trips!$Q5:$Q1004,Trips!$Z5:$Z1004,$R93,Trips!$D5:$D1004,$A93))</f>
        <v/>
      </c>
      <c r="H93" s="107">
        <f>IF(AND($C93="",$I93="",$J93=""),"",N($E93)+N($F93)+N($G93))</f>
        <v/>
      </c>
      <c r="I93" s="108">
        <f>IF($A93="","",IFERROR(1/(1/SUMIFS(Expenses!$F5:$F1004,Expenses!$B5:$B1004,"Cash Advance",Expenses!$J5:$J1004,$R93,Expenses!$E5:$E1004,$A93)),""))</f>
        <v/>
      </c>
      <c r="J93" s="108">
        <f>IF($A93="","",IFERROR(1/(1/SUMIFS(Expenses!$F5:$F1004,Expenses!$B5:$B1004,"Payroll Payout",Expenses!$J5:$J1004,$R93,Expenses!$E5:$E1004,$A93)),""))</f>
        <v/>
      </c>
      <c r="K93" s="109">
        <f>IF($H93="","",N($H93)-N($I93)-N($J93))</f>
        <v/>
      </c>
      <c r="L93" s="110">
        <f>IF($K93="","",IF($K93&gt;0.5,"TO PAY",IF($K93&lt;-0.5,"ADVANCE / OWES","SETTLED")))</f>
        <v/>
      </c>
      <c r="R93" s="111" t="n">
        <v>46204</v>
      </c>
    </row>
    <row r="94">
      <c r="A94" s="103">
        <f>IF(Setup!$A80="","",Setup!$A80)</f>
        <v/>
      </c>
      <c r="B94" s="104">
        <f>IF($A94="","",Setup!$B80)</f>
        <v/>
      </c>
      <c r="C94" s="105">
        <f>IF($A94="","",IF(COUNTIFS(Trips!$Z5:$Z1004,$R94,Trips!$D5:$D1004,$A94)+COUNTIFS(Trips!$Z5:$Z1004,$R94,Trips!$E5:$E1004,$A94)=0,"",COUNTIFS(Trips!$Z5:$Z1004,$R94,Trips!$D5:$D1004,$A94)+COUNTIFS(Trips!$Z5:$Z1004,$R94,Trips!$E5:$E1004,$A94)))</f>
        <v/>
      </c>
      <c r="D94" s="106">
        <f>IF($C94="","",SUMIFS(Trips!$K5:$K1004,Trips!$Z5:$Z1004,$R94,Trips!$D5:$D1004,$A94)+SUMIFS(Trips!$K5:$K1004,Trips!$Z5:$Z1004,$R94,Trips!$E5:$E1004,$A94))</f>
        <v/>
      </c>
      <c r="E94" s="107">
        <f>IF($C94="","",SUMIFS(Trips!$N5:$N1004,Trips!$Z5:$Z1004,$R94,Trips!$D5:$D1004,$A94)+SUMIFS(Trips!$O5:$O1004,Trips!$Z5:$Z1004,$R94,Trips!$E5:$E1004,$A94))</f>
        <v/>
      </c>
      <c r="F94" s="108">
        <f>IF($C94="","",SUMIFS(Trips!$P5:$P1004,Trips!$Z5:$Z1004,$R94,Trips!$D5:$D1004,$A94))</f>
        <v/>
      </c>
      <c r="G94" s="108">
        <f>IF($C94="","",SUMIFS(Trips!$Q5:$Q1004,Trips!$Z5:$Z1004,$R94,Trips!$D5:$D1004,$A94))</f>
        <v/>
      </c>
      <c r="H94" s="107">
        <f>IF(AND($C94="",$I94="",$J94=""),"",N($E94)+N($F94)+N($G94))</f>
        <v/>
      </c>
      <c r="I94" s="108">
        <f>IF($A94="","",IFERROR(1/(1/SUMIFS(Expenses!$F5:$F1004,Expenses!$B5:$B1004,"Cash Advance",Expenses!$J5:$J1004,$R94,Expenses!$E5:$E1004,$A94)),""))</f>
        <v/>
      </c>
      <c r="J94" s="108">
        <f>IF($A94="","",IFERROR(1/(1/SUMIFS(Expenses!$F5:$F1004,Expenses!$B5:$B1004,"Payroll Payout",Expenses!$J5:$J1004,$R94,Expenses!$E5:$E1004,$A94)),""))</f>
        <v/>
      </c>
      <c r="K94" s="109">
        <f>IF($H94="","",N($H94)-N($I94)-N($J94))</f>
        <v/>
      </c>
      <c r="L94" s="110">
        <f>IF($K94="","",IF($K94&gt;0.5,"TO PAY",IF($K94&lt;-0.5,"ADVANCE / OWES","SETTLED")))</f>
        <v/>
      </c>
      <c r="R94" s="111" t="n">
        <v>46204</v>
      </c>
    </row>
    <row r="95">
      <c r="A95" s="103">
        <f>IF(Setup!$A81="","",Setup!$A81)</f>
        <v/>
      </c>
      <c r="B95" s="104">
        <f>IF($A95="","",Setup!$B81)</f>
        <v/>
      </c>
      <c r="C95" s="105">
        <f>IF($A95="","",IF(COUNTIFS(Trips!$Z5:$Z1004,$R95,Trips!$D5:$D1004,$A95)+COUNTIFS(Trips!$Z5:$Z1004,$R95,Trips!$E5:$E1004,$A95)=0,"",COUNTIFS(Trips!$Z5:$Z1004,$R95,Trips!$D5:$D1004,$A95)+COUNTIFS(Trips!$Z5:$Z1004,$R95,Trips!$E5:$E1004,$A95)))</f>
        <v/>
      </c>
      <c r="D95" s="106">
        <f>IF($C95="","",SUMIFS(Trips!$K5:$K1004,Trips!$Z5:$Z1004,$R95,Trips!$D5:$D1004,$A95)+SUMIFS(Trips!$K5:$K1004,Trips!$Z5:$Z1004,$R95,Trips!$E5:$E1004,$A95))</f>
        <v/>
      </c>
      <c r="E95" s="107">
        <f>IF($C95="","",SUMIFS(Trips!$N5:$N1004,Trips!$Z5:$Z1004,$R95,Trips!$D5:$D1004,$A95)+SUMIFS(Trips!$O5:$O1004,Trips!$Z5:$Z1004,$R95,Trips!$E5:$E1004,$A95))</f>
        <v/>
      </c>
      <c r="F95" s="108">
        <f>IF($C95="","",SUMIFS(Trips!$P5:$P1004,Trips!$Z5:$Z1004,$R95,Trips!$D5:$D1004,$A95))</f>
        <v/>
      </c>
      <c r="G95" s="108">
        <f>IF($C95="","",SUMIFS(Trips!$Q5:$Q1004,Trips!$Z5:$Z1004,$R95,Trips!$D5:$D1004,$A95))</f>
        <v/>
      </c>
      <c r="H95" s="107">
        <f>IF(AND($C95="",$I95="",$J95=""),"",N($E95)+N($F95)+N($G95))</f>
        <v/>
      </c>
      <c r="I95" s="108">
        <f>IF($A95="","",IFERROR(1/(1/SUMIFS(Expenses!$F5:$F1004,Expenses!$B5:$B1004,"Cash Advance",Expenses!$J5:$J1004,$R95,Expenses!$E5:$E1004,$A95)),""))</f>
        <v/>
      </c>
      <c r="J95" s="108">
        <f>IF($A95="","",IFERROR(1/(1/SUMIFS(Expenses!$F5:$F1004,Expenses!$B5:$B1004,"Payroll Payout",Expenses!$J5:$J1004,$R95,Expenses!$E5:$E1004,$A95)),""))</f>
        <v/>
      </c>
      <c r="K95" s="109">
        <f>IF($H95="","",N($H95)-N($I95)-N($J95))</f>
        <v/>
      </c>
      <c r="L95" s="110">
        <f>IF($K95="","",IF($K95&gt;0.5,"TO PAY",IF($K95&lt;-0.5,"ADVANCE / OWES","SETTLED")))</f>
        <v/>
      </c>
      <c r="R95" s="111" t="n">
        <v>46204</v>
      </c>
    </row>
    <row r="96">
      <c r="A96" s="103">
        <f>IF(Setup!$A82="","",Setup!$A82)</f>
        <v/>
      </c>
      <c r="B96" s="104">
        <f>IF($A96="","",Setup!$B82)</f>
        <v/>
      </c>
      <c r="C96" s="105">
        <f>IF($A96="","",IF(COUNTIFS(Trips!$Z5:$Z1004,$R96,Trips!$D5:$D1004,$A96)+COUNTIFS(Trips!$Z5:$Z1004,$R96,Trips!$E5:$E1004,$A96)=0,"",COUNTIFS(Trips!$Z5:$Z1004,$R96,Trips!$D5:$D1004,$A96)+COUNTIFS(Trips!$Z5:$Z1004,$R96,Trips!$E5:$E1004,$A96)))</f>
        <v/>
      </c>
      <c r="D96" s="106">
        <f>IF($C96="","",SUMIFS(Trips!$K5:$K1004,Trips!$Z5:$Z1004,$R96,Trips!$D5:$D1004,$A96)+SUMIFS(Trips!$K5:$K1004,Trips!$Z5:$Z1004,$R96,Trips!$E5:$E1004,$A96))</f>
        <v/>
      </c>
      <c r="E96" s="107">
        <f>IF($C96="","",SUMIFS(Trips!$N5:$N1004,Trips!$Z5:$Z1004,$R96,Trips!$D5:$D1004,$A96)+SUMIFS(Trips!$O5:$O1004,Trips!$Z5:$Z1004,$R96,Trips!$E5:$E1004,$A96))</f>
        <v/>
      </c>
      <c r="F96" s="108">
        <f>IF($C96="","",SUMIFS(Trips!$P5:$P1004,Trips!$Z5:$Z1004,$R96,Trips!$D5:$D1004,$A96))</f>
        <v/>
      </c>
      <c r="G96" s="108">
        <f>IF($C96="","",SUMIFS(Trips!$Q5:$Q1004,Trips!$Z5:$Z1004,$R96,Trips!$D5:$D1004,$A96))</f>
        <v/>
      </c>
      <c r="H96" s="107">
        <f>IF(AND($C96="",$I96="",$J96=""),"",N($E96)+N($F96)+N($G96))</f>
        <v/>
      </c>
      <c r="I96" s="108">
        <f>IF($A96="","",IFERROR(1/(1/SUMIFS(Expenses!$F5:$F1004,Expenses!$B5:$B1004,"Cash Advance",Expenses!$J5:$J1004,$R96,Expenses!$E5:$E1004,$A96)),""))</f>
        <v/>
      </c>
      <c r="J96" s="108">
        <f>IF($A96="","",IFERROR(1/(1/SUMIFS(Expenses!$F5:$F1004,Expenses!$B5:$B1004,"Payroll Payout",Expenses!$J5:$J1004,$R96,Expenses!$E5:$E1004,$A96)),""))</f>
        <v/>
      </c>
      <c r="K96" s="109">
        <f>IF($H96="","",N($H96)-N($I96)-N($J96))</f>
        <v/>
      </c>
      <c r="L96" s="110">
        <f>IF($K96="","",IF($K96&gt;0.5,"TO PAY",IF($K96&lt;-0.5,"ADVANCE / OWES","SETTLED")))</f>
        <v/>
      </c>
      <c r="R96" s="111" t="n">
        <v>46204</v>
      </c>
    </row>
    <row r="97">
      <c r="A97" s="103">
        <f>IF(Setup!$A83="","",Setup!$A83)</f>
        <v/>
      </c>
      <c r="B97" s="104">
        <f>IF($A97="","",Setup!$B83)</f>
        <v/>
      </c>
      <c r="C97" s="105">
        <f>IF($A97="","",IF(COUNTIFS(Trips!$Z5:$Z1004,$R97,Trips!$D5:$D1004,$A97)+COUNTIFS(Trips!$Z5:$Z1004,$R97,Trips!$E5:$E1004,$A97)=0,"",COUNTIFS(Trips!$Z5:$Z1004,$R97,Trips!$D5:$D1004,$A97)+COUNTIFS(Trips!$Z5:$Z1004,$R97,Trips!$E5:$E1004,$A97)))</f>
        <v/>
      </c>
      <c r="D97" s="106">
        <f>IF($C97="","",SUMIFS(Trips!$K5:$K1004,Trips!$Z5:$Z1004,$R97,Trips!$D5:$D1004,$A97)+SUMIFS(Trips!$K5:$K1004,Trips!$Z5:$Z1004,$R97,Trips!$E5:$E1004,$A97))</f>
        <v/>
      </c>
      <c r="E97" s="107">
        <f>IF($C97="","",SUMIFS(Trips!$N5:$N1004,Trips!$Z5:$Z1004,$R97,Trips!$D5:$D1004,$A97)+SUMIFS(Trips!$O5:$O1004,Trips!$Z5:$Z1004,$R97,Trips!$E5:$E1004,$A97))</f>
        <v/>
      </c>
      <c r="F97" s="108">
        <f>IF($C97="","",SUMIFS(Trips!$P5:$P1004,Trips!$Z5:$Z1004,$R97,Trips!$D5:$D1004,$A97))</f>
        <v/>
      </c>
      <c r="G97" s="108">
        <f>IF($C97="","",SUMIFS(Trips!$Q5:$Q1004,Trips!$Z5:$Z1004,$R97,Trips!$D5:$D1004,$A97))</f>
        <v/>
      </c>
      <c r="H97" s="107">
        <f>IF(AND($C97="",$I97="",$J97=""),"",N($E97)+N($F97)+N($G97))</f>
        <v/>
      </c>
      <c r="I97" s="108">
        <f>IF($A97="","",IFERROR(1/(1/SUMIFS(Expenses!$F5:$F1004,Expenses!$B5:$B1004,"Cash Advance",Expenses!$J5:$J1004,$R97,Expenses!$E5:$E1004,$A97)),""))</f>
        <v/>
      </c>
      <c r="J97" s="108">
        <f>IF($A97="","",IFERROR(1/(1/SUMIFS(Expenses!$F5:$F1004,Expenses!$B5:$B1004,"Payroll Payout",Expenses!$J5:$J1004,$R97,Expenses!$E5:$E1004,$A97)),""))</f>
        <v/>
      </c>
      <c r="K97" s="109">
        <f>IF($H97="","",N($H97)-N($I97)-N($J97))</f>
        <v/>
      </c>
      <c r="L97" s="110">
        <f>IF($K97="","",IF($K97&gt;0.5,"TO PAY",IF($K97&lt;-0.5,"ADVANCE / OWES","SETTLED")))</f>
        <v/>
      </c>
      <c r="R97" s="111" t="n">
        <v>46204</v>
      </c>
    </row>
    <row r="98">
      <c r="A98" s="103">
        <f>IF(Setup!$A84="","",Setup!$A84)</f>
        <v/>
      </c>
      <c r="B98" s="104">
        <f>IF($A98="","",Setup!$B84)</f>
        <v/>
      </c>
      <c r="C98" s="105">
        <f>IF($A98="","",IF(COUNTIFS(Trips!$Z5:$Z1004,$R98,Trips!$D5:$D1004,$A98)+COUNTIFS(Trips!$Z5:$Z1004,$R98,Trips!$E5:$E1004,$A98)=0,"",COUNTIFS(Trips!$Z5:$Z1004,$R98,Trips!$D5:$D1004,$A98)+COUNTIFS(Trips!$Z5:$Z1004,$R98,Trips!$E5:$E1004,$A98)))</f>
        <v/>
      </c>
      <c r="D98" s="106">
        <f>IF($C98="","",SUMIFS(Trips!$K5:$K1004,Trips!$Z5:$Z1004,$R98,Trips!$D5:$D1004,$A98)+SUMIFS(Trips!$K5:$K1004,Trips!$Z5:$Z1004,$R98,Trips!$E5:$E1004,$A98))</f>
        <v/>
      </c>
      <c r="E98" s="107">
        <f>IF($C98="","",SUMIFS(Trips!$N5:$N1004,Trips!$Z5:$Z1004,$R98,Trips!$D5:$D1004,$A98)+SUMIFS(Trips!$O5:$O1004,Trips!$Z5:$Z1004,$R98,Trips!$E5:$E1004,$A98))</f>
        <v/>
      </c>
      <c r="F98" s="108">
        <f>IF($C98="","",SUMIFS(Trips!$P5:$P1004,Trips!$Z5:$Z1004,$R98,Trips!$D5:$D1004,$A98))</f>
        <v/>
      </c>
      <c r="G98" s="108">
        <f>IF($C98="","",SUMIFS(Trips!$Q5:$Q1004,Trips!$Z5:$Z1004,$R98,Trips!$D5:$D1004,$A98))</f>
        <v/>
      </c>
      <c r="H98" s="107">
        <f>IF(AND($C98="",$I98="",$J98=""),"",N($E98)+N($F98)+N($G98))</f>
        <v/>
      </c>
      <c r="I98" s="108">
        <f>IF($A98="","",IFERROR(1/(1/SUMIFS(Expenses!$F5:$F1004,Expenses!$B5:$B1004,"Cash Advance",Expenses!$J5:$J1004,$R98,Expenses!$E5:$E1004,$A98)),""))</f>
        <v/>
      </c>
      <c r="J98" s="108">
        <f>IF($A98="","",IFERROR(1/(1/SUMIFS(Expenses!$F5:$F1004,Expenses!$B5:$B1004,"Payroll Payout",Expenses!$J5:$J1004,$R98,Expenses!$E5:$E1004,$A98)),""))</f>
        <v/>
      </c>
      <c r="K98" s="109">
        <f>IF($H98="","",N($H98)-N($I98)-N($J98))</f>
        <v/>
      </c>
      <c r="L98" s="110">
        <f>IF($K98="","",IF($K98&gt;0.5,"TO PAY",IF($K98&lt;-0.5,"ADVANCE / OWES","SETTLED")))</f>
        <v/>
      </c>
      <c r="R98" s="111" t="n">
        <v>46204</v>
      </c>
    </row>
    <row r="99">
      <c r="A99" s="103">
        <f>IF(Setup!$A85="","",Setup!$A85)</f>
        <v/>
      </c>
      <c r="B99" s="104">
        <f>IF($A99="","",Setup!$B85)</f>
        <v/>
      </c>
      <c r="C99" s="105">
        <f>IF($A99="","",IF(COUNTIFS(Trips!$Z5:$Z1004,$R99,Trips!$D5:$D1004,$A99)+COUNTIFS(Trips!$Z5:$Z1004,$R99,Trips!$E5:$E1004,$A99)=0,"",COUNTIFS(Trips!$Z5:$Z1004,$R99,Trips!$D5:$D1004,$A99)+COUNTIFS(Trips!$Z5:$Z1004,$R99,Trips!$E5:$E1004,$A99)))</f>
        <v/>
      </c>
      <c r="D99" s="106">
        <f>IF($C99="","",SUMIFS(Trips!$K5:$K1004,Trips!$Z5:$Z1004,$R99,Trips!$D5:$D1004,$A99)+SUMIFS(Trips!$K5:$K1004,Trips!$Z5:$Z1004,$R99,Trips!$E5:$E1004,$A99))</f>
        <v/>
      </c>
      <c r="E99" s="107">
        <f>IF($C99="","",SUMIFS(Trips!$N5:$N1004,Trips!$Z5:$Z1004,$R99,Trips!$D5:$D1004,$A99)+SUMIFS(Trips!$O5:$O1004,Trips!$Z5:$Z1004,$R99,Trips!$E5:$E1004,$A99))</f>
        <v/>
      </c>
      <c r="F99" s="108">
        <f>IF($C99="","",SUMIFS(Trips!$P5:$P1004,Trips!$Z5:$Z1004,$R99,Trips!$D5:$D1004,$A99))</f>
        <v/>
      </c>
      <c r="G99" s="108">
        <f>IF($C99="","",SUMIFS(Trips!$Q5:$Q1004,Trips!$Z5:$Z1004,$R99,Trips!$D5:$D1004,$A99))</f>
        <v/>
      </c>
      <c r="H99" s="107">
        <f>IF(AND($C99="",$I99="",$J99=""),"",N($E99)+N($F99)+N($G99))</f>
        <v/>
      </c>
      <c r="I99" s="108">
        <f>IF($A99="","",IFERROR(1/(1/SUMIFS(Expenses!$F5:$F1004,Expenses!$B5:$B1004,"Cash Advance",Expenses!$J5:$J1004,$R99,Expenses!$E5:$E1004,$A99)),""))</f>
        <v/>
      </c>
      <c r="J99" s="108">
        <f>IF($A99="","",IFERROR(1/(1/SUMIFS(Expenses!$F5:$F1004,Expenses!$B5:$B1004,"Payroll Payout",Expenses!$J5:$J1004,$R99,Expenses!$E5:$E1004,$A99)),""))</f>
        <v/>
      </c>
      <c r="K99" s="109">
        <f>IF($H99="","",N($H99)-N($I99)-N($J99))</f>
        <v/>
      </c>
      <c r="L99" s="110">
        <f>IF($K99="","",IF($K99&gt;0.5,"TO PAY",IF($K99&lt;-0.5,"ADVANCE / OWES","SETTLED")))</f>
        <v/>
      </c>
      <c r="R99" s="111" t="n">
        <v>46204</v>
      </c>
    </row>
    <row r="100">
      <c r="A100" s="103">
        <f>IF(Setup!$A86="","",Setup!$A86)</f>
        <v/>
      </c>
      <c r="B100" s="104">
        <f>IF($A100="","",Setup!$B86)</f>
        <v/>
      </c>
      <c r="C100" s="105">
        <f>IF($A100="","",IF(COUNTIFS(Trips!$Z5:$Z1004,$R100,Trips!$D5:$D1004,$A100)+COUNTIFS(Trips!$Z5:$Z1004,$R100,Trips!$E5:$E1004,$A100)=0,"",COUNTIFS(Trips!$Z5:$Z1004,$R100,Trips!$D5:$D1004,$A100)+COUNTIFS(Trips!$Z5:$Z1004,$R100,Trips!$E5:$E1004,$A100)))</f>
        <v/>
      </c>
      <c r="D100" s="106">
        <f>IF($C100="","",SUMIFS(Trips!$K5:$K1004,Trips!$Z5:$Z1004,$R100,Trips!$D5:$D1004,$A100)+SUMIFS(Trips!$K5:$K1004,Trips!$Z5:$Z1004,$R100,Trips!$E5:$E1004,$A100))</f>
        <v/>
      </c>
      <c r="E100" s="107">
        <f>IF($C100="","",SUMIFS(Trips!$N5:$N1004,Trips!$Z5:$Z1004,$R100,Trips!$D5:$D1004,$A100)+SUMIFS(Trips!$O5:$O1004,Trips!$Z5:$Z1004,$R100,Trips!$E5:$E1004,$A100))</f>
        <v/>
      </c>
      <c r="F100" s="108">
        <f>IF($C100="","",SUMIFS(Trips!$P5:$P1004,Trips!$Z5:$Z1004,$R100,Trips!$D5:$D1004,$A100))</f>
        <v/>
      </c>
      <c r="G100" s="108">
        <f>IF($C100="","",SUMIFS(Trips!$Q5:$Q1004,Trips!$Z5:$Z1004,$R100,Trips!$D5:$D1004,$A100))</f>
        <v/>
      </c>
      <c r="H100" s="107">
        <f>IF(AND($C100="",$I100="",$J100=""),"",N($E100)+N($F100)+N($G100))</f>
        <v/>
      </c>
      <c r="I100" s="108">
        <f>IF($A100="","",IFERROR(1/(1/SUMIFS(Expenses!$F5:$F1004,Expenses!$B5:$B1004,"Cash Advance",Expenses!$J5:$J1004,$R100,Expenses!$E5:$E1004,$A100)),""))</f>
        <v/>
      </c>
      <c r="J100" s="108">
        <f>IF($A100="","",IFERROR(1/(1/SUMIFS(Expenses!$F5:$F1004,Expenses!$B5:$B1004,"Payroll Payout",Expenses!$J5:$J1004,$R100,Expenses!$E5:$E1004,$A100)),""))</f>
        <v/>
      </c>
      <c r="K100" s="109">
        <f>IF($H100="","",N($H100)-N($I100)-N($J100))</f>
        <v/>
      </c>
      <c r="L100" s="110">
        <f>IF($K100="","",IF($K100&gt;0.5,"TO PAY",IF($K100&lt;-0.5,"ADVANCE / OWES","SETTLED")))</f>
        <v/>
      </c>
      <c r="R100" s="111" t="n">
        <v>46204</v>
      </c>
    </row>
    <row r="101">
      <c r="A101" s="103">
        <f>IF(Setup!$A87="","",Setup!$A87)</f>
        <v/>
      </c>
      <c r="B101" s="104">
        <f>IF($A101="","",Setup!$B87)</f>
        <v/>
      </c>
      <c r="C101" s="105">
        <f>IF($A101="","",IF(COUNTIFS(Trips!$Z5:$Z1004,$R101,Trips!$D5:$D1004,$A101)+COUNTIFS(Trips!$Z5:$Z1004,$R101,Trips!$E5:$E1004,$A101)=0,"",COUNTIFS(Trips!$Z5:$Z1004,$R101,Trips!$D5:$D1004,$A101)+COUNTIFS(Trips!$Z5:$Z1004,$R101,Trips!$E5:$E1004,$A101)))</f>
        <v/>
      </c>
      <c r="D101" s="106">
        <f>IF($C101="","",SUMIFS(Trips!$K5:$K1004,Trips!$Z5:$Z1004,$R101,Trips!$D5:$D1004,$A101)+SUMIFS(Trips!$K5:$K1004,Trips!$Z5:$Z1004,$R101,Trips!$E5:$E1004,$A101))</f>
        <v/>
      </c>
      <c r="E101" s="107">
        <f>IF($C101="","",SUMIFS(Trips!$N5:$N1004,Trips!$Z5:$Z1004,$R101,Trips!$D5:$D1004,$A101)+SUMIFS(Trips!$O5:$O1004,Trips!$Z5:$Z1004,$R101,Trips!$E5:$E1004,$A101))</f>
        <v/>
      </c>
      <c r="F101" s="108">
        <f>IF($C101="","",SUMIFS(Trips!$P5:$P1004,Trips!$Z5:$Z1004,$R101,Trips!$D5:$D1004,$A101))</f>
        <v/>
      </c>
      <c r="G101" s="108">
        <f>IF($C101="","",SUMIFS(Trips!$Q5:$Q1004,Trips!$Z5:$Z1004,$R101,Trips!$D5:$D1004,$A101))</f>
        <v/>
      </c>
      <c r="H101" s="107">
        <f>IF(AND($C101="",$I101="",$J101=""),"",N($E101)+N($F101)+N($G101))</f>
        <v/>
      </c>
      <c r="I101" s="108">
        <f>IF($A101="","",IFERROR(1/(1/SUMIFS(Expenses!$F5:$F1004,Expenses!$B5:$B1004,"Cash Advance",Expenses!$J5:$J1004,$R101,Expenses!$E5:$E1004,$A101)),""))</f>
        <v/>
      </c>
      <c r="J101" s="108">
        <f>IF($A101="","",IFERROR(1/(1/SUMIFS(Expenses!$F5:$F1004,Expenses!$B5:$B1004,"Payroll Payout",Expenses!$J5:$J1004,$R101,Expenses!$E5:$E1004,$A101)),""))</f>
        <v/>
      </c>
      <c r="K101" s="109">
        <f>IF($H101="","",N($H101)-N($I101)-N($J101))</f>
        <v/>
      </c>
      <c r="L101" s="110">
        <f>IF($K101="","",IF($K101&gt;0.5,"TO PAY",IF($K101&lt;-0.5,"ADVANCE / OWES","SETTLED")))</f>
        <v/>
      </c>
      <c r="R101" s="111" t="n">
        <v>46204</v>
      </c>
    </row>
    <row r="102">
      <c r="A102" s="112" t="inlineStr">
        <is>
          <t>MONTH TOTAL</t>
        </is>
      </c>
      <c r="B102" s="113" t="n"/>
      <c r="C102" s="114">
        <f>IF(COUNT(C90:C101)=0,"",SUM(C90:C101))</f>
        <v/>
      </c>
      <c r="D102" s="115">
        <f>IF(COUNT(D90:D101)=0,"",SUM(D90:D101))</f>
        <v/>
      </c>
      <c r="E102" s="116">
        <f>IF(COUNT(E90:E101)=0,"",SUM(E90:E101))</f>
        <v/>
      </c>
      <c r="F102" s="116">
        <f>IF(COUNT(F90:F101)=0,"",SUM(F90:F101))</f>
        <v/>
      </c>
      <c r="G102" s="116">
        <f>IF(COUNT(G90:G101)=0,"",SUM(G90:G101))</f>
        <v/>
      </c>
      <c r="H102" s="116">
        <f>IF(COUNT(H90:H101)=0,"",SUM(H90:H101))</f>
        <v/>
      </c>
      <c r="I102" s="116">
        <f>IF(COUNT(I90:I101)=0,"",SUM(I90:I101))</f>
        <v/>
      </c>
      <c r="J102" s="116">
        <f>IF(COUNT(J90:J101)=0,"",SUM(J90:J101))</f>
        <v/>
      </c>
      <c r="K102" s="116">
        <f>IF(COUNT(K90:K101)=0,"",SUM(K90:K101))</f>
        <v/>
      </c>
      <c r="L102" s="117" t="n"/>
    </row>
    <row r="103" ht="24" customHeight="1">
      <c r="A103" s="102" t="inlineStr">
        <is>
          <t>AUGUST 2026   ·   crew earnings &amp; settlement</t>
        </is>
      </c>
    </row>
    <row r="104">
      <c r="A104" s="103">
        <f>IF(Setup!$A76="","",Setup!$A76)</f>
        <v/>
      </c>
      <c r="B104" s="104">
        <f>IF($A104="","",Setup!$B76)</f>
        <v/>
      </c>
      <c r="C104" s="105">
        <f>IF($A104="","",IF(COUNTIFS(Trips!$Z5:$Z1004,$R104,Trips!$D5:$D1004,$A104)+COUNTIFS(Trips!$Z5:$Z1004,$R104,Trips!$E5:$E1004,$A104)=0,"",COUNTIFS(Trips!$Z5:$Z1004,$R104,Trips!$D5:$D1004,$A104)+COUNTIFS(Trips!$Z5:$Z1004,$R104,Trips!$E5:$E1004,$A104)))</f>
        <v/>
      </c>
      <c r="D104" s="106">
        <f>IF($C104="","",SUMIFS(Trips!$K5:$K1004,Trips!$Z5:$Z1004,$R104,Trips!$D5:$D1004,$A104)+SUMIFS(Trips!$K5:$K1004,Trips!$Z5:$Z1004,$R104,Trips!$E5:$E1004,$A104))</f>
        <v/>
      </c>
      <c r="E104" s="107">
        <f>IF($C104="","",SUMIFS(Trips!$N5:$N1004,Trips!$Z5:$Z1004,$R104,Trips!$D5:$D1004,$A104)+SUMIFS(Trips!$O5:$O1004,Trips!$Z5:$Z1004,$R104,Trips!$E5:$E1004,$A104))</f>
        <v/>
      </c>
      <c r="F104" s="108">
        <f>IF($C104="","",SUMIFS(Trips!$P5:$P1004,Trips!$Z5:$Z1004,$R104,Trips!$D5:$D1004,$A104))</f>
        <v/>
      </c>
      <c r="G104" s="108">
        <f>IF($C104="","",SUMIFS(Trips!$Q5:$Q1004,Trips!$Z5:$Z1004,$R104,Trips!$D5:$D1004,$A104))</f>
        <v/>
      </c>
      <c r="H104" s="107">
        <f>IF(AND($C104="",$I104="",$J104=""),"",N($E104)+N($F104)+N($G104))</f>
        <v/>
      </c>
      <c r="I104" s="108">
        <f>IF($A104="","",IFERROR(1/(1/SUMIFS(Expenses!$F5:$F1004,Expenses!$B5:$B1004,"Cash Advance",Expenses!$J5:$J1004,$R104,Expenses!$E5:$E1004,$A104)),""))</f>
        <v/>
      </c>
      <c r="J104" s="108">
        <f>IF($A104="","",IFERROR(1/(1/SUMIFS(Expenses!$F5:$F1004,Expenses!$B5:$B1004,"Payroll Payout",Expenses!$J5:$J1004,$R104,Expenses!$E5:$E1004,$A104)),""))</f>
        <v/>
      </c>
      <c r="K104" s="109">
        <f>IF($H104="","",N($H104)-N($I104)-N($J104))</f>
        <v/>
      </c>
      <c r="L104" s="110">
        <f>IF($K104="","",IF($K104&gt;0.5,"TO PAY",IF($K104&lt;-0.5,"ADVANCE / OWES","SETTLED")))</f>
        <v/>
      </c>
      <c r="R104" s="111" t="n">
        <v>46235</v>
      </c>
    </row>
    <row r="105">
      <c r="A105" s="103">
        <f>IF(Setup!$A77="","",Setup!$A77)</f>
        <v/>
      </c>
      <c r="B105" s="104">
        <f>IF($A105="","",Setup!$B77)</f>
        <v/>
      </c>
      <c r="C105" s="105">
        <f>IF($A105="","",IF(COUNTIFS(Trips!$Z5:$Z1004,$R105,Trips!$D5:$D1004,$A105)+COUNTIFS(Trips!$Z5:$Z1004,$R105,Trips!$E5:$E1004,$A105)=0,"",COUNTIFS(Trips!$Z5:$Z1004,$R105,Trips!$D5:$D1004,$A105)+COUNTIFS(Trips!$Z5:$Z1004,$R105,Trips!$E5:$E1004,$A105)))</f>
        <v/>
      </c>
      <c r="D105" s="106">
        <f>IF($C105="","",SUMIFS(Trips!$K5:$K1004,Trips!$Z5:$Z1004,$R105,Trips!$D5:$D1004,$A105)+SUMIFS(Trips!$K5:$K1004,Trips!$Z5:$Z1004,$R105,Trips!$E5:$E1004,$A105))</f>
        <v/>
      </c>
      <c r="E105" s="107">
        <f>IF($C105="","",SUMIFS(Trips!$N5:$N1004,Trips!$Z5:$Z1004,$R105,Trips!$D5:$D1004,$A105)+SUMIFS(Trips!$O5:$O1004,Trips!$Z5:$Z1004,$R105,Trips!$E5:$E1004,$A105))</f>
        <v/>
      </c>
      <c r="F105" s="108">
        <f>IF($C105="","",SUMIFS(Trips!$P5:$P1004,Trips!$Z5:$Z1004,$R105,Trips!$D5:$D1004,$A105))</f>
        <v/>
      </c>
      <c r="G105" s="108">
        <f>IF($C105="","",SUMIFS(Trips!$Q5:$Q1004,Trips!$Z5:$Z1004,$R105,Trips!$D5:$D1004,$A105))</f>
        <v/>
      </c>
      <c r="H105" s="107">
        <f>IF(AND($C105="",$I105="",$J105=""),"",N($E105)+N($F105)+N($G105))</f>
        <v/>
      </c>
      <c r="I105" s="108">
        <f>IF($A105="","",IFERROR(1/(1/SUMIFS(Expenses!$F5:$F1004,Expenses!$B5:$B1004,"Cash Advance",Expenses!$J5:$J1004,$R105,Expenses!$E5:$E1004,$A105)),""))</f>
        <v/>
      </c>
      <c r="J105" s="108">
        <f>IF($A105="","",IFERROR(1/(1/SUMIFS(Expenses!$F5:$F1004,Expenses!$B5:$B1004,"Payroll Payout",Expenses!$J5:$J1004,$R105,Expenses!$E5:$E1004,$A105)),""))</f>
        <v/>
      </c>
      <c r="K105" s="109">
        <f>IF($H105="","",N($H105)-N($I105)-N($J105))</f>
        <v/>
      </c>
      <c r="L105" s="110">
        <f>IF($K105="","",IF($K105&gt;0.5,"TO PAY",IF($K105&lt;-0.5,"ADVANCE / OWES","SETTLED")))</f>
        <v/>
      </c>
      <c r="R105" s="111" t="n">
        <v>46235</v>
      </c>
    </row>
    <row r="106">
      <c r="A106" s="103">
        <f>IF(Setup!$A78="","",Setup!$A78)</f>
        <v/>
      </c>
      <c r="B106" s="104">
        <f>IF($A106="","",Setup!$B78)</f>
        <v/>
      </c>
      <c r="C106" s="105">
        <f>IF($A106="","",IF(COUNTIFS(Trips!$Z5:$Z1004,$R106,Trips!$D5:$D1004,$A106)+COUNTIFS(Trips!$Z5:$Z1004,$R106,Trips!$E5:$E1004,$A106)=0,"",COUNTIFS(Trips!$Z5:$Z1004,$R106,Trips!$D5:$D1004,$A106)+COUNTIFS(Trips!$Z5:$Z1004,$R106,Trips!$E5:$E1004,$A106)))</f>
        <v/>
      </c>
      <c r="D106" s="106">
        <f>IF($C106="","",SUMIFS(Trips!$K5:$K1004,Trips!$Z5:$Z1004,$R106,Trips!$D5:$D1004,$A106)+SUMIFS(Trips!$K5:$K1004,Trips!$Z5:$Z1004,$R106,Trips!$E5:$E1004,$A106))</f>
        <v/>
      </c>
      <c r="E106" s="107">
        <f>IF($C106="","",SUMIFS(Trips!$N5:$N1004,Trips!$Z5:$Z1004,$R106,Trips!$D5:$D1004,$A106)+SUMIFS(Trips!$O5:$O1004,Trips!$Z5:$Z1004,$R106,Trips!$E5:$E1004,$A106))</f>
        <v/>
      </c>
      <c r="F106" s="108">
        <f>IF($C106="","",SUMIFS(Trips!$P5:$P1004,Trips!$Z5:$Z1004,$R106,Trips!$D5:$D1004,$A106))</f>
        <v/>
      </c>
      <c r="G106" s="108">
        <f>IF($C106="","",SUMIFS(Trips!$Q5:$Q1004,Trips!$Z5:$Z1004,$R106,Trips!$D5:$D1004,$A106))</f>
        <v/>
      </c>
      <c r="H106" s="107">
        <f>IF(AND($C106="",$I106="",$J106=""),"",N($E106)+N($F106)+N($G106))</f>
        <v/>
      </c>
      <c r="I106" s="108">
        <f>IF($A106="","",IFERROR(1/(1/SUMIFS(Expenses!$F5:$F1004,Expenses!$B5:$B1004,"Cash Advance",Expenses!$J5:$J1004,$R106,Expenses!$E5:$E1004,$A106)),""))</f>
        <v/>
      </c>
      <c r="J106" s="108">
        <f>IF($A106="","",IFERROR(1/(1/SUMIFS(Expenses!$F5:$F1004,Expenses!$B5:$B1004,"Payroll Payout",Expenses!$J5:$J1004,$R106,Expenses!$E5:$E1004,$A106)),""))</f>
        <v/>
      </c>
      <c r="K106" s="109">
        <f>IF($H106="","",N($H106)-N($I106)-N($J106))</f>
        <v/>
      </c>
      <c r="L106" s="110">
        <f>IF($K106="","",IF($K106&gt;0.5,"TO PAY",IF($K106&lt;-0.5,"ADVANCE / OWES","SETTLED")))</f>
        <v/>
      </c>
      <c r="R106" s="111" t="n">
        <v>46235</v>
      </c>
    </row>
    <row r="107">
      <c r="A107" s="103">
        <f>IF(Setup!$A79="","",Setup!$A79)</f>
        <v/>
      </c>
      <c r="B107" s="104">
        <f>IF($A107="","",Setup!$B79)</f>
        <v/>
      </c>
      <c r="C107" s="105">
        <f>IF($A107="","",IF(COUNTIFS(Trips!$Z5:$Z1004,$R107,Trips!$D5:$D1004,$A107)+COUNTIFS(Trips!$Z5:$Z1004,$R107,Trips!$E5:$E1004,$A107)=0,"",COUNTIFS(Trips!$Z5:$Z1004,$R107,Trips!$D5:$D1004,$A107)+COUNTIFS(Trips!$Z5:$Z1004,$R107,Trips!$E5:$E1004,$A107)))</f>
        <v/>
      </c>
      <c r="D107" s="106">
        <f>IF($C107="","",SUMIFS(Trips!$K5:$K1004,Trips!$Z5:$Z1004,$R107,Trips!$D5:$D1004,$A107)+SUMIFS(Trips!$K5:$K1004,Trips!$Z5:$Z1004,$R107,Trips!$E5:$E1004,$A107))</f>
        <v/>
      </c>
      <c r="E107" s="107">
        <f>IF($C107="","",SUMIFS(Trips!$N5:$N1004,Trips!$Z5:$Z1004,$R107,Trips!$D5:$D1004,$A107)+SUMIFS(Trips!$O5:$O1004,Trips!$Z5:$Z1004,$R107,Trips!$E5:$E1004,$A107))</f>
        <v/>
      </c>
      <c r="F107" s="108">
        <f>IF($C107="","",SUMIFS(Trips!$P5:$P1004,Trips!$Z5:$Z1004,$R107,Trips!$D5:$D1004,$A107))</f>
        <v/>
      </c>
      <c r="G107" s="108">
        <f>IF($C107="","",SUMIFS(Trips!$Q5:$Q1004,Trips!$Z5:$Z1004,$R107,Trips!$D5:$D1004,$A107))</f>
        <v/>
      </c>
      <c r="H107" s="107">
        <f>IF(AND($C107="",$I107="",$J107=""),"",N($E107)+N($F107)+N($G107))</f>
        <v/>
      </c>
      <c r="I107" s="108">
        <f>IF($A107="","",IFERROR(1/(1/SUMIFS(Expenses!$F5:$F1004,Expenses!$B5:$B1004,"Cash Advance",Expenses!$J5:$J1004,$R107,Expenses!$E5:$E1004,$A107)),""))</f>
        <v/>
      </c>
      <c r="J107" s="108">
        <f>IF($A107="","",IFERROR(1/(1/SUMIFS(Expenses!$F5:$F1004,Expenses!$B5:$B1004,"Payroll Payout",Expenses!$J5:$J1004,$R107,Expenses!$E5:$E1004,$A107)),""))</f>
        <v/>
      </c>
      <c r="K107" s="109">
        <f>IF($H107="","",N($H107)-N($I107)-N($J107))</f>
        <v/>
      </c>
      <c r="L107" s="110">
        <f>IF($K107="","",IF($K107&gt;0.5,"TO PAY",IF($K107&lt;-0.5,"ADVANCE / OWES","SETTLED")))</f>
        <v/>
      </c>
      <c r="R107" s="111" t="n">
        <v>46235</v>
      </c>
    </row>
    <row r="108">
      <c r="A108" s="103">
        <f>IF(Setup!$A80="","",Setup!$A80)</f>
        <v/>
      </c>
      <c r="B108" s="104">
        <f>IF($A108="","",Setup!$B80)</f>
        <v/>
      </c>
      <c r="C108" s="105">
        <f>IF($A108="","",IF(COUNTIFS(Trips!$Z5:$Z1004,$R108,Trips!$D5:$D1004,$A108)+COUNTIFS(Trips!$Z5:$Z1004,$R108,Trips!$E5:$E1004,$A108)=0,"",COUNTIFS(Trips!$Z5:$Z1004,$R108,Trips!$D5:$D1004,$A108)+COUNTIFS(Trips!$Z5:$Z1004,$R108,Trips!$E5:$E1004,$A108)))</f>
        <v/>
      </c>
      <c r="D108" s="106">
        <f>IF($C108="","",SUMIFS(Trips!$K5:$K1004,Trips!$Z5:$Z1004,$R108,Trips!$D5:$D1004,$A108)+SUMIFS(Trips!$K5:$K1004,Trips!$Z5:$Z1004,$R108,Trips!$E5:$E1004,$A108))</f>
        <v/>
      </c>
      <c r="E108" s="107">
        <f>IF($C108="","",SUMIFS(Trips!$N5:$N1004,Trips!$Z5:$Z1004,$R108,Trips!$D5:$D1004,$A108)+SUMIFS(Trips!$O5:$O1004,Trips!$Z5:$Z1004,$R108,Trips!$E5:$E1004,$A108))</f>
        <v/>
      </c>
      <c r="F108" s="108">
        <f>IF($C108="","",SUMIFS(Trips!$P5:$P1004,Trips!$Z5:$Z1004,$R108,Trips!$D5:$D1004,$A108))</f>
        <v/>
      </c>
      <c r="G108" s="108">
        <f>IF($C108="","",SUMIFS(Trips!$Q5:$Q1004,Trips!$Z5:$Z1004,$R108,Trips!$D5:$D1004,$A108))</f>
        <v/>
      </c>
      <c r="H108" s="107">
        <f>IF(AND($C108="",$I108="",$J108=""),"",N($E108)+N($F108)+N($G108))</f>
        <v/>
      </c>
      <c r="I108" s="108">
        <f>IF($A108="","",IFERROR(1/(1/SUMIFS(Expenses!$F5:$F1004,Expenses!$B5:$B1004,"Cash Advance",Expenses!$J5:$J1004,$R108,Expenses!$E5:$E1004,$A108)),""))</f>
        <v/>
      </c>
      <c r="J108" s="108">
        <f>IF($A108="","",IFERROR(1/(1/SUMIFS(Expenses!$F5:$F1004,Expenses!$B5:$B1004,"Payroll Payout",Expenses!$J5:$J1004,$R108,Expenses!$E5:$E1004,$A108)),""))</f>
        <v/>
      </c>
      <c r="K108" s="109">
        <f>IF($H108="","",N($H108)-N($I108)-N($J108))</f>
        <v/>
      </c>
      <c r="L108" s="110">
        <f>IF($K108="","",IF($K108&gt;0.5,"TO PAY",IF($K108&lt;-0.5,"ADVANCE / OWES","SETTLED")))</f>
        <v/>
      </c>
      <c r="R108" s="111" t="n">
        <v>46235</v>
      </c>
    </row>
    <row r="109">
      <c r="A109" s="103">
        <f>IF(Setup!$A81="","",Setup!$A81)</f>
        <v/>
      </c>
      <c r="B109" s="104">
        <f>IF($A109="","",Setup!$B81)</f>
        <v/>
      </c>
      <c r="C109" s="105">
        <f>IF($A109="","",IF(COUNTIFS(Trips!$Z5:$Z1004,$R109,Trips!$D5:$D1004,$A109)+COUNTIFS(Trips!$Z5:$Z1004,$R109,Trips!$E5:$E1004,$A109)=0,"",COUNTIFS(Trips!$Z5:$Z1004,$R109,Trips!$D5:$D1004,$A109)+COUNTIFS(Trips!$Z5:$Z1004,$R109,Trips!$E5:$E1004,$A109)))</f>
        <v/>
      </c>
      <c r="D109" s="106">
        <f>IF($C109="","",SUMIFS(Trips!$K5:$K1004,Trips!$Z5:$Z1004,$R109,Trips!$D5:$D1004,$A109)+SUMIFS(Trips!$K5:$K1004,Trips!$Z5:$Z1004,$R109,Trips!$E5:$E1004,$A109))</f>
        <v/>
      </c>
      <c r="E109" s="107">
        <f>IF($C109="","",SUMIFS(Trips!$N5:$N1004,Trips!$Z5:$Z1004,$R109,Trips!$D5:$D1004,$A109)+SUMIFS(Trips!$O5:$O1004,Trips!$Z5:$Z1004,$R109,Trips!$E5:$E1004,$A109))</f>
        <v/>
      </c>
      <c r="F109" s="108">
        <f>IF($C109="","",SUMIFS(Trips!$P5:$P1004,Trips!$Z5:$Z1004,$R109,Trips!$D5:$D1004,$A109))</f>
        <v/>
      </c>
      <c r="G109" s="108">
        <f>IF($C109="","",SUMIFS(Trips!$Q5:$Q1004,Trips!$Z5:$Z1004,$R109,Trips!$D5:$D1004,$A109))</f>
        <v/>
      </c>
      <c r="H109" s="107">
        <f>IF(AND($C109="",$I109="",$J109=""),"",N($E109)+N($F109)+N($G109))</f>
        <v/>
      </c>
      <c r="I109" s="108">
        <f>IF($A109="","",IFERROR(1/(1/SUMIFS(Expenses!$F5:$F1004,Expenses!$B5:$B1004,"Cash Advance",Expenses!$J5:$J1004,$R109,Expenses!$E5:$E1004,$A109)),""))</f>
        <v/>
      </c>
      <c r="J109" s="108">
        <f>IF($A109="","",IFERROR(1/(1/SUMIFS(Expenses!$F5:$F1004,Expenses!$B5:$B1004,"Payroll Payout",Expenses!$J5:$J1004,$R109,Expenses!$E5:$E1004,$A109)),""))</f>
        <v/>
      </c>
      <c r="K109" s="109">
        <f>IF($H109="","",N($H109)-N($I109)-N($J109))</f>
        <v/>
      </c>
      <c r="L109" s="110">
        <f>IF($K109="","",IF($K109&gt;0.5,"TO PAY",IF($K109&lt;-0.5,"ADVANCE / OWES","SETTLED")))</f>
        <v/>
      </c>
      <c r="R109" s="111" t="n">
        <v>46235</v>
      </c>
    </row>
    <row r="110">
      <c r="A110" s="103">
        <f>IF(Setup!$A82="","",Setup!$A82)</f>
        <v/>
      </c>
      <c r="B110" s="104">
        <f>IF($A110="","",Setup!$B82)</f>
        <v/>
      </c>
      <c r="C110" s="105">
        <f>IF($A110="","",IF(COUNTIFS(Trips!$Z5:$Z1004,$R110,Trips!$D5:$D1004,$A110)+COUNTIFS(Trips!$Z5:$Z1004,$R110,Trips!$E5:$E1004,$A110)=0,"",COUNTIFS(Trips!$Z5:$Z1004,$R110,Trips!$D5:$D1004,$A110)+COUNTIFS(Trips!$Z5:$Z1004,$R110,Trips!$E5:$E1004,$A110)))</f>
        <v/>
      </c>
      <c r="D110" s="106">
        <f>IF($C110="","",SUMIFS(Trips!$K5:$K1004,Trips!$Z5:$Z1004,$R110,Trips!$D5:$D1004,$A110)+SUMIFS(Trips!$K5:$K1004,Trips!$Z5:$Z1004,$R110,Trips!$E5:$E1004,$A110))</f>
        <v/>
      </c>
      <c r="E110" s="107">
        <f>IF($C110="","",SUMIFS(Trips!$N5:$N1004,Trips!$Z5:$Z1004,$R110,Trips!$D5:$D1004,$A110)+SUMIFS(Trips!$O5:$O1004,Trips!$Z5:$Z1004,$R110,Trips!$E5:$E1004,$A110))</f>
        <v/>
      </c>
      <c r="F110" s="108">
        <f>IF($C110="","",SUMIFS(Trips!$P5:$P1004,Trips!$Z5:$Z1004,$R110,Trips!$D5:$D1004,$A110))</f>
        <v/>
      </c>
      <c r="G110" s="108">
        <f>IF($C110="","",SUMIFS(Trips!$Q5:$Q1004,Trips!$Z5:$Z1004,$R110,Trips!$D5:$D1004,$A110))</f>
        <v/>
      </c>
      <c r="H110" s="107">
        <f>IF(AND($C110="",$I110="",$J110=""),"",N($E110)+N($F110)+N($G110))</f>
        <v/>
      </c>
      <c r="I110" s="108">
        <f>IF($A110="","",IFERROR(1/(1/SUMIFS(Expenses!$F5:$F1004,Expenses!$B5:$B1004,"Cash Advance",Expenses!$J5:$J1004,$R110,Expenses!$E5:$E1004,$A110)),""))</f>
        <v/>
      </c>
      <c r="J110" s="108">
        <f>IF($A110="","",IFERROR(1/(1/SUMIFS(Expenses!$F5:$F1004,Expenses!$B5:$B1004,"Payroll Payout",Expenses!$J5:$J1004,$R110,Expenses!$E5:$E1004,$A110)),""))</f>
        <v/>
      </c>
      <c r="K110" s="109">
        <f>IF($H110="","",N($H110)-N($I110)-N($J110))</f>
        <v/>
      </c>
      <c r="L110" s="110">
        <f>IF($K110="","",IF($K110&gt;0.5,"TO PAY",IF($K110&lt;-0.5,"ADVANCE / OWES","SETTLED")))</f>
        <v/>
      </c>
      <c r="R110" s="111" t="n">
        <v>46235</v>
      </c>
    </row>
    <row r="111">
      <c r="A111" s="103">
        <f>IF(Setup!$A83="","",Setup!$A83)</f>
        <v/>
      </c>
      <c r="B111" s="104">
        <f>IF($A111="","",Setup!$B83)</f>
        <v/>
      </c>
      <c r="C111" s="105">
        <f>IF($A111="","",IF(COUNTIFS(Trips!$Z5:$Z1004,$R111,Trips!$D5:$D1004,$A111)+COUNTIFS(Trips!$Z5:$Z1004,$R111,Trips!$E5:$E1004,$A111)=0,"",COUNTIFS(Trips!$Z5:$Z1004,$R111,Trips!$D5:$D1004,$A111)+COUNTIFS(Trips!$Z5:$Z1004,$R111,Trips!$E5:$E1004,$A111)))</f>
        <v/>
      </c>
      <c r="D111" s="106">
        <f>IF($C111="","",SUMIFS(Trips!$K5:$K1004,Trips!$Z5:$Z1004,$R111,Trips!$D5:$D1004,$A111)+SUMIFS(Trips!$K5:$K1004,Trips!$Z5:$Z1004,$R111,Trips!$E5:$E1004,$A111))</f>
        <v/>
      </c>
      <c r="E111" s="107">
        <f>IF($C111="","",SUMIFS(Trips!$N5:$N1004,Trips!$Z5:$Z1004,$R111,Trips!$D5:$D1004,$A111)+SUMIFS(Trips!$O5:$O1004,Trips!$Z5:$Z1004,$R111,Trips!$E5:$E1004,$A111))</f>
        <v/>
      </c>
      <c r="F111" s="108">
        <f>IF($C111="","",SUMIFS(Trips!$P5:$P1004,Trips!$Z5:$Z1004,$R111,Trips!$D5:$D1004,$A111))</f>
        <v/>
      </c>
      <c r="G111" s="108">
        <f>IF($C111="","",SUMIFS(Trips!$Q5:$Q1004,Trips!$Z5:$Z1004,$R111,Trips!$D5:$D1004,$A111))</f>
        <v/>
      </c>
      <c r="H111" s="107">
        <f>IF(AND($C111="",$I111="",$J111=""),"",N($E111)+N($F111)+N($G111))</f>
        <v/>
      </c>
      <c r="I111" s="108">
        <f>IF($A111="","",IFERROR(1/(1/SUMIFS(Expenses!$F5:$F1004,Expenses!$B5:$B1004,"Cash Advance",Expenses!$J5:$J1004,$R111,Expenses!$E5:$E1004,$A111)),""))</f>
        <v/>
      </c>
      <c r="J111" s="108">
        <f>IF($A111="","",IFERROR(1/(1/SUMIFS(Expenses!$F5:$F1004,Expenses!$B5:$B1004,"Payroll Payout",Expenses!$J5:$J1004,$R111,Expenses!$E5:$E1004,$A111)),""))</f>
        <v/>
      </c>
      <c r="K111" s="109">
        <f>IF($H111="","",N($H111)-N($I111)-N($J111))</f>
        <v/>
      </c>
      <c r="L111" s="110">
        <f>IF($K111="","",IF($K111&gt;0.5,"TO PAY",IF($K111&lt;-0.5,"ADVANCE / OWES","SETTLED")))</f>
        <v/>
      </c>
      <c r="R111" s="111" t="n">
        <v>46235</v>
      </c>
    </row>
    <row r="112">
      <c r="A112" s="103">
        <f>IF(Setup!$A84="","",Setup!$A84)</f>
        <v/>
      </c>
      <c r="B112" s="104">
        <f>IF($A112="","",Setup!$B84)</f>
        <v/>
      </c>
      <c r="C112" s="105">
        <f>IF($A112="","",IF(COUNTIFS(Trips!$Z5:$Z1004,$R112,Trips!$D5:$D1004,$A112)+COUNTIFS(Trips!$Z5:$Z1004,$R112,Trips!$E5:$E1004,$A112)=0,"",COUNTIFS(Trips!$Z5:$Z1004,$R112,Trips!$D5:$D1004,$A112)+COUNTIFS(Trips!$Z5:$Z1004,$R112,Trips!$E5:$E1004,$A112)))</f>
        <v/>
      </c>
      <c r="D112" s="106">
        <f>IF($C112="","",SUMIFS(Trips!$K5:$K1004,Trips!$Z5:$Z1004,$R112,Trips!$D5:$D1004,$A112)+SUMIFS(Trips!$K5:$K1004,Trips!$Z5:$Z1004,$R112,Trips!$E5:$E1004,$A112))</f>
        <v/>
      </c>
      <c r="E112" s="107">
        <f>IF($C112="","",SUMIFS(Trips!$N5:$N1004,Trips!$Z5:$Z1004,$R112,Trips!$D5:$D1004,$A112)+SUMIFS(Trips!$O5:$O1004,Trips!$Z5:$Z1004,$R112,Trips!$E5:$E1004,$A112))</f>
        <v/>
      </c>
      <c r="F112" s="108">
        <f>IF($C112="","",SUMIFS(Trips!$P5:$P1004,Trips!$Z5:$Z1004,$R112,Trips!$D5:$D1004,$A112))</f>
        <v/>
      </c>
      <c r="G112" s="108">
        <f>IF($C112="","",SUMIFS(Trips!$Q5:$Q1004,Trips!$Z5:$Z1004,$R112,Trips!$D5:$D1004,$A112))</f>
        <v/>
      </c>
      <c r="H112" s="107">
        <f>IF(AND($C112="",$I112="",$J112=""),"",N($E112)+N($F112)+N($G112))</f>
        <v/>
      </c>
      <c r="I112" s="108">
        <f>IF($A112="","",IFERROR(1/(1/SUMIFS(Expenses!$F5:$F1004,Expenses!$B5:$B1004,"Cash Advance",Expenses!$J5:$J1004,$R112,Expenses!$E5:$E1004,$A112)),""))</f>
        <v/>
      </c>
      <c r="J112" s="108">
        <f>IF($A112="","",IFERROR(1/(1/SUMIFS(Expenses!$F5:$F1004,Expenses!$B5:$B1004,"Payroll Payout",Expenses!$J5:$J1004,$R112,Expenses!$E5:$E1004,$A112)),""))</f>
        <v/>
      </c>
      <c r="K112" s="109">
        <f>IF($H112="","",N($H112)-N($I112)-N($J112))</f>
        <v/>
      </c>
      <c r="L112" s="110">
        <f>IF($K112="","",IF($K112&gt;0.5,"TO PAY",IF($K112&lt;-0.5,"ADVANCE / OWES","SETTLED")))</f>
        <v/>
      </c>
      <c r="R112" s="111" t="n">
        <v>46235</v>
      </c>
    </row>
    <row r="113">
      <c r="A113" s="103">
        <f>IF(Setup!$A85="","",Setup!$A85)</f>
        <v/>
      </c>
      <c r="B113" s="104">
        <f>IF($A113="","",Setup!$B85)</f>
        <v/>
      </c>
      <c r="C113" s="105">
        <f>IF($A113="","",IF(COUNTIFS(Trips!$Z5:$Z1004,$R113,Trips!$D5:$D1004,$A113)+COUNTIFS(Trips!$Z5:$Z1004,$R113,Trips!$E5:$E1004,$A113)=0,"",COUNTIFS(Trips!$Z5:$Z1004,$R113,Trips!$D5:$D1004,$A113)+COUNTIFS(Trips!$Z5:$Z1004,$R113,Trips!$E5:$E1004,$A113)))</f>
        <v/>
      </c>
      <c r="D113" s="106">
        <f>IF($C113="","",SUMIFS(Trips!$K5:$K1004,Trips!$Z5:$Z1004,$R113,Trips!$D5:$D1004,$A113)+SUMIFS(Trips!$K5:$K1004,Trips!$Z5:$Z1004,$R113,Trips!$E5:$E1004,$A113))</f>
        <v/>
      </c>
      <c r="E113" s="107">
        <f>IF($C113="","",SUMIFS(Trips!$N5:$N1004,Trips!$Z5:$Z1004,$R113,Trips!$D5:$D1004,$A113)+SUMIFS(Trips!$O5:$O1004,Trips!$Z5:$Z1004,$R113,Trips!$E5:$E1004,$A113))</f>
        <v/>
      </c>
      <c r="F113" s="108">
        <f>IF($C113="","",SUMIFS(Trips!$P5:$P1004,Trips!$Z5:$Z1004,$R113,Trips!$D5:$D1004,$A113))</f>
        <v/>
      </c>
      <c r="G113" s="108">
        <f>IF($C113="","",SUMIFS(Trips!$Q5:$Q1004,Trips!$Z5:$Z1004,$R113,Trips!$D5:$D1004,$A113))</f>
        <v/>
      </c>
      <c r="H113" s="107">
        <f>IF(AND($C113="",$I113="",$J113=""),"",N($E113)+N($F113)+N($G113))</f>
        <v/>
      </c>
      <c r="I113" s="108">
        <f>IF($A113="","",IFERROR(1/(1/SUMIFS(Expenses!$F5:$F1004,Expenses!$B5:$B1004,"Cash Advance",Expenses!$J5:$J1004,$R113,Expenses!$E5:$E1004,$A113)),""))</f>
        <v/>
      </c>
      <c r="J113" s="108">
        <f>IF($A113="","",IFERROR(1/(1/SUMIFS(Expenses!$F5:$F1004,Expenses!$B5:$B1004,"Payroll Payout",Expenses!$J5:$J1004,$R113,Expenses!$E5:$E1004,$A113)),""))</f>
        <v/>
      </c>
      <c r="K113" s="109">
        <f>IF($H113="","",N($H113)-N($I113)-N($J113))</f>
        <v/>
      </c>
      <c r="L113" s="110">
        <f>IF($K113="","",IF($K113&gt;0.5,"TO PAY",IF($K113&lt;-0.5,"ADVANCE / OWES","SETTLED")))</f>
        <v/>
      </c>
      <c r="R113" s="111" t="n">
        <v>46235</v>
      </c>
    </row>
    <row r="114">
      <c r="A114" s="103">
        <f>IF(Setup!$A86="","",Setup!$A86)</f>
        <v/>
      </c>
      <c r="B114" s="104">
        <f>IF($A114="","",Setup!$B86)</f>
        <v/>
      </c>
      <c r="C114" s="105">
        <f>IF($A114="","",IF(COUNTIFS(Trips!$Z5:$Z1004,$R114,Trips!$D5:$D1004,$A114)+COUNTIFS(Trips!$Z5:$Z1004,$R114,Trips!$E5:$E1004,$A114)=0,"",COUNTIFS(Trips!$Z5:$Z1004,$R114,Trips!$D5:$D1004,$A114)+COUNTIFS(Trips!$Z5:$Z1004,$R114,Trips!$E5:$E1004,$A114)))</f>
        <v/>
      </c>
      <c r="D114" s="106">
        <f>IF($C114="","",SUMIFS(Trips!$K5:$K1004,Trips!$Z5:$Z1004,$R114,Trips!$D5:$D1004,$A114)+SUMIFS(Trips!$K5:$K1004,Trips!$Z5:$Z1004,$R114,Trips!$E5:$E1004,$A114))</f>
        <v/>
      </c>
      <c r="E114" s="107">
        <f>IF($C114="","",SUMIFS(Trips!$N5:$N1004,Trips!$Z5:$Z1004,$R114,Trips!$D5:$D1004,$A114)+SUMIFS(Trips!$O5:$O1004,Trips!$Z5:$Z1004,$R114,Trips!$E5:$E1004,$A114))</f>
        <v/>
      </c>
      <c r="F114" s="108">
        <f>IF($C114="","",SUMIFS(Trips!$P5:$P1004,Trips!$Z5:$Z1004,$R114,Trips!$D5:$D1004,$A114))</f>
        <v/>
      </c>
      <c r="G114" s="108">
        <f>IF($C114="","",SUMIFS(Trips!$Q5:$Q1004,Trips!$Z5:$Z1004,$R114,Trips!$D5:$D1004,$A114))</f>
        <v/>
      </c>
      <c r="H114" s="107">
        <f>IF(AND($C114="",$I114="",$J114=""),"",N($E114)+N($F114)+N($G114))</f>
        <v/>
      </c>
      <c r="I114" s="108">
        <f>IF($A114="","",IFERROR(1/(1/SUMIFS(Expenses!$F5:$F1004,Expenses!$B5:$B1004,"Cash Advance",Expenses!$J5:$J1004,$R114,Expenses!$E5:$E1004,$A114)),""))</f>
        <v/>
      </c>
      <c r="J114" s="108">
        <f>IF($A114="","",IFERROR(1/(1/SUMIFS(Expenses!$F5:$F1004,Expenses!$B5:$B1004,"Payroll Payout",Expenses!$J5:$J1004,$R114,Expenses!$E5:$E1004,$A114)),""))</f>
        <v/>
      </c>
      <c r="K114" s="109">
        <f>IF($H114="","",N($H114)-N($I114)-N($J114))</f>
        <v/>
      </c>
      <c r="L114" s="110">
        <f>IF($K114="","",IF($K114&gt;0.5,"TO PAY",IF($K114&lt;-0.5,"ADVANCE / OWES","SETTLED")))</f>
        <v/>
      </c>
      <c r="R114" s="111" t="n">
        <v>46235</v>
      </c>
    </row>
    <row r="115">
      <c r="A115" s="103">
        <f>IF(Setup!$A87="","",Setup!$A87)</f>
        <v/>
      </c>
      <c r="B115" s="104">
        <f>IF($A115="","",Setup!$B87)</f>
        <v/>
      </c>
      <c r="C115" s="105">
        <f>IF($A115="","",IF(COUNTIFS(Trips!$Z5:$Z1004,$R115,Trips!$D5:$D1004,$A115)+COUNTIFS(Trips!$Z5:$Z1004,$R115,Trips!$E5:$E1004,$A115)=0,"",COUNTIFS(Trips!$Z5:$Z1004,$R115,Trips!$D5:$D1004,$A115)+COUNTIFS(Trips!$Z5:$Z1004,$R115,Trips!$E5:$E1004,$A115)))</f>
        <v/>
      </c>
      <c r="D115" s="106">
        <f>IF($C115="","",SUMIFS(Trips!$K5:$K1004,Trips!$Z5:$Z1004,$R115,Trips!$D5:$D1004,$A115)+SUMIFS(Trips!$K5:$K1004,Trips!$Z5:$Z1004,$R115,Trips!$E5:$E1004,$A115))</f>
        <v/>
      </c>
      <c r="E115" s="107">
        <f>IF($C115="","",SUMIFS(Trips!$N5:$N1004,Trips!$Z5:$Z1004,$R115,Trips!$D5:$D1004,$A115)+SUMIFS(Trips!$O5:$O1004,Trips!$Z5:$Z1004,$R115,Trips!$E5:$E1004,$A115))</f>
        <v/>
      </c>
      <c r="F115" s="108">
        <f>IF($C115="","",SUMIFS(Trips!$P5:$P1004,Trips!$Z5:$Z1004,$R115,Trips!$D5:$D1004,$A115))</f>
        <v/>
      </c>
      <c r="G115" s="108">
        <f>IF($C115="","",SUMIFS(Trips!$Q5:$Q1004,Trips!$Z5:$Z1004,$R115,Trips!$D5:$D1004,$A115))</f>
        <v/>
      </c>
      <c r="H115" s="107">
        <f>IF(AND($C115="",$I115="",$J115=""),"",N($E115)+N($F115)+N($G115))</f>
        <v/>
      </c>
      <c r="I115" s="108">
        <f>IF($A115="","",IFERROR(1/(1/SUMIFS(Expenses!$F5:$F1004,Expenses!$B5:$B1004,"Cash Advance",Expenses!$J5:$J1004,$R115,Expenses!$E5:$E1004,$A115)),""))</f>
        <v/>
      </c>
      <c r="J115" s="108">
        <f>IF($A115="","",IFERROR(1/(1/SUMIFS(Expenses!$F5:$F1004,Expenses!$B5:$B1004,"Payroll Payout",Expenses!$J5:$J1004,$R115,Expenses!$E5:$E1004,$A115)),""))</f>
        <v/>
      </c>
      <c r="K115" s="109">
        <f>IF($H115="","",N($H115)-N($I115)-N($J115))</f>
        <v/>
      </c>
      <c r="L115" s="110">
        <f>IF($K115="","",IF($K115&gt;0.5,"TO PAY",IF($K115&lt;-0.5,"ADVANCE / OWES","SETTLED")))</f>
        <v/>
      </c>
      <c r="R115" s="111" t="n">
        <v>46235</v>
      </c>
    </row>
    <row r="116">
      <c r="A116" s="112" t="inlineStr">
        <is>
          <t>MONTH TOTAL</t>
        </is>
      </c>
      <c r="B116" s="113" t="n"/>
      <c r="C116" s="114">
        <f>IF(COUNT(C104:C115)=0,"",SUM(C104:C115))</f>
        <v/>
      </c>
      <c r="D116" s="115">
        <f>IF(COUNT(D104:D115)=0,"",SUM(D104:D115))</f>
        <v/>
      </c>
      <c r="E116" s="116">
        <f>IF(COUNT(E104:E115)=0,"",SUM(E104:E115))</f>
        <v/>
      </c>
      <c r="F116" s="116">
        <f>IF(COUNT(F104:F115)=0,"",SUM(F104:F115))</f>
        <v/>
      </c>
      <c r="G116" s="116">
        <f>IF(COUNT(G104:G115)=0,"",SUM(G104:G115))</f>
        <v/>
      </c>
      <c r="H116" s="116">
        <f>IF(COUNT(H104:H115)=0,"",SUM(H104:H115))</f>
        <v/>
      </c>
      <c r="I116" s="116">
        <f>IF(COUNT(I104:I115)=0,"",SUM(I104:I115))</f>
        <v/>
      </c>
      <c r="J116" s="116">
        <f>IF(COUNT(J104:J115)=0,"",SUM(J104:J115))</f>
        <v/>
      </c>
      <c r="K116" s="116">
        <f>IF(COUNT(K104:K115)=0,"",SUM(K104:K115))</f>
        <v/>
      </c>
      <c r="L116" s="117" t="n"/>
    </row>
    <row r="117" ht="24" customHeight="1">
      <c r="A117" s="102" t="inlineStr">
        <is>
          <t>SEPTEMBER 2026   ·   crew earnings &amp; settlement</t>
        </is>
      </c>
    </row>
    <row r="118">
      <c r="A118" s="103">
        <f>IF(Setup!$A76="","",Setup!$A76)</f>
        <v/>
      </c>
      <c r="B118" s="104">
        <f>IF($A118="","",Setup!$B76)</f>
        <v/>
      </c>
      <c r="C118" s="105">
        <f>IF($A118="","",IF(COUNTIFS(Trips!$Z5:$Z1004,$R118,Trips!$D5:$D1004,$A118)+COUNTIFS(Trips!$Z5:$Z1004,$R118,Trips!$E5:$E1004,$A118)=0,"",COUNTIFS(Trips!$Z5:$Z1004,$R118,Trips!$D5:$D1004,$A118)+COUNTIFS(Trips!$Z5:$Z1004,$R118,Trips!$E5:$E1004,$A118)))</f>
        <v/>
      </c>
      <c r="D118" s="106">
        <f>IF($C118="","",SUMIFS(Trips!$K5:$K1004,Trips!$Z5:$Z1004,$R118,Trips!$D5:$D1004,$A118)+SUMIFS(Trips!$K5:$K1004,Trips!$Z5:$Z1004,$R118,Trips!$E5:$E1004,$A118))</f>
        <v/>
      </c>
      <c r="E118" s="107">
        <f>IF($C118="","",SUMIFS(Trips!$N5:$N1004,Trips!$Z5:$Z1004,$R118,Trips!$D5:$D1004,$A118)+SUMIFS(Trips!$O5:$O1004,Trips!$Z5:$Z1004,$R118,Trips!$E5:$E1004,$A118))</f>
        <v/>
      </c>
      <c r="F118" s="108">
        <f>IF($C118="","",SUMIFS(Trips!$P5:$P1004,Trips!$Z5:$Z1004,$R118,Trips!$D5:$D1004,$A118))</f>
        <v/>
      </c>
      <c r="G118" s="108">
        <f>IF($C118="","",SUMIFS(Trips!$Q5:$Q1004,Trips!$Z5:$Z1004,$R118,Trips!$D5:$D1004,$A118))</f>
        <v/>
      </c>
      <c r="H118" s="107">
        <f>IF(AND($C118="",$I118="",$J118=""),"",N($E118)+N($F118)+N($G118))</f>
        <v/>
      </c>
      <c r="I118" s="108">
        <f>IF($A118="","",IFERROR(1/(1/SUMIFS(Expenses!$F5:$F1004,Expenses!$B5:$B1004,"Cash Advance",Expenses!$J5:$J1004,$R118,Expenses!$E5:$E1004,$A118)),""))</f>
        <v/>
      </c>
      <c r="J118" s="108">
        <f>IF($A118="","",IFERROR(1/(1/SUMIFS(Expenses!$F5:$F1004,Expenses!$B5:$B1004,"Payroll Payout",Expenses!$J5:$J1004,$R118,Expenses!$E5:$E1004,$A118)),""))</f>
        <v/>
      </c>
      <c r="K118" s="109">
        <f>IF($H118="","",N($H118)-N($I118)-N($J118))</f>
        <v/>
      </c>
      <c r="L118" s="110">
        <f>IF($K118="","",IF($K118&gt;0.5,"TO PAY",IF($K118&lt;-0.5,"ADVANCE / OWES","SETTLED")))</f>
        <v/>
      </c>
      <c r="R118" s="111" t="n">
        <v>46266</v>
      </c>
    </row>
    <row r="119">
      <c r="A119" s="103">
        <f>IF(Setup!$A77="","",Setup!$A77)</f>
        <v/>
      </c>
      <c r="B119" s="104">
        <f>IF($A119="","",Setup!$B77)</f>
        <v/>
      </c>
      <c r="C119" s="105">
        <f>IF($A119="","",IF(COUNTIFS(Trips!$Z5:$Z1004,$R119,Trips!$D5:$D1004,$A119)+COUNTIFS(Trips!$Z5:$Z1004,$R119,Trips!$E5:$E1004,$A119)=0,"",COUNTIFS(Trips!$Z5:$Z1004,$R119,Trips!$D5:$D1004,$A119)+COUNTIFS(Trips!$Z5:$Z1004,$R119,Trips!$E5:$E1004,$A119)))</f>
        <v/>
      </c>
      <c r="D119" s="106">
        <f>IF($C119="","",SUMIFS(Trips!$K5:$K1004,Trips!$Z5:$Z1004,$R119,Trips!$D5:$D1004,$A119)+SUMIFS(Trips!$K5:$K1004,Trips!$Z5:$Z1004,$R119,Trips!$E5:$E1004,$A119))</f>
        <v/>
      </c>
      <c r="E119" s="107">
        <f>IF($C119="","",SUMIFS(Trips!$N5:$N1004,Trips!$Z5:$Z1004,$R119,Trips!$D5:$D1004,$A119)+SUMIFS(Trips!$O5:$O1004,Trips!$Z5:$Z1004,$R119,Trips!$E5:$E1004,$A119))</f>
        <v/>
      </c>
      <c r="F119" s="108">
        <f>IF($C119="","",SUMIFS(Trips!$P5:$P1004,Trips!$Z5:$Z1004,$R119,Trips!$D5:$D1004,$A119))</f>
        <v/>
      </c>
      <c r="G119" s="108">
        <f>IF($C119="","",SUMIFS(Trips!$Q5:$Q1004,Trips!$Z5:$Z1004,$R119,Trips!$D5:$D1004,$A119))</f>
        <v/>
      </c>
      <c r="H119" s="107">
        <f>IF(AND($C119="",$I119="",$J119=""),"",N($E119)+N($F119)+N($G119))</f>
        <v/>
      </c>
      <c r="I119" s="108">
        <f>IF($A119="","",IFERROR(1/(1/SUMIFS(Expenses!$F5:$F1004,Expenses!$B5:$B1004,"Cash Advance",Expenses!$J5:$J1004,$R119,Expenses!$E5:$E1004,$A119)),""))</f>
        <v/>
      </c>
      <c r="J119" s="108">
        <f>IF($A119="","",IFERROR(1/(1/SUMIFS(Expenses!$F5:$F1004,Expenses!$B5:$B1004,"Payroll Payout",Expenses!$J5:$J1004,$R119,Expenses!$E5:$E1004,$A119)),""))</f>
        <v/>
      </c>
      <c r="K119" s="109">
        <f>IF($H119="","",N($H119)-N($I119)-N($J119))</f>
        <v/>
      </c>
      <c r="L119" s="110">
        <f>IF($K119="","",IF($K119&gt;0.5,"TO PAY",IF($K119&lt;-0.5,"ADVANCE / OWES","SETTLED")))</f>
        <v/>
      </c>
      <c r="R119" s="111" t="n">
        <v>46266</v>
      </c>
    </row>
    <row r="120">
      <c r="A120" s="103">
        <f>IF(Setup!$A78="","",Setup!$A78)</f>
        <v/>
      </c>
      <c r="B120" s="104">
        <f>IF($A120="","",Setup!$B78)</f>
        <v/>
      </c>
      <c r="C120" s="105">
        <f>IF($A120="","",IF(COUNTIFS(Trips!$Z5:$Z1004,$R120,Trips!$D5:$D1004,$A120)+COUNTIFS(Trips!$Z5:$Z1004,$R120,Trips!$E5:$E1004,$A120)=0,"",COUNTIFS(Trips!$Z5:$Z1004,$R120,Trips!$D5:$D1004,$A120)+COUNTIFS(Trips!$Z5:$Z1004,$R120,Trips!$E5:$E1004,$A120)))</f>
        <v/>
      </c>
      <c r="D120" s="106">
        <f>IF($C120="","",SUMIFS(Trips!$K5:$K1004,Trips!$Z5:$Z1004,$R120,Trips!$D5:$D1004,$A120)+SUMIFS(Trips!$K5:$K1004,Trips!$Z5:$Z1004,$R120,Trips!$E5:$E1004,$A120))</f>
        <v/>
      </c>
      <c r="E120" s="107">
        <f>IF($C120="","",SUMIFS(Trips!$N5:$N1004,Trips!$Z5:$Z1004,$R120,Trips!$D5:$D1004,$A120)+SUMIFS(Trips!$O5:$O1004,Trips!$Z5:$Z1004,$R120,Trips!$E5:$E1004,$A120))</f>
        <v/>
      </c>
      <c r="F120" s="108">
        <f>IF($C120="","",SUMIFS(Trips!$P5:$P1004,Trips!$Z5:$Z1004,$R120,Trips!$D5:$D1004,$A120))</f>
        <v/>
      </c>
      <c r="G120" s="108">
        <f>IF($C120="","",SUMIFS(Trips!$Q5:$Q1004,Trips!$Z5:$Z1004,$R120,Trips!$D5:$D1004,$A120))</f>
        <v/>
      </c>
      <c r="H120" s="107">
        <f>IF(AND($C120="",$I120="",$J120=""),"",N($E120)+N($F120)+N($G120))</f>
        <v/>
      </c>
      <c r="I120" s="108">
        <f>IF($A120="","",IFERROR(1/(1/SUMIFS(Expenses!$F5:$F1004,Expenses!$B5:$B1004,"Cash Advance",Expenses!$J5:$J1004,$R120,Expenses!$E5:$E1004,$A120)),""))</f>
        <v/>
      </c>
      <c r="J120" s="108">
        <f>IF($A120="","",IFERROR(1/(1/SUMIFS(Expenses!$F5:$F1004,Expenses!$B5:$B1004,"Payroll Payout",Expenses!$J5:$J1004,$R120,Expenses!$E5:$E1004,$A120)),""))</f>
        <v/>
      </c>
      <c r="K120" s="109">
        <f>IF($H120="","",N($H120)-N($I120)-N($J120))</f>
        <v/>
      </c>
      <c r="L120" s="110">
        <f>IF($K120="","",IF($K120&gt;0.5,"TO PAY",IF($K120&lt;-0.5,"ADVANCE / OWES","SETTLED")))</f>
        <v/>
      </c>
      <c r="R120" s="111" t="n">
        <v>46266</v>
      </c>
    </row>
    <row r="121">
      <c r="A121" s="103">
        <f>IF(Setup!$A79="","",Setup!$A79)</f>
        <v/>
      </c>
      <c r="B121" s="104">
        <f>IF($A121="","",Setup!$B79)</f>
        <v/>
      </c>
      <c r="C121" s="105">
        <f>IF($A121="","",IF(COUNTIFS(Trips!$Z5:$Z1004,$R121,Trips!$D5:$D1004,$A121)+COUNTIFS(Trips!$Z5:$Z1004,$R121,Trips!$E5:$E1004,$A121)=0,"",COUNTIFS(Trips!$Z5:$Z1004,$R121,Trips!$D5:$D1004,$A121)+COUNTIFS(Trips!$Z5:$Z1004,$R121,Trips!$E5:$E1004,$A121)))</f>
        <v/>
      </c>
      <c r="D121" s="106">
        <f>IF($C121="","",SUMIFS(Trips!$K5:$K1004,Trips!$Z5:$Z1004,$R121,Trips!$D5:$D1004,$A121)+SUMIFS(Trips!$K5:$K1004,Trips!$Z5:$Z1004,$R121,Trips!$E5:$E1004,$A121))</f>
        <v/>
      </c>
      <c r="E121" s="107">
        <f>IF($C121="","",SUMIFS(Trips!$N5:$N1004,Trips!$Z5:$Z1004,$R121,Trips!$D5:$D1004,$A121)+SUMIFS(Trips!$O5:$O1004,Trips!$Z5:$Z1004,$R121,Trips!$E5:$E1004,$A121))</f>
        <v/>
      </c>
      <c r="F121" s="108">
        <f>IF($C121="","",SUMIFS(Trips!$P5:$P1004,Trips!$Z5:$Z1004,$R121,Trips!$D5:$D1004,$A121))</f>
        <v/>
      </c>
      <c r="G121" s="108">
        <f>IF($C121="","",SUMIFS(Trips!$Q5:$Q1004,Trips!$Z5:$Z1004,$R121,Trips!$D5:$D1004,$A121))</f>
        <v/>
      </c>
      <c r="H121" s="107">
        <f>IF(AND($C121="",$I121="",$J121=""),"",N($E121)+N($F121)+N($G121))</f>
        <v/>
      </c>
      <c r="I121" s="108">
        <f>IF($A121="","",IFERROR(1/(1/SUMIFS(Expenses!$F5:$F1004,Expenses!$B5:$B1004,"Cash Advance",Expenses!$J5:$J1004,$R121,Expenses!$E5:$E1004,$A121)),""))</f>
        <v/>
      </c>
      <c r="J121" s="108">
        <f>IF($A121="","",IFERROR(1/(1/SUMIFS(Expenses!$F5:$F1004,Expenses!$B5:$B1004,"Payroll Payout",Expenses!$J5:$J1004,$R121,Expenses!$E5:$E1004,$A121)),""))</f>
        <v/>
      </c>
      <c r="K121" s="109">
        <f>IF($H121="","",N($H121)-N($I121)-N($J121))</f>
        <v/>
      </c>
      <c r="L121" s="110">
        <f>IF($K121="","",IF($K121&gt;0.5,"TO PAY",IF($K121&lt;-0.5,"ADVANCE / OWES","SETTLED")))</f>
        <v/>
      </c>
      <c r="R121" s="111" t="n">
        <v>46266</v>
      </c>
    </row>
    <row r="122">
      <c r="A122" s="103">
        <f>IF(Setup!$A80="","",Setup!$A80)</f>
        <v/>
      </c>
      <c r="B122" s="104">
        <f>IF($A122="","",Setup!$B80)</f>
        <v/>
      </c>
      <c r="C122" s="105">
        <f>IF($A122="","",IF(COUNTIFS(Trips!$Z5:$Z1004,$R122,Trips!$D5:$D1004,$A122)+COUNTIFS(Trips!$Z5:$Z1004,$R122,Trips!$E5:$E1004,$A122)=0,"",COUNTIFS(Trips!$Z5:$Z1004,$R122,Trips!$D5:$D1004,$A122)+COUNTIFS(Trips!$Z5:$Z1004,$R122,Trips!$E5:$E1004,$A122)))</f>
        <v/>
      </c>
      <c r="D122" s="106">
        <f>IF($C122="","",SUMIFS(Trips!$K5:$K1004,Trips!$Z5:$Z1004,$R122,Trips!$D5:$D1004,$A122)+SUMIFS(Trips!$K5:$K1004,Trips!$Z5:$Z1004,$R122,Trips!$E5:$E1004,$A122))</f>
        <v/>
      </c>
      <c r="E122" s="107">
        <f>IF($C122="","",SUMIFS(Trips!$N5:$N1004,Trips!$Z5:$Z1004,$R122,Trips!$D5:$D1004,$A122)+SUMIFS(Trips!$O5:$O1004,Trips!$Z5:$Z1004,$R122,Trips!$E5:$E1004,$A122))</f>
        <v/>
      </c>
      <c r="F122" s="108">
        <f>IF($C122="","",SUMIFS(Trips!$P5:$P1004,Trips!$Z5:$Z1004,$R122,Trips!$D5:$D1004,$A122))</f>
        <v/>
      </c>
      <c r="G122" s="108">
        <f>IF($C122="","",SUMIFS(Trips!$Q5:$Q1004,Trips!$Z5:$Z1004,$R122,Trips!$D5:$D1004,$A122))</f>
        <v/>
      </c>
      <c r="H122" s="107">
        <f>IF(AND($C122="",$I122="",$J122=""),"",N($E122)+N($F122)+N($G122))</f>
        <v/>
      </c>
      <c r="I122" s="108">
        <f>IF($A122="","",IFERROR(1/(1/SUMIFS(Expenses!$F5:$F1004,Expenses!$B5:$B1004,"Cash Advance",Expenses!$J5:$J1004,$R122,Expenses!$E5:$E1004,$A122)),""))</f>
        <v/>
      </c>
      <c r="J122" s="108">
        <f>IF($A122="","",IFERROR(1/(1/SUMIFS(Expenses!$F5:$F1004,Expenses!$B5:$B1004,"Payroll Payout",Expenses!$J5:$J1004,$R122,Expenses!$E5:$E1004,$A122)),""))</f>
        <v/>
      </c>
      <c r="K122" s="109">
        <f>IF($H122="","",N($H122)-N($I122)-N($J122))</f>
        <v/>
      </c>
      <c r="L122" s="110">
        <f>IF($K122="","",IF($K122&gt;0.5,"TO PAY",IF($K122&lt;-0.5,"ADVANCE / OWES","SETTLED")))</f>
        <v/>
      </c>
      <c r="R122" s="111" t="n">
        <v>46266</v>
      </c>
    </row>
    <row r="123">
      <c r="A123" s="103">
        <f>IF(Setup!$A81="","",Setup!$A81)</f>
        <v/>
      </c>
      <c r="B123" s="104">
        <f>IF($A123="","",Setup!$B81)</f>
        <v/>
      </c>
      <c r="C123" s="105">
        <f>IF($A123="","",IF(COUNTIFS(Trips!$Z5:$Z1004,$R123,Trips!$D5:$D1004,$A123)+COUNTIFS(Trips!$Z5:$Z1004,$R123,Trips!$E5:$E1004,$A123)=0,"",COUNTIFS(Trips!$Z5:$Z1004,$R123,Trips!$D5:$D1004,$A123)+COUNTIFS(Trips!$Z5:$Z1004,$R123,Trips!$E5:$E1004,$A123)))</f>
        <v/>
      </c>
      <c r="D123" s="106">
        <f>IF($C123="","",SUMIFS(Trips!$K5:$K1004,Trips!$Z5:$Z1004,$R123,Trips!$D5:$D1004,$A123)+SUMIFS(Trips!$K5:$K1004,Trips!$Z5:$Z1004,$R123,Trips!$E5:$E1004,$A123))</f>
        <v/>
      </c>
      <c r="E123" s="107">
        <f>IF($C123="","",SUMIFS(Trips!$N5:$N1004,Trips!$Z5:$Z1004,$R123,Trips!$D5:$D1004,$A123)+SUMIFS(Trips!$O5:$O1004,Trips!$Z5:$Z1004,$R123,Trips!$E5:$E1004,$A123))</f>
        <v/>
      </c>
      <c r="F123" s="108">
        <f>IF($C123="","",SUMIFS(Trips!$P5:$P1004,Trips!$Z5:$Z1004,$R123,Trips!$D5:$D1004,$A123))</f>
        <v/>
      </c>
      <c r="G123" s="108">
        <f>IF($C123="","",SUMIFS(Trips!$Q5:$Q1004,Trips!$Z5:$Z1004,$R123,Trips!$D5:$D1004,$A123))</f>
        <v/>
      </c>
      <c r="H123" s="107">
        <f>IF(AND($C123="",$I123="",$J123=""),"",N($E123)+N($F123)+N($G123))</f>
        <v/>
      </c>
      <c r="I123" s="108">
        <f>IF($A123="","",IFERROR(1/(1/SUMIFS(Expenses!$F5:$F1004,Expenses!$B5:$B1004,"Cash Advance",Expenses!$J5:$J1004,$R123,Expenses!$E5:$E1004,$A123)),""))</f>
        <v/>
      </c>
      <c r="J123" s="108">
        <f>IF($A123="","",IFERROR(1/(1/SUMIFS(Expenses!$F5:$F1004,Expenses!$B5:$B1004,"Payroll Payout",Expenses!$J5:$J1004,$R123,Expenses!$E5:$E1004,$A123)),""))</f>
        <v/>
      </c>
      <c r="K123" s="109">
        <f>IF($H123="","",N($H123)-N($I123)-N($J123))</f>
        <v/>
      </c>
      <c r="L123" s="110">
        <f>IF($K123="","",IF($K123&gt;0.5,"TO PAY",IF($K123&lt;-0.5,"ADVANCE / OWES","SETTLED")))</f>
        <v/>
      </c>
      <c r="R123" s="111" t="n">
        <v>46266</v>
      </c>
    </row>
    <row r="124">
      <c r="A124" s="103">
        <f>IF(Setup!$A82="","",Setup!$A82)</f>
        <v/>
      </c>
      <c r="B124" s="104">
        <f>IF($A124="","",Setup!$B82)</f>
        <v/>
      </c>
      <c r="C124" s="105">
        <f>IF($A124="","",IF(COUNTIFS(Trips!$Z5:$Z1004,$R124,Trips!$D5:$D1004,$A124)+COUNTIFS(Trips!$Z5:$Z1004,$R124,Trips!$E5:$E1004,$A124)=0,"",COUNTIFS(Trips!$Z5:$Z1004,$R124,Trips!$D5:$D1004,$A124)+COUNTIFS(Trips!$Z5:$Z1004,$R124,Trips!$E5:$E1004,$A124)))</f>
        <v/>
      </c>
      <c r="D124" s="106">
        <f>IF($C124="","",SUMIFS(Trips!$K5:$K1004,Trips!$Z5:$Z1004,$R124,Trips!$D5:$D1004,$A124)+SUMIFS(Trips!$K5:$K1004,Trips!$Z5:$Z1004,$R124,Trips!$E5:$E1004,$A124))</f>
        <v/>
      </c>
      <c r="E124" s="107">
        <f>IF($C124="","",SUMIFS(Trips!$N5:$N1004,Trips!$Z5:$Z1004,$R124,Trips!$D5:$D1004,$A124)+SUMIFS(Trips!$O5:$O1004,Trips!$Z5:$Z1004,$R124,Trips!$E5:$E1004,$A124))</f>
        <v/>
      </c>
      <c r="F124" s="108">
        <f>IF($C124="","",SUMIFS(Trips!$P5:$P1004,Trips!$Z5:$Z1004,$R124,Trips!$D5:$D1004,$A124))</f>
        <v/>
      </c>
      <c r="G124" s="108">
        <f>IF($C124="","",SUMIFS(Trips!$Q5:$Q1004,Trips!$Z5:$Z1004,$R124,Trips!$D5:$D1004,$A124))</f>
        <v/>
      </c>
      <c r="H124" s="107">
        <f>IF(AND($C124="",$I124="",$J124=""),"",N($E124)+N($F124)+N($G124))</f>
        <v/>
      </c>
      <c r="I124" s="108">
        <f>IF($A124="","",IFERROR(1/(1/SUMIFS(Expenses!$F5:$F1004,Expenses!$B5:$B1004,"Cash Advance",Expenses!$J5:$J1004,$R124,Expenses!$E5:$E1004,$A124)),""))</f>
        <v/>
      </c>
      <c r="J124" s="108">
        <f>IF($A124="","",IFERROR(1/(1/SUMIFS(Expenses!$F5:$F1004,Expenses!$B5:$B1004,"Payroll Payout",Expenses!$J5:$J1004,$R124,Expenses!$E5:$E1004,$A124)),""))</f>
        <v/>
      </c>
      <c r="K124" s="109">
        <f>IF($H124="","",N($H124)-N($I124)-N($J124))</f>
        <v/>
      </c>
      <c r="L124" s="110">
        <f>IF($K124="","",IF($K124&gt;0.5,"TO PAY",IF($K124&lt;-0.5,"ADVANCE / OWES","SETTLED")))</f>
        <v/>
      </c>
      <c r="R124" s="111" t="n">
        <v>46266</v>
      </c>
    </row>
    <row r="125">
      <c r="A125" s="103">
        <f>IF(Setup!$A83="","",Setup!$A83)</f>
        <v/>
      </c>
      <c r="B125" s="104">
        <f>IF($A125="","",Setup!$B83)</f>
        <v/>
      </c>
      <c r="C125" s="105">
        <f>IF($A125="","",IF(COUNTIFS(Trips!$Z5:$Z1004,$R125,Trips!$D5:$D1004,$A125)+COUNTIFS(Trips!$Z5:$Z1004,$R125,Trips!$E5:$E1004,$A125)=0,"",COUNTIFS(Trips!$Z5:$Z1004,$R125,Trips!$D5:$D1004,$A125)+COUNTIFS(Trips!$Z5:$Z1004,$R125,Trips!$E5:$E1004,$A125)))</f>
        <v/>
      </c>
      <c r="D125" s="106">
        <f>IF($C125="","",SUMIFS(Trips!$K5:$K1004,Trips!$Z5:$Z1004,$R125,Trips!$D5:$D1004,$A125)+SUMIFS(Trips!$K5:$K1004,Trips!$Z5:$Z1004,$R125,Trips!$E5:$E1004,$A125))</f>
        <v/>
      </c>
      <c r="E125" s="107">
        <f>IF($C125="","",SUMIFS(Trips!$N5:$N1004,Trips!$Z5:$Z1004,$R125,Trips!$D5:$D1004,$A125)+SUMIFS(Trips!$O5:$O1004,Trips!$Z5:$Z1004,$R125,Trips!$E5:$E1004,$A125))</f>
        <v/>
      </c>
      <c r="F125" s="108">
        <f>IF($C125="","",SUMIFS(Trips!$P5:$P1004,Trips!$Z5:$Z1004,$R125,Trips!$D5:$D1004,$A125))</f>
        <v/>
      </c>
      <c r="G125" s="108">
        <f>IF($C125="","",SUMIFS(Trips!$Q5:$Q1004,Trips!$Z5:$Z1004,$R125,Trips!$D5:$D1004,$A125))</f>
        <v/>
      </c>
      <c r="H125" s="107">
        <f>IF(AND($C125="",$I125="",$J125=""),"",N($E125)+N($F125)+N($G125))</f>
        <v/>
      </c>
      <c r="I125" s="108">
        <f>IF($A125="","",IFERROR(1/(1/SUMIFS(Expenses!$F5:$F1004,Expenses!$B5:$B1004,"Cash Advance",Expenses!$J5:$J1004,$R125,Expenses!$E5:$E1004,$A125)),""))</f>
        <v/>
      </c>
      <c r="J125" s="108">
        <f>IF($A125="","",IFERROR(1/(1/SUMIFS(Expenses!$F5:$F1004,Expenses!$B5:$B1004,"Payroll Payout",Expenses!$J5:$J1004,$R125,Expenses!$E5:$E1004,$A125)),""))</f>
        <v/>
      </c>
      <c r="K125" s="109">
        <f>IF($H125="","",N($H125)-N($I125)-N($J125))</f>
        <v/>
      </c>
      <c r="L125" s="110">
        <f>IF($K125="","",IF($K125&gt;0.5,"TO PAY",IF($K125&lt;-0.5,"ADVANCE / OWES","SETTLED")))</f>
        <v/>
      </c>
      <c r="R125" s="111" t="n">
        <v>46266</v>
      </c>
    </row>
    <row r="126">
      <c r="A126" s="103">
        <f>IF(Setup!$A84="","",Setup!$A84)</f>
        <v/>
      </c>
      <c r="B126" s="104">
        <f>IF($A126="","",Setup!$B84)</f>
        <v/>
      </c>
      <c r="C126" s="105">
        <f>IF($A126="","",IF(COUNTIFS(Trips!$Z5:$Z1004,$R126,Trips!$D5:$D1004,$A126)+COUNTIFS(Trips!$Z5:$Z1004,$R126,Trips!$E5:$E1004,$A126)=0,"",COUNTIFS(Trips!$Z5:$Z1004,$R126,Trips!$D5:$D1004,$A126)+COUNTIFS(Trips!$Z5:$Z1004,$R126,Trips!$E5:$E1004,$A126)))</f>
        <v/>
      </c>
      <c r="D126" s="106">
        <f>IF($C126="","",SUMIFS(Trips!$K5:$K1004,Trips!$Z5:$Z1004,$R126,Trips!$D5:$D1004,$A126)+SUMIFS(Trips!$K5:$K1004,Trips!$Z5:$Z1004,$R126,Trips!$E5:$E1004,$A126))</f>
        <v/>
      </c>
      <c r="E126" s="107">
        <f>IF($C126="","",SUMIFS(Trips!$N5:$N1004,Trips!$Z5:$Z1004,$R126,Trips!$D5:$D1004,$A126)+SUMIFS(Trips!$O5:$O1004,Trips!$Z5:$Z1004,$R126,Trips!$E5:$E1004,$A126))</f>
        <v/>
      </c>
      <c r="F126" s="108">
        <f>IF($C126="","",SUMIFS(Trips!$P5:$P1004,Trips!$Z5:$Z1004,$R126,Trips!$D5:$D1004,$A126))</f>
        <v/>
      </c>
      <c r="G126" s="108">
        <f>IF($C126="","",SUMIFS(Trips!$Q5:$Q1004,Trips!$Z5:$Z1004,$R126,Trips!$D5:$D1004,$A126))</f>
        <v/>
      </c>
      <c r="H126" s="107">
        <f>IF(AND($C126="",$I126="",$J126=""),"",N($E126)+N($F126)+N($G126))</f>
        <v/>
      </c>
      <c r="I126" s="108">
        <f>IF($A126="","",IFERROR(1/(1/SUMIFS(Expenses!$F5:$F1004,Expenses!$B5:$B1004,"Cash Advance",Expenses!$J5:$J1004,$R126,Expenses!$E5:$E1004,$A126)),""))</f>
        <v/>
      </c>
      <c r="J126" s="108">
        <f>IF($A126="","",IFERROR(1/(1/SUMIFS(Expenses!$F5:$F1004,Expenses!$B5:$B1004,"Payroll Payout",Expenses!$J5:$J1004,$R126,Expenses!$E5:$E1004,$A126)),""))</f>
        <v/>
      </c>
      <c r="K126" s="109">
        <f>IF($H126="","",N($H126)-N($I126)-N($J126))</f>
        <v/>
      </c>
      <c r="L126" s="110">
        <f>IF($K126="","",IF($K126&gt;0.5,"TO PAY",IF($K126&lt;-0.5,"ADVANCE / OWES","SETTLED")))</f>
        <v/>
      </c>
      <c r="R126" s="111" t="n">
        <v>46266</v>
      </c>
    </row>
    <row r="127">
      <c r="A127" s="103">
        <f>IF(Setup!$A85="","",Setup!$A85)</f>
        <v/>
      </c>
      <c r="B127" s="104">
        <f>IF($A127="","",Setup!$B85)</f>
        <v/>
      </c>
      <c r="C127" s="105">
        <f>IF($A127="","",IF(COUNTIFS(Trips!$Z5:$Z1004,$R127,Trips!$D5:$D1004,$A127)+COUNTIFS(Trips!$Z5:$Z1004,$R127,Trips!$E5:$E1004,$A127)=0,"",COUNTIFS(Trips!$Z5:$Z1004,$R127,Trips!$D5:$D1004,$A127)+COUNTIFS(Trips!$Z5:$Z1004,$R127,Trips!$E5:$E1004,$A127)))</f>
        <v/>
      </c>
      <c r="D127" s="106">
        <f>IF($C127="","",SUMIFS(Trips!$K5:$K1004,Trips!$Z5:$Z1004,$R127,Trips!$D5:$D1004,$A127)+SUMIFS(Trips!$K5:$K1004,Trips!$Z5:$Z1004,$R127,Trips!$E5:$E1004,$A127))</f>
        <v/>
      </c>
      <c r="E127" s="107">
        <f>IF($C127="","",SUMIFS(Trips!$N5:$N1004,Trips!$Z5:$Z1004,$R127,Trips!$D5:$D1004,$A127)+SUMIFS(Trips!$O5:$O1004,Trips!$Z5:$Z1004,$R127,Trips!$E5:$E1004,$A127))</f>
        <v/>
      </c>
      <c r="F127" s="108">
        <f>IF($C127="","",SUMIFS(Trips!$P5:$P1004,Trips!$Z5:$Z1004,$R127,Trips!$D5:$D1004,$A127))</f>
        <v/>
      </c>
      <c r="G127" s="108">
        <f>IF($C127="","",SUMIFS(Trips!$Q5:$Q1004,Trips!$Z5:$Z1004,$R127,Trips!$D5:$D1004,$A127))</f>
        <v/>
      </c>
      <c r="H127" s="107">
        <f>IF(AND($C127="",$I127="",$J127=""),"",N($E127)+N($F127)+N($G127))</f>
        <v/>
      </c>
      <c r="I127" s="108">
        <f>IF($A127="","",IFERROR(1/(1/SUMIFS(Expenses!$F5:$F1004,Expenses!$B5:$B1004,"Cash Advance",Expenses!$J5:$J1004,$R127,Expenses!$E5:$E1004,$A127)),""))</f>
        <v/>
      </c>
      <c r="J127" s="108">
        <f>IF($A127="","",IFERROR(1/(1/SUMIFS(Expenses!$F5:$F1004,Expenses!$B5:$B1004,"Payroll Payout",Expenses!$J5:$J1004,$R127,Expenses!$E5:$E1004,$A127)),""))</f>
        <v/>
      </c>
      <c r="K127" s="109">
        <f>IF($H127="","",N($H127)-N($I127)-N($J127))</f>
        <v/>
      </c>
      <c r="L127" s="110">
        <f>IF($K127="","",IF($K127&gt;0.5,"TO PAY",IF($K127&lt;-0.5,"ADVANCE / OWES","SETTLED")))</f>
        <v/>
      </c>
      <c r="R127" s="111" t="n">
        <v>46266</v>
      </c>
    </row>
    <row r="128">
      <c r="A128" s="103">
        <f>IF(Setup!$A86="","",Setup!$A86)</f>
        <v/>
      </c>
      <c r="B128" s="104">
        <f>IF($A128="","",Setup!$B86)</f>
        <v/>
      </c>
      <c r="C128" s="105">
        <f>IF($A128="","",IF(COUNTIFS(Trips!$Z5:$Z1004,$R128,Trips!$D5:$D1004,$A128)+COUNTIFS(Trips!$Z5:$Z1004,$R128,Trips!$E5:$E1004,$A128)=0,"",COUNTIFS(Trips!$Z5:$Z1004,$R128,Trips!$D5:$D1004,$A128)+COUNTIFS(Trips!$Z5:$Z1004,$R128,Trips!$E5:$E1004,$A128)))</f>
        <v/>
      </c>
      <c r="D128" s="106">
        <f>IF($C128="","",SUMIFS(Trips!$K5:$K1004,Trips!$Z5:$Z1004,$R128,Trips!$D5:$D1004,$A128)+SUMIFS(Trips!$K5:$K1004,Trips!$Z5:$Z1004,$R128,Trips!$E5:$E1004,$A128))</f>
        <v/>
      </c>
      <c r="E128" s="107">
        <f>IF($C128="","",SUMIFS(Trips!$N5:$N1004,Trips!$Z5:$Z1004,$R128,Trips!$D5:$D1004,$A128)+SUMIFS(Trips!$O5:$O1004,Trips!$Z5:$Z1004,$R128,Trips!$E5:$E1004,$A128))</f>
        <v/>
      </c>
      <c r="F128" s="108">
        <f>IF($C128="","",SUMIFS(Trips!$P5:$P1004,Trips!$Z5:$Z1004,$R128,Trips!$D5:$D1004,$A128))</f>
        <v/>
      </c>
      <c r="G128" s="108">
        <f>IF($C128="","",SUMIFS(Trips!$Q5:$Q1004,Trips!$Z5:$Z1004,$R128,Trips!$D5:$D1004,$A128))</f>
        <v/>
      </c>
      <c r="H128" s="107">
        <f>IF(AND($C128="",$I128="",$J128=""),"",N($E128)+N($F128)+N($G128))</f>
        <v/>
      </c>
      <c r="I128" s="108">
        <f>IF($A128="","",IFERROR(1/(1/SUMIFS(Expenses!$F5:$F1004,Expenses!$B5:$B1004,"Cash Advance",Expenses!$J5:$J1004,$R128,Expenses!$E5:$E1004,$A128)),""))</f>
        <v/>
      </c>
      <c r="J128" s="108">
        <f>IF($A128="","",IFERROR(1/(1/SUMIFS(Expenses!$F5:$F1004,Expenses!$B5:$B1004,"Payroll Payout",Expenses!$J5:$J1004,$R128,Expenses!$E5:$E1004,$A128)),""))</f>
        <v/>
      </c>
      <c r="K128" s="109">
        <f>IF($H128="","",N($H128)-N($I128)-N($J128))</f>
        <v/>
      </c>
      <c r="L128" s="110">
        <f>IF($K128="","",IF($K128&gt;0.5,"TO PAY",IF($K128&lt;-0.5,"ADVANCE / OWES","SETTLED")))</f>
        <v/>
      </c>
      <c r="R128" s="111" t="n">
        <v>46266</v>
      </c>
    </row>
    <row r="129">
      <c r="A129" s="103">
        <f>IF(Setup!$A87="","",Setup!$A87)</f>
        <v/>
      </c>
      <c r="B129" s="104">
        <f>IF($A129="","",Setup!$B87)</f>
        <v/>
      </c>
      <c r="C129" s="105">
        <f>IF($A129="","",IF(COUNTIFS(Trips!$Z5:$Z1004,$R129,Trips!$D5:$D1004,$A129)+COUNTIFS(Trips!$Z5:$Z1004,$R129,Trips!$E5:$E1004,$A129)=0,"",COUNTIFS(Trips!$Z5:$Z1004,$R129,Trips!$D5:$D1004,$A129)+COUNTIFS(Trips!$Z5:$Z1004,$R129,Trips!$E5:$E1004,$A129)))</f>
        <v/>
      </c>
      <c r="D129" s="106">
        <f>IF($C129="","",SUMIFS(Trips!$K5:$K1004,Trips!$Z5:$Z1004,$R129,Trips!$D5:$D1004,$A129)+SUMIFS(Trips!$K5:$K1004,Trips!$Z5:$Z1004,$R129,Trips!$E5:$E1004,$A129))</f>
        <v/>
      </c>
      <c r="E129" s="107">
        <f>IF($C129="","",SUMIFS(Trips!$N5:$N1004,Trips!$Z5:$Z1004,$R129,Trips!$D5:$D1004,$A129)+SUMIFS(Trips!$O5:$O1004,Trips!$Z5:$Z1004,$R129,Trips!$E5:$E1004,$A129))</f>
        <v/>
      </c>
      <c r="F129" s="108">
        <f>IF($C129="","",SUMIFS(Trips!$P5:$P1004,Trips!$Z5:$Z1004,$R129,Trips!$D5:$D1004,$A129))</f>
        <v/>
      </c>
      <c r="G129" s="108">
        <f>IF($C129="","",SUMIFS(Trips!$Q5:$Q1004,Trips!$Z5:$Z1004,$R129,Trips!$D5:$D1004,$A129))</f>
        <v/>
      </c>
      <c r="H129" s="107">
        <f>IF(AND($C129="",$I129="",$J129=""),"",N($E129)+N($F129)+N($G129))</f>
        <v/>
      </c>
      <c r="I129" s="108">
        <f>IF($A129="","",IFERROR(1/(1/SUMIFS(Expenses!$F5:$F1004,Expenses!$B5:$B1004,"Cash Advance",Expenses!$J5:$J1004,$R129,Expenses!$E5:$E1004,$A129)),""))</f>
        <v/>
      </c>
      <c r="J129" s="108">
        <f>IF($A129="","",IFERROR(1/(1/SUMIFS(Expenses!$F5:$F1004,Expenses!$B5:$B1004,"Payroll Payout",Expenses!$J5:$J1004,$R129,Expenses!$E5:$E1004,$A129)),""))</f>
        <v/>
      </c>
      <c r="K129" s="109">
        <f>IF($H129="","",N($H129)-N($I129)-N($J129))</f>
        <v/>
      </c>
      <c r="L129" s="110">
        <f>IF($K129="","",IF($K129&gt;0.5,"TO PAY",IF($K129&lt;-0.5,"ADVANCE / OWES","SETTLED")))</f>
        <v/>
      </c>
      <c r="R129" s="111" t="n">
        <v>46266</v>
      </c>
    </row>
    <row r="130">
      <c r="A130" s="112" t="inlineStr">
        <is>
          <t>MONTH TOTAL</t>
        </is>
      </c>
      <c r="B130" s="113" t="n"/>
      <c r="C130" s="114">
        <f>IF(COUNT(C118:C129)=0,"",SUM(C118:C129))</f>
        <v/>
      </c>
      <c r="D130" s="115">
        <f>IF(COUNT(D118:D129)=0,"",SUM(D118:D129))</f>
        <v/>
      </c>
      <c r="E130" s="116">
        <f>IF(COUNT(E118:E129)=0,"",SUM(E118:E129))</f>
        <v/>
      </c>
      <c r="F130" s="116">
        <f>IF(COUNT(F118:F129)=0,"",SUM(F118:F129))</f>
        <v/>
      </c>
      <c r="G130" s="116">
        <f>IF(COUNT(G118:G129)=0,"",SUM(G118:G129))</f>
        <v/>
      </c>
      <c r="H130" s="116">
        <f>IF(COUNT(H118:H129)=0,"",SUM(H118:H129))</f>
        <v/>
      </c>
      <c r="I130" s="116">
        <f>IF(COUNT(I118:I129)=0,"",SUM(I118:I129))</f>
        <v/>
      </c>
      <c r="J130" s="116">
        <f>IF(COUNT(J118:J129)=0,"",SUM(J118:J129))</f>
        <v/>
      </c>
      <c r="K130" s="116">
        <f>IF(COUNT(K118:K129)=0,"",SUM(K118:K129))</f>
        <v/>
      </c>
      <c r="L130" s="117" t="n"/>
    </row>
    <row r="131" ht="24" customHeight="1">
      <c r="A131" s="102" t="inlineStr">
        <is>
          <t>OCTOBER 2026   ·   crew earnings &amp; settlement</t>
        </is>
      </c>
    </row>
    <row r="132">
      <c r="A132" s="103">
        <f>IF(Setup!$A76="","",Setup!$A76)</f>
        <v/>
      </c>
      <c r="B132" s="104">
        <f>IF($A132="","",Setup!$B76)</f>
        <v/>
      </c>
      <c r="C132" s="105">
        <f>IF($A132="","",IF(COUNTIFS(Trips!$Z5:$Z1004,$R132,Trips!$D5:$D1004,$A132)+COUNTIFS(Trips!$Z5:$Z1004,$R132,Trips!$E5:$E1004,$A132)=0,"",COUNTIFS(Trips!$Z5:$Z1004,$R132,Trips!$D5:$D1004,$A132)+COUNTIFS(Trips!$Z5:$Z1004,$R132,Trips!$E5:$E1004,$A132)))</f>
        <v/>
      </c>
      <c r="D132" s="106">
        <f>IF($C132="","",SUMIFS(Trips!$K5:$K1004,Trips!$Z5:$Z1004,$R132,Trips!$D5:$D1004,$A132)+SUMIFS(Trips!$K5:$K1004,Trips!$Z5:$Z1004,$R132,Trips!$E5:$E1004,$A132))</f>
        <v/>
      </c>
      <c r="E132" s="107">
        <f>IF($C132="","",SUMIFS(Trips!$N5:$N1004,Trips!$Z5:$Z1004,$R132,Trips!$D5:$D1004,$A132)+SUMIFS(Trips!$O5:$O1004,Trips!$Z5:$Z1004,$R132,Trips!$E5:$E1004,$A132))</f>
        <v/>
      </c>
      <c r="F132" s="108">
        <f>IF($C132="","",SUMIFS(Trips!$P5:$P1004,Trips!$Z5:$Z1004,$R132,Trips!$D5:$D1004,$A132))</f>
        <v/>
      </c>
      <c r="G132" s="108">
        <f>IF($C132="","",SUMIFS(Trips!$Q5:$Q1004,Trips!$Z5:$Z1004,$R132,Trips!$D5:$D1004,$A132))</f>
        <v/>
      </c>
      <c r="H132" s="107">
        <f>IF(AND($C132="",$I132="",$J132=""),"",N($E132)+N($F132)+N($G132))</f>
        <v/>
      </c>
      <c r="I132" s="108">
        <f>IF($A132="","",IFERROR(1/(1/SUMIFS(Expenses!$F5:$F1004,Expenses!$B5:$B1004,"Cash Advance",Expenses!$J5:$J1004,$R132,Expenses!$E5:$E1004,$A132)),""))</f>
        <v/>
      </c>
      <c r="J132" s="108">
        <f>IF($A132="","",IFERROR(1/(1/SUMIFS(Expenses!$F5:$F1004,Expenses!$B5:$B1004,"Payroll Payout",Expenses!$J5:$J1004,$R132,Expenses!$E5:$E1004,$A132)),""))</f>
        <v/>
      </c>
      <c r="K132" s="109">
        <f>IF($H132="","",N($H132)-N($I132)-N($J132))</f>
        <v/>
      </c>
      <c r="L132" s="110">
        <f>IF($K132="","",IF($K132&gt;0.5,"TO PAY",IF($K132&lt;-0.5,"ADVANCE / OWES","SETTLED")))</f>
        <v/>
      </c>
      <c r="R132" s="111" t="n">
        <v>46296</v>
      </c>
    </row>
    <row r="133">
      <c r="A133" s="103">
        <f>IF(Setup!$A77="","",Setup!$A77)</f>
        <v/>
      </c>
      <c r="B133" s="104">
        <f>IF($A133="","",Setup!$B77)</f>
        <v/>
      </c>
      <c r="C133" s="105">
        <f>IF($A133="","",IF(COUNTIFS(Trips!$Z5:$Z1004,$R133,Trips!$D5:$D1004,$A133)+COUNTIFS(Trips!$Z5:$Z1004,$R133,Trips!$E5:$E1004,$A133)=0,"",COUNTIFS(Trips!$Z5:$Z1004,$R133,Trips!$D5:$D1004,$A133)+COUNTIFS(Trips!$Z5:$Z1004,$R133,Trips!$E5:$E1004,$A133)))</f>
        <v/>
      </c>
      <c r="D133" s="106">
        <f>IF($C133="","",SUMIFS(Trips!$K5:$K1004,Trips!$Z5:$Z1004,$R133,Trips!$D5:$D1004,$A133)+SUMIFS(Trips!$K5:$K1004,Trips!$Z5:$Z1004,$R133,Trips!$E5:$E1004,$A133))</f>
        <v/>
      </c>
      <c r="E133" s="107">
        <f>IF($C133="","",SUMIFS(Trips!$N5:$N1004,Trips!$Z5:$Z1004,$R133,Trips!$D5:$D1004,$A133)+SUMIFS(Trips!$O5:$O1004,Trips!$Z5:$Z1004,$R133,Trips!$E5:$E1004,$A133))</f>
        <v/>
      </c>
      <c r="F133" s="108">
        <f>IF($C133="","",SUMIFS(Trips!$P5:$P1004,Trips!$Z5:$Z1004,$R133,Trips!$D5:$D1004,$A133))</f>
        <v/>
      </c>
      <c r="G133" s="108">
        <f>IF($C133="","",SUMIFS(Trips!$Q5:$Q1004,Trips!$Z5:$Z1004,$R133,Trips!$D5:$D1004,$A133))</f>
        <v/>
      </c>
      <c r="H133" s="107">
        <f>IF(AND($C133="",$I133="",$J133=""),"",N($E133)+N($F133)+N($G133))</f>
        <v/>
      </c>
      <c r="I133" s="108">
        <f>IF($A133="","",IFERROR(1/(1/SUMIFS(Expenses!$F5:$F1004,Expenses!$B5:$B1004,"Cash Advance",Expenses!$J5:$J1004,$R133,Expenses!$E5:$E1004,$A133)),""))</f>
        <v/>
      </c>
      <c r="J133" s="108">
        <f>IF($A133="","",IFERROR(1/(1/SUMIFS(Expenses!$F5:$F1004,Expenses!$B5:$B1004,"Payroll Payout",Expenses!$J5:$J1004,$R133,Expenses!$E5:$E1004,$A133)),""))</f>
        <v/>
      </c>
      <c r="K133" s="109">
        <f>IF($H133="","",N($H133)-N($I133)-N($J133))</f>
        <v/>
      </c>
      <c r="L133" s="110">
        <f>IF($K133="","",IF($K133&gt;0.5,"TO PAY",IF($K133&lt;-0.5,"ADVANCE / OWES","SETTLED")))</f>
        <v/>
      </c>
      <c r="R133" s="111" t="n">
        <v>46296</v>
      </c>
    </row>
    <row r="134">
      <c r="A134" s="103">
        <f>IF(Setup!$A78="","",Setup!$A78)</f>
        <v/>
      </c>
      <c r="B134" s="104">
        <f>IF($A134="","",Setup!$B78)</f>
        <v/>
      </c>
      <c r="C134" s="105">
        <f>IF($A134="","",IF(COUNTIFS(Trips!$Z5:$Z1004,$R134,Trips!$D5:$D1004,$A134)+COUNTIFS(Trips!$Z5:$Z1004,$R134,Trips!$E5:$E1004,$A134)=0,"",COUNTIFS(Trips!$Z5:$Z1004,$R134,Trips!$D5:$D1004,$A134)+COUNTIFS(Trips!$Z5:$Z1004,$R134,Trips!$E5:$E1004,$A134)))</f>
        <v/>
      </c>
      <c r="D134" s="106">
        <f>IF($C134="","",SUMIFS(Trips!$K5:$K1004,Trips!$Z5:$Z1004,$R134,Trips!$D5:$D1004,$A134)+SUMIFS(Trips!$K5:$K1004,Trips!$Z5:$Z1004,$R134,Trips!$E5:$E1004,$A134))</f>
        <v/>
      </c>
      <c r="E134" s="107">
        <f>IF($C134="","",SUMIFS(Trips!$N5:$N1004,Trips!$Z5:$Z1004,$R134,Trips!$D5:$D1004,$A134)+SUMIFS(Trips!$O5:$O1004,Trips!$Z5:$Z1004,$R134,Trips!$E5:$E1004,$A134))</f>
        <v/>
      </c>
      <c r="F134" s="108">
        <f>IF($C134="","",SUMIFS(Trips!$P5:$P1004,Trips!$Z5:$Z1004,$R134,Trips!$D5:$D1004,$A134))</f>
        <v/>
      </c>
      <c r="G134" s="108">
        <f>IF($C134="","",SUMIFS(Trips!$Q5:$Q1004,Trips!$Z5:$Z1004,$R134,Trips!$D5:$D1004,$A134))</f>
        <v/>
      </c>
      <c r="H134" s="107">
        <f>IF(AND($C134="",$I134="",$J134=""),"",N($E134)+N($F134)+N($G134))</f>
        <v/>
      </c>
      <c r="I134" s="108">
        <f>IF($A134="","",IFERROR(1/(1/SUMIFS(Expenses!$F5:$F1004,Expenses!$B5:$B1004,"Cash Advance",Expenses!$J5:$J1004,$R134,Expenses!$E5:$E1004,$A134)),""))</f>
        <v/>
      </c>
      <c r="J134" s="108">
        <f>IF($A134="","",IFERROR(1/(1/SUMIFS(Expenses!$F5:$F1004,Expenses!$B5:$B1004,"Payroll Payout",Expenses!$J5:$J1004,$R134,Expenses!$E5:$E1004,$A134)),""))</f>
        <v/>
      </c>
      <c r="K134" s="109">
        <f>IF($H134="","",N($H134)-N($I134)-N($J134))</f>
        <v/>
      </c>
      <c r="L134" s="110">
        <f>IF($K134="","",IF($K134&gt;0.5,"TO PAY",IF($K134&lt;-0.5,"ADVANCE / OWES","SETTLED")))</f>
        <v/>
      </c>
      <c r="R134" s="111" t="n">
        <v>46296</v>
      </c>
    </row>
    <row r="135">
      <c r="A135" s="103">
        <f>IF(Setup!$A79="","",Setup!$A79)</f>
        <v/>
      </c>
      <c r="B135" s="104">
        <f>IF($A135="","",Setup!$B79)</f>
        <v/>
      </c>
      <c r="C135" s="105">
        <f>IF($A135="","",IF(COUNTIFS(Trips!$Z5:$Z1004,$R135,Trips!$D5:$D1004,$A135)+COUNTIFS(Trips!$Z5:$Z1004,$R135,Trips!$E5:$E1004,$A135)=0,"",COUNTIFS(Trips!$Z5:$Z1004,$R135,Trips!$D5:$D1004,$A135)+COUNTIFS(Trips!$Z5:$Z1004,$R135,Trips!$E5:$E1004,$A135)))</f>
        <v/>
      </c>
      <c r="D135" s="106">
        <f>IF($C135="","",SUMIFS(Trips!$K5:$K1004,Trips!$Z5:$Z1004,$R135,Trips!$D5:$D1004,$A135)+SUMIFS(Trips!$K5:$K1004,Trips!$Z5:$Z1004,$R135,Trips!$E5:$E1004,$A135))</f>
        <v/>
      </c>
      <c r="E135" s="107">
        <f>IF($C135="","",SUMIFS(Trips!$N5:$N1004,Trips!$Z5:$Z1004,$R135,Trips!$D5:$D1004,$A135)+SUMIFS(Trips!$O5:$O1004,Trips!$Z5:$Z1004,$R135,Trips!$E5:$E1004,$A135))</f>
        <v/>
      </c>
      <c r="F135" s="108">
        <f>IF($C135="","",SUMIFS(Trips!$P5:$P1004,Trips!$Z5:$Z1004,$R135,Trips!$D5:$D1004,$A135))</f>
        <v/>
      </c>
      <c r="G135" s="108">
        <f>IF($C135="","",SUMIFS(Trips!$Q5:$Q1004,Trips!$Z5:$Z1004,$R135,Trips!$D5:$D1004,$A135))</f>
        <v/>
      </c>
      <c r="H135" s="107">
        <f>IF(AND($C135="",$I135="",$J135=""),"",N($E135)+N($F135)+N($G135))</f>
        <v/>
      </c>
      <c r="I135" s="108">
        <f>IF($A135="","",IFERROR(1/(1/SUMIFS(Expenses!$F5:$F1004,Expenses!$B5:$B1004,"Cash Advance",Expenses!$J5:$J1004,$R135,Expenses!$E5:$E1004,$A135)),""))</f>
        <v/>
      </c>
      <c r="J135" s="108">
        <f>IF($A135="","",IFERROR(1/(1/SUMIFS(Expenses!$F5:$F1004,Expenses!$B5:$B1004,"Payroll Payout",Expenses!$J5:$J1004,$R135,Expenses!$E5:$E1004,$A135)),""))</f>
        <v/>
      </c>
      <c r="K135" s="109">
        <f>IF($H135="","",N($H135)-N($I135)-N($J135))</f>
        <v/>
      </c>
      <c r="L135" s="110">
        <f>IF($K135="","",IF($K135&gt;0.5,"TO PAY",IF($K135&lt;-0.5,"ADVANCE / OWES","SETTLED")))</f>
        <v/>
      </c>
      <c r="R135" s="111" t="n">
        <v>46296</v>
      </c>
    </row>
    <row r="136">
      <c r="A136" s="103">
        <f>IF(Setup!$A80="","",Setup!$A80)</f>
        <v/>
      </c>
      <c r="B136" s="104">
        <f>IF($A136="","",Setup!$B80)</f>
        <v/>
      </c>
      <c r="C136" s="105">
        <f>IF($A136="","",IF(COUNTIFS(Trips!$Z5:$Z1004,$R136,Trips!$D5:$D1004,$A136)+COUNTIFS(Trips!$Z5:$Z1004,$R136,Trips!$E5:$E1004,$A136)=0,"",COUNTIFS(Trips!$Z5:$Z1004,$R136,Trips!$D5:$D1004,$A136)+COUNTIFS(Trips!$Z5:$Z1004,$R136,Trips!$E5:$E1004,$A136)))</f>
        <v/>
      </c>
      <c r="D136" s="106">
        <f>IF($C136="","",SUMIFS(Trips!$K5:$K1004,Trips!$Z5:$Z1004,$R136,Trips!$D5:$D1004,$A136)+SUMIFS(Trips!$K5:$K1004,Trips!$Z5:$Z1004,$R136,Trips!$E5:$E1004,$A136))</f>
        <v/>
      </c>
      <c r="E136" s="107">
        <f>IF($C136="","",SUMIFS(Trips!$N5:$N1004,Trips!$Z5:$Z1004,$R136,Trips!$D5:$D1004,$A136)+SUMIFS(Trips!$O5:$O1004,Trips!$Z5:$Z1004,$R136,Trips!$E5:$E1004,$A136))</f>
        <v/>
      </c>
      <c r="F136" s="108">
        <f>IF($C136="","",SUMIFS(Trips!$P5:$P1004,Trips!$Z5:$Z1004,$R136,Trips!$D5:$D1004,$A136))</f>
        <v/>
      </c>
      <c r="G136" s="108">
        <f>IF($C136="","",SUMIFS(Trips!$Q5:$Q1004,Trips!$Z5:$Z1004,$R136,Trips!$D5:$D1004,$A136))</f>
        <v/>
      </c>
      <c r="H136" s="107">
        <f>IF(AND($C136="",$I136="",$J136=""),"",N($E136)+N($F136)+N($G136))</f>
        <v/>
      </c>
      <c r="I136" s="108">
        <f>IF($A136="","",IFERROR(1/(1/SUMIFS(Expenses!$F5:$F1004,Expenses!$B5:$B1004,"Cash Advance",Expenses!$J5:$J1004,$R136,Expenses!$E5:$E1004,$A136)),""))</f>
        <v/>
      </c>
      <c r="J136" s="108">
        <f>IF($A136="","",IFERROR(1/(1/SUMIFS(Expenses!$F5:$F1004,Expenses!$B5:$B1004,"Payroll Payout",Expenses!$J5:$J1004,$R136,Expenses!$E5:$E1004,$A136)),""))</f>
        <v/>
      </c>
      <c r="K136" s="109">
        <f>IF($H136="","",N($H136)-N($I136)-N($J136))</f>
        <v/>
      </c>
      <c r="L136" s="110">
        <f>IF($K136="","",IF($K136&gt;0.5,"TO PAY",IF($K136&lt;-0.5,"ADVANCE / OWES","SETTLED")))</f>
        <v/>
      </c>
      <c r="R136" s="111" t="n">
        <v>46296</v>
      </c>
    </row>
    <row r="137">
      <c r="A137" s="103">
        <f>IF(Setup!$A81="","",Setup!$A81)</f>
        <v/>
      </c>
      <c r="B137" s="104">
        <f>IF($A137="","",Setup!$B81)</f>
        <v/>
      </c>
      <c r="C137" s="105">
        <f>IF($A137="","",IF(COUNTIFS(Trips!$Z5:$Z1004,$R137,Trips!$D5:$D1004,$A137)+COUNTIFS(Trips!$Z5:$Z1004,$R137,Trips!$E5:$E1004,$A137)=0,"",COUNTIFS(Trips!$Z5:$Z1004,$R137,Trips!$D5:$D1004,$A137)+COUNTIFS(Trips!$Z5:$Z1004,$R137,Trips!$E5:$E1004,$A137)))</f>
        <v/>
      </c>
      <c r="D137" s="106">
        <f>IF($C137="","",SUMIFS(Trips!$K5:$K1004,Trips!$Z5:$Z1004,$R137,Trips!$D5:$D1004,$A137)+SUMIFS(Trips!$K5:$K1004,Trips!$Z5:$Z1004,$R137,Trips!$E5:$E1004,$A137))</f>
        <v/>
      </c>
      <c r="E137" s="107">
        <f>IF($C137="","",SUMIFS(Trips!$N5:$N1004,Trips!$Z5:$Z1004,$R137,Trips!$D5:$D1004,$A137)+SUMIFS(Trips!$O5:$O1004,Trips!$Z5:$Z1004,$R137,Trips!$E5:$E1004,$A137))</f>
        <v/>
      </c>
      <c r="F137" s="108">
        <f>IF($C137="","",SUMIFS(Trips!$P5:$P1004,Trips!$Z5:$Z1004,$R137,Trips!$D5:$D1004,$A137))</f>
        <v/>
      </c>
      <c r="G137" s="108">
        <f>IF($C137="","",SUMIFS(Trips!$Q5:$Q1004,Trips!$Z5:$Z1004,$R137,Trips!$D5:$D1004,$A137))</f>
        <v/>
      </c>
      <c r="H137" s="107">
        <f>IF(AND($C137="",$I137="",$J137=""),"",N($E137)+N($F137)+N($G137))</f>
        <v/>
      </c>
      <c r="I137" s="108">
        <f>IF($A137="","",IFERROR(1/(1/SUMIFS(Expenses!$F5:$F1004,Expenses!$B5:$B1004,"Cash Advance",Expenses!$J5:$J1004,$R137,Expenses!$E5:$E1004,$A137)),""))</f>
        <v/>
      </c>
      <c r="J137" s="108">
        <f>IF($A137="","",IFERROR(1/(1/SUMIFS(Expenses!$F5:$F1004,Expenses!$B5:$B1004,"Payroll Payout",Expenses!$J5:$J1004,$R137,Expenses!$E5:$E1004,$A137)),""))</f>
        <v/>
      </c>
      <c r="K137" s="109">
        <f>IF($H137="","",N($H137)-N($I137)-N($J137))</f>
        <v/>
      </c>
      <c r="L137" s="110">
        <f>IF($K137="","",IF($K137&gt;0.5,"TO PAY",IF($K137&lt;-0.5,"ADVANCE / OWES","SETTLED")))</f>
        <v/>
      </c>
      <c r="R137" s="111" t="n">
        <v>46296</v>
      </c>
    </row>
    <row r="138">
      <c r="A138" s="103">
        <f>IF(Setup!$A82="","",Setup!$A82)</f>
        <v/>
      </c>
      <c r="B138" s="104">
        <f>IF($A138="","",Setup!$B82)</f>
        <v/>
      </c>
      <c r="C138" s="105">
        <f>IF($A138="","",IF(COUNTIFS(Trips!$Z5:$Z1004,$R138,Trips!$D5:$D1004,$A138)+COUNTIFS(Trips!$Z5:$Z1004,$R138,Trips!$E5:$E1004,$A138)=0,"",COUNTIFS(Trips!$Z5:$Z1004,$R138,Trips!$D5:$D1004,$A138)+COUNTIFS(Trips!$Z5:$Z1004,$R138,Trips!$E5:$E1004,$A138)))</f>
        <v/>
      </c>
      <c r="D138" s="106">
        <f>IF($C138="","",SUMIFS(Trips!$K5:$K1004,Trips!$Z5:$Z1004,$R138,Trips!$D5:$D1004,$A138)+SUMIFS(Trips!$K5:$K1004,Trips!$Z5:$Z1004,$R138,Trips!$E5:$E1004,$A138))</f>
        <v/>
      </c>
      <c r="E138" s="107">
        <f>IF($C138="","",SUMIFS(Trips!$N5:$N1004,Trips!$Z5:$Z1004,$R138,Trips!$D5:$D1004,$A138)+SUMIFS(Trips!$O5:$O1004,Trips!$Z5:$Z1004,$R138,Trips!$E5:$E1004,$A138))</f>
        <v/>
      </c>
      <c r="F138" s="108">
        <f>IF($C138="","",SUMIFS(Trips!$P5:$P1004,Trips!$Z5:$Z1004,$R138,Trips!$D5:$D1004,$A138))</f>
        <v/>
      </c>
      <c r="G138" s="108">
        <f>IF($C138="","",SUMIFS(Trips!$Q5:$Q1004,Trips!$Z5:$Z1004,$R138,Trips!$D5:$D1004,$A138))</f>
        <v/>
      </c>
      <c r="H138" s="107">
        <f>IF(AND($C138="",$I138="",$J138=""),"",N($E138)+N($F138)+N($G138))</f>
        <v/>
      </c>
      <c r="I138" s="108">
        <f>IF($A138="","",IFERROR(1/(1/SUMIFS(Expenses!$F5:$F1004,Expenses!$B5:$B1004,"Cash Advance",Expenses!$J5:$J1004,$R138,Expenses!$E5:$E1004,$A138)),""))</f>
        <v/>
      </c>
      <c r="J138" s="108">
        <f>IF($A138="","",IFERROR(1/(1/SUMIFS(Expenses!$F5:$F1004,Expenses!$B5:$B1004,"Payroll Payout",Expenses!$J5:$J1004,$R138,Expenses!$E5:$E1004,$A138)),""))</f>
        <v/>
      </c>
      <c r="K138" s="109">
        <f>IF($H138="","",N($H138)-N($I138)-N($J138))</f>
        <v/>
      </c>
      <c r="L138" s="110">
        <f>IF($K138="","",IF($K138&gt;0.5,"TO PAY",IF($K138&lt;-0.5,"ADVANCE / OWES","SETTLED")))</f>
        <v/>
      </c>
      <c r="R138" s="111" t="n">
        <v>46296</v>
      </c>
    </row>
    <row r="139">
      <c r="A139" s="103">
        <f>IF(Setup!$A83="","",Setup!$A83)</f>
        <v/>
      </c>
      <c r="B139" s="104">
        <f>IF($A139="","",Setup!$B83)</f>
        <v/>
      </c>
      <c r="C139" s="105">
        <f>IF($A139="","",IF(COUNTIFS(Trips!$Z5:$Z1004,$R139,Trips!$D5:$D1004,$A139)+COUNTIFS(Trips!$Z5:$Z1004,$R139,Trips!$E5:$E1004,$A139)=0,"",COUNTIFS(Trips!$Z5:$Z1004,$R139,Trips!$D5:$D1004,$A139)+COUNTIFS(Trips!$Z5:$Z1004,$R139,Trips!$E5:$E1004,$A139)))</f>
        <v/>
      </c>
      <c r="D139" s="106">
        <f>IF($C139="","",SUMIFS(Trips!$K5:$K1004,Trips!$Z5:$Z1004,$R139,Trips!$D5:$D1004,$A139)+SUMIFS(Trips!$K5:$K1004,Trips!$Z5:$Z1004,$R139,Trips!$E5:$E1004,$A139))</f>
        <v/>
      </c>
      <c r="E139" s="107">
        <f>IF($C139="","",SUMIFS(Trips!$N5:$N1004,Trips!$Z5:$Z1004,$R139,Trips!$D5:$D1004,$A139)+SUMIFS(Trips!$O5:$O1004,Trips!$Z5:$Z1004,$R139,Trips!$E5:$E1004,$A139))</f>
        <v/>
      </c>
      <c r="F139" s="108">
        <f>IF($C139="","",SUMIFS(Trips!$P5:$P1004,Trips!$Z5:$Z1004,$R139,Trips!$D5:$D1004,$A139))</f>
        <v/>
      </c>
      <c r="G139" s="108">
        <f>IF($C139="","",SUMIFS(Trips!$Q5:$Q1004,Trips!$Z5:$Z1004,$R139,Trips!$D5:$D1004,$A139))</f>
        <v/>
      </c>
      <c r="H139" s="107">
        <f>IF(AND($C139="",$I139="",$J139=""),"",N($E139)+N($F139)+N($G139))</f>
        <v/>
      </c>
      <c r="I139" s="108">
        <f>IF($A139="","",IFERROR(1/(1/SUMIFS(Expenses!$F5:$F1004,Expenses!$B5:$B1004,"Cash Advance",Expenses!$J5:$J1004,$R139,Expenses!$E5:$E1004,$A139)),""))</f>
        <v/>
      </c>
      <c r="J139" s="108">
        <f>IF($A139="","",IFERROR(1/(1/SUMIFS(Expenses!$F5:$F1004,Expenses!$B5:$B1004,"Payroll Payout",Expenses!$J5:$J1004,$R139,Expenses!$E5:$E1004,$A139)),""))</f>
        <v/>
      </c>
      <c r="K139" s="109">
        <f>IF($H139="","",N($H139)-N($I139)-N($J139))</f>
        <v/>
      </c>
      <c r="L139" s="110">
        <f>IF($K139="","",IF($K139&gt;0.5,"TO PAY",IF($K139&lt;-0.5,"ADVANCE / OWES","SETTLED")))</f>
        <v/>
      </c>
      <c r="R139" s="111" t="n">
        <v>46296</v>
      </c>
    </row>
    <row r="140">
      <c r="A140" s="103">
        <f>IF(Setup!$A84="","",Setup!$A84)</f>
        <v/>
      </c>
      <c r="B140" s="104">
        <f>IF($A140="","",Setup!$B84)</f>
        <v/>
      </c>
      <c r="C140" s="105">
        <f>IF($A140="","",IF(COUNTIFS(Trips!$Z5:$Z1004,$R140,Trips!$D5:$D1004,$A140)+COUNTIFS(Trips!$Z5:$Z1004,$R140,Trips!$E5:$E1004,$A140)=0,"",COUNTIFS(Trips!$Z5:$Z1004,$R140,Trips!$D5:$D1004,$A140)+COUNTIFS(Trips!$Z5:$Z1004,$R140,Trips!$E5:$E1004,$A140)))</f>
        <v/>
      </c>
      <c r="D140" s="106">
        <f>IF($C140="","",SUMIFS(Trips!$K5:$K1004,Trips!$Z5:$Z1004,$R140,Trips!$D5:$D1004,$A140)+SUMIFS(Trips!$K5:$K1004,Trips!$Z5:$Z1004,$R140,Trips!$E5:$E1004,$A140))</f>
        <v/>
      </c>
      <c r="E140" s="107">
        <f>IF($C140="","",SUMIFS(Trips!$N5:$N1004,Trips!$Z5:$Z1004,$R140,Trips!$D5:$D1004,$A140)+SUMIFS(Trips!$O5:$O1004,Trips!$Z5:$Z1004,$R140,Trips!$E5:$E1004,$A140))</f>
        <v/>
      </c>
      <c r="F140" s="108">
        <f>IF($C140="","",SUMIFS(Trips!$P5:$P1004,Trips!$Z5:$Z1004,$R140,Trips!$D5:$D1004,$A140))</f>
        <v/>
      </c>
      <c r="G140" s="108">
        <f>IF($C140="","",SUMIFS(Trips!$Q5:$Q1004,Trips!$Z5:$Z1004,$R140,Trips!$D5:$D1004,$A140))</f>
        <v/>
      </c>
      <c r="H140" s="107">
        <f>IF(AND($C140="",$I140="",$J140=""),"",N($E140)+N($F140)+N($G140))</f>
        <v/>
      </c>
      <c r="I140" s="108">
        <f>IF($A140="","",IFERROR(1/(1/SUMIFS(Expenses!$F5:$F1004,Expenses!$B5:$B1004,"Cash Advance",Expenses!$J5:$J1004,$R140,Expenses!$E5:$E1004,$A140)),""))</f>
        <v/>
      </c>
      <c r="J140" s="108">
        <f>IF($A140="","",IFERROR(1/(1/SUMIFS(Expenses!$F5:$F1004,Expenses!$B5:$B1004,"Payroll Payout",Expenses!$J5:$J1004,$R140,Expenses!$E5:$E1004,$A140)),""))</f>
        <v/>
      </c>
      <c r="K140" s="109">
        <f>IF($H140="","",N($H140)-N($I140)-N($J140))</f>
        <v/>
      </c>
      <c r="L140" s="110">
        <f>IF($K140="","",IF($K140&gt;0.5,"TO PAY",IF($K140&lt;-0.5,"ADVANCE / OWES","SETTLED")))</f>
        <v/>
      </c>
      <c r="R140" s="111" t="n">
        <v>46296</v>
      </c>
    </row>
    <row r="141">
      <c r="A141" s="103">
        <f>IF(Setup!$A85="","",Setup!$A85)</f>
        <v/>
      </c>
      <c r="B141" s="104">
        <f>IF($A141="","",Setup!$B85)</f>
        <v/>
      </c>
      <c r="C141" s="105">
        <f>IF($A141="","",IF(COUNTIFS(Trips!$Z5:$Z1004,$R141,Trips!$D5:$D1004,$A141)+COUNTIFS(Trips!$Z5:$Z1004,$R141,Trips!$E5:$E1004,$A141)=0,"",COUNTIFS(Trips!$Z5:$Z1004,$R141,Trips!$D5:$D1004,$A141)+COUNTIFS(Trips!$Z5:$Z1004,$R141,Trips!$E5:$E1004,$A141)))</f>
        <v/>
      </c>
      <c r="D141" s="106">
        <f>IF($C141="","",SUMIFS(Trips!$K5:$K1004,Trips!$Z5:$Z1004,$R141,Trips!$D5:$D1004,$A141)+SUMIFS(Trips!$K5:$K1004,Trips!$Z5:$Z1004,$R141,Trips!$E5:$E1004,$A141))</f>
        <v/>
      </c>
      <c r="E141" s="107">
        <f>IF($C141="","",SUMIFS(Trips!$N5:$N1004,Trips!$Z5:$Z1004,$R141,Trips!$D5:$D1004,$A141)+SUMIFS(Trips!$O5:$O1004,Trips!$Z5:$Z1004,$R141,Trips!$E5:$E1004,$A141))</f>
        <v/>
      </c>
      <c r="F141" s="108">
        <f>IF($C141="","",SUMIFS(Trips!$P5:$P1004,Trips!$Z5:$Z1004,$R141,Trips!$D5:$D1004,$A141))</f>
        <v/>
      </c>
      <c r="G141" s="108">
        <f>IF($C141="","",SUMIFS(Trips!$Q5:$Q1004,Trips!$Z5:$Z1004,$R141,Trips!$D5:$D1004,$A141))</f>
        <v/>
      </c>
      <c r="H141" s="107">
        <f>IF(AND($C141="",$I141="",$J141=""),"",N($E141)+N($F141)+N($G141))</f>
        <v/>
      </c>
      <c r="I141" s="108">
        <f>IF($A141="","",IFERROR(1/(1/SUMIFS(Expenses!$F5:$F1004,Expenses!$B5:$B1004,"Cash Advance",Expenses!$J5:$J1004,$R141,Expenses!$E5:$E1004,$A141)),""))</f>
        <v/>
      </c>
      <c r="J141" s="108">
        <f>IF($A141="","",IFERROR(1/(1/SUMIFS(Expenses!$F5:$F1004,Expenses!$B5:$B1004,"Payroll Payout",Expenses!$J5:$J1004,$R141,Expenses!$E5:$E1004,$A141)),""))</f>
        <v/>
      </c>
      <c r="K141" s="109">
        <f>IF($H141="","",N($H141)-N($I141)-N($J141))</f>
        <v/>
      </c>
      <c r="L141" s="110">
        <f>IF($K141="","",IF($K141&gt;0.5,"TO PAY",IF($K141&lt;-0.5,"ADVANCE / OWES","SETTLED")))</f>
        <v/>
      </c>
      <c r="R141" s="111" t="n">
        <v>46296</v>
      </c>
    </row>
    <row r="142">
      <c r="A142" s="103">
        <f>IF(Setup!$A86="","",Setup!$A86)</f>
        <v/>
      </c>
      <c r="B142" s="104">
        <f>IF($A142="","",Setup!$B86)</f>
        <v/>
      </c>
      <c r="C142" s="105">
        <f>IF($A142="","",IF(COUNTIFS(Trips!$Z5:$Z1004,$R142,Trips!$D5:$D1004,$A142)+COUNTIFS(Trips!$Z5:$Z1004,$R142,Trips!$E5:$E1004,$A142)=0,"",COUNTIFS(Trips!$Z5:$Z1004,$R142,Trips!$D5:$D1004,$A142)+COUNTIFS(Trips!$Z5:$Z1004,$R142,Trips!$E5:$E1004,$A142)))</f>
        <v/>
      </c>
      <c r="D142" s="106">
        <f>IF($C142="","",SUMIFS(Trips!$K5:$K1004,Trips!$Z5:$Z1004,$R142,Trips!$D5:$D1004,$A142)+SUMIFS(Trips!$K5:$K1004,Trips!$Z5:$Z1004,$R142,Trips!$E5:$E1004,$A142))</f>
        <v/>
      </c>
      <c r="E142" s="107">
        <f>IF($C142="","",SUMIFS(Trips!$N5:$N1004,Trips!$Z5:$Z1004,$R142,Trips!$D5:$D1004,$A142)+SUMIFS(Trips!$O5:$O1004,Trips!$Z5:$Z1004,$R142,Trips!$E5:$E1004,$A142))</f>
        <v/>
      </c>
      <c r="F142" s="108">
        <f>IF($C142="","",SUMIFS(Trips!$P5:$P1004,Trips!$Z5:$Z1004,$R142,Trips!$D5:$D1004,$A142))</f>
        <v/>
      </c>
      <c r="G142" s="108">
        <f>IF($C142="","",SUMIFS(Trips!$Q5:$Q1004,Trips!$Z5:$Z1004,$R142,Trips!$D5:$D1004,$A142))</f>
        <v/>
      </c>
      <c r="H142" s="107">
        <f>IF(AND($C142="",$I142="",$J142=""),"",N($E142)+N($F142)+N($G142))</f>
        <v/>
      </c>
      <c r="I142" s="108">
        <f>IF($A142="","",IFERROR(1/(1/SUMIFS(Expenses!$F5:$F1004,Expenses!$B5:$B1004,"Cash Advance",Expenses!$J5:$J1004,$R142,Expenses!$E5:$E1004,$A142)),""))</f>
        <v/>
      </c>
      <c r="J142" s="108">
        <f>IF($A142="","",IFERROR(1/(1/SUMIFS(Expenses!$F5:$F1004,Expenses!$B5:$B1004,"Payroll Payout",Expenses!$J5:$J1004,$R142,Expenses!$E5:$E1004,$A142)),""))</f>
        <v/>
      </c>
      <c r="K142" s="109">
        <f>IF($H142="","",N($H142)-N($I142)-N($J142))</f>
        <v/>
      </c>
      <c r="L142" s="110">
        <f>IF($K142="","",IF($K142&gt;0.5,"TO PAY",IF($K142&lt;-0.5,"ADVANCE / OWES","SETTLED")))</f>
        <v/>
      </c>
      <c r="R142" s="111" t="n">
        <v>46296</v>
      </c>
    </row>
    <row r="143">
      <c r="A143" s="103">
        <f>IF(Setup!$A87="","",Setup!$A87)</f>
        <v/>
      </c>
      <c r="B143" s="104">
        <f>IF($A143="","",Setup!$B87)</f>
        <v/>
      </c>
      <c r="C143" s="105">
        <f>IF($A143="","",IF(COUNTIFS(Trips!$Z5:$Z1004,$R143,Trips!$D5:$D1004,$A143)+COUNTIFS(Trips!$Z5:$Z1004,$R143,Trips!$E5:$E1004,$A143)=0,"",COUNTIFS(Trips!$Z5:$Z1004,$R143,Trips!$D5:$D1004,$A143)+COUNTIFS(Trips!$Z5:$Z1004,$R143,Trips!$E5:$E1004,$A143)))</f>
        <v/>
      </c>
      <c r="D143" s="106">
        <f>IF($C143="","",SUMIFS(Trips!$K5:$K1004,Trips!$Z5:$Z1004,$R143,Trips!$D5:$D1004,$A143)+SUMIFS(Trips!$K5:$K1004,Trips!$Z5:$Z1004,$R143,Trips!$E5:$E1004,$A143))</f>
        <v/>
      </c>
      <c r="E143" s="107">
        <f>IF($C143="","",SUMIFS(Trips!$N5:$N1004,Trips!$Z5:$Z1004,$R143,Trips!$D5:$D1004,$A143)+SUMIFS(Trips!$O5:$O1004,Trips!$Z5:$Z1004,$R143,Trips!$E5:$E1004,$A143))</f>
        <v/>
      </c>
      <c r="F143" s="108">
        <f>IF($C143="","",SUMIFS(Trips!$P5:$P1004,Trips!$Z5:$Z1004,$R143,Trips!$D5:$D1004,$A143))</f>
        <v/>
      </c>
      <c r="G143" s="108">
        <f>IF($C143="","",SUMIFS(Trips!$Q5:$Q1004,Trips!$Z5:$Z1004,$R143,Trips!$D5:$D1004,$A143))</f>
        <v/>
      </c>
      <c r="H143" s="107">
        <f>IF(AND($C143="",$I143="",$J143=""),"",N($E143)+N($F143)+N($G143))</f>
        <v/>
      </c>
      <c r="I143" s="108">
        <f>IF($A143="","",IFERROR(1/(1/SUMIFS(Expenses!$F5:$F1004,Expenses!$B5:$B1004,"Cash Advance",Expenses!$J5:$J1004,$R143,Expenses!$E5:$E1004,$A143)),""))</f>
        <v/>
      </c>
      <c r="J143" s="108">
        <f>IF($A143="","",IFERROR(1/(1/SUMIFS(Expenses!$F5:$F1004,Expenses!$B5:$B1004,"Payroll Payout",Expenses!$J5:$J1004,$R143,Expenses!$E5:$E1004,$A143)),""))</f>
        <v/>
      </c>
      <c r="K143" s="109">
        <f>IF($H143="","",N($H143)-N($I143)-N($J143))</f>
        <v/>
      </c>
      <c r="L143" s="110">
        <f>IF($K143="","",IF($K143&gt;0.5,"TO PAY",IF($K143&lt;-0.5,"ADVANCE / OWES","SETTLED")))</f>
        <v/>
      </c>
      <c r="R143" s="111" t="n">
        <v>46296</v>
      </c>
    </row>
    <row r="144">
      <c r="A144" s="112" t="inlineStr">
        <is>
          <t>MONTH TOTAL</t>
        </is>
      </c>
      <c r="B144" s="113" t="n"/>
      <c r="C144" s="114">
        <f>IF(COUNT(C132:C143)=0,"",SUM(C132:C143))</f>
        <v/>
      </c>
      <c r="D144" s="115">
        <f>IF(COUNT(D132:D143)=0,"",SUM(D132:D143))</f>
        <v/>
      </c>
      <c r="E144" s="116">
        <f>IF(COUNT(E132:E143)=0,"",SUM(E132:E143))</f>
        <v/>
      </c>
      <c r="F144" s="116">
        <f>IF(COUNT(F132:F143)=0,"",SUM(F132:F143))</f>
        <v/>
      </c>
      <c r="G144" s="116">
        <f>IF(COUNT(G132:G143)=0,"",SUM(G132:G143))</f>
        <v/>
      </c>
      <c r="H144" s="116">
        <f>IF(COUNT(H132:H143)=0,"",SUM(H132:H143))</f>
        <v/>
      </c>
      <c r="I144" s="116">
        <f>IF(COUNT(I132:I143)=0,"",SUM(I132:I143))</f>
        <v/>
      </c>
      <c r="J144" s="116">
        <f>IF(COUNT(J132:J143)=0,"",SUM(J132:J143))</f>
        <v/>
      </c>
      <c r="K144" s="116">
        <f>IF(COUNT(K132:K143)=0,"",SUM(K132:K143))</f>
        <v/>
      </c>
      <c r="L144" s="117" t="n"/>
    </row>
    <row r="145" ht="24" customHeight="1">
      <c r="A145" s="102" t="inlineStr">
        <is>
          <t>NOVEMBER 2026   ·   crew earnings &amp; settlement</t>
        </is>
      </c>
    </row>
    <row r="146">
      <c r="A146" s="103">
        <f>IF(Setup!$A76="","",Setup!$A76)</f>
        <v/>
      </c>
      <c r="B146" s="104">
        <f>IF($A146="","",Setup!$B76)</f>
        <v/>
      </c>
      <c r="C146" s="105">
        <f>IF($A146="","",IF(COUNTIFS(Trips!$Z5:$Z1004,$R146,Trips!$D5:$D1004,$A146)+COUNTIFS(Trips!$Z5:$Z1004,$R146,Trips!$E5:$E1004,$A146)=0,"",COUNTIFS(Trips!$Z5:$Z1004,$R146,Trips!$D5:$D1004,$A146)+COUNTIFS(Trips!$Z5:$Z1004,$R146,Trips!$E5:$E1004,$A146)))</f>
        <v/>
      </c>
      <c r="D146" s="106">
        <f>IF($C146="","",SUMIFS(Trips!$K5:$K1004,Trips!$Z5:$Z1004,$R146,Trips!$D5:$D1004,$A146)+SUMIFS(Trips!$K5:$K1004,Trips!$Z5:$Z1004,$R146,Trips!$E5:$E1004,$A146))</f>
        <v/>
      </c>
      <c r="E146" s="107">
        <f>IF($C146="","",SUMIFS(Trips!$N5:$N1004,Trips!$Z5:$Z1004,$R146,Trips!$D5:$D1004,$A146)+SUMIFS(Trips!$O5:$O1004,Trips!$Z5:$Z1004,$R146,Trips!$E5:$E1004,$A146))</f>
        <v/>
      </c>
      <c r="F146" s="108">
        <f>IF($C146="","",SUMIFS(Trips!$P5:$P1004,Trips!$Z5:$Z1004,$R146,Trips!$D5:$D1004,$A146))</f>
        <v/>
      </c>
      <c r="G146" s="108">
        <f>IF($C146="","",SUMIFS(Trips!$Q5:$Q1004,Trips!$Z5:$Z1004,$R146,Trips!$D5:$D1004,$A146))</f>
        <v/>
      </c>
      <c r="H146" s="107">
        <f>IF(AND($C146="",$I146="",$J146=""),"",N($E146)+N($F146)+N($G146))</f>
        <v/>
      </c>
      <c r="I146" s="108">
        <f>IF($A146="","",IFERROR(1/(1/SUMIFS(Expenses!$F5:$F1004,Expenses!$B5:$B1004,"Cash Advance",Expenses!$J5:$J1004,$R146,Expenses!$E5:$E1004,$A146)),""))</f>
        <v/>
      </c>
      <c r="J146" s="108">
        <f>IF($A146="","",IFERROR(1/(1/SUMIFS(Expenses!$F5:$F1004,Expenses!$B5:$B1004,"Payroll Payout",Expenses!$J5:$J1004,$R146,Expenses!$E5:$E1004,$A146)),""))</f>
        <v/>
      </c>
      <c r="K146" s="109">
        <f>IF($H146="","",N($H146)-N($I146)-N($J146))</f>
        <v/>
      </c>
      <c r="L146" s="110">
        <f>IF($K146="","",IF($K146&gt;0.5,"TO PAY",IF($K146&lt;-0.5,"ADVANCE / OWES","SETTLED")))</f>
        <v/>
      </c>
      <c r="R146" s="111" t="n">
        <v>46327</v>
      </c>
    </row>
    <row r="147">
      <c r="A147" s="103">
        <f>IF(Setup!$A77="","",Setup!$A77)</f>
        <v/>
      </c>
      <c r="B147" s="104">
        <f>IF($A147="","",Setup!$B77)</f>
        <v/>
      </c>
      <c r="C147" s="105">
        <f>IF($A147="","",IF(COUNTIFS(Trips!$Z5:$Z1004,$R147,Trips!$D5:$D1004,$A147)+COUNTIFS(Trips!$Z5:$Z1004,$R147,Trips!$E5:$E1004,$A147)=0,"",COUNTIFS(Trips!$Z5:$Z1004,$R147,Trips!$D5:$D1004,$A147)+COUNTIFS(Trips!$Z5:$Z1004,$R147,Trips!$E5:$E1004,$A147)))</f>
        <v/>
      </c>
      <c r="D147" s="106">
        <f>IF($C147="","",SUMIFS(Trips!$K5:$K1004,Trips!$Z5:$Z1004,$R147,Trips!$D5:$D1004,$A147)+SUMIFS(Trips!$K5:$K1004,Trips!$Z5:$Z1004,$R147,Trips!$E5:$E1004,$A147))</f>
        <v/>
      </c>
      <c r="E147" s="107">
        <f>IF($C147="","",SUMIFS(Trips!$N5:$N1004,Trips!$Z5:$Z1004,$R147,Trips!$D5:$D1004,$A147)+SUMIFS(Trips!$O5:$O1004,Trips!$Z5:$Z1004,$R147,Trips!$E5:$E1004,$A147))</f>
        <v/>
      </c>
      <c r="F147" s="108">
        <f>IF($C147="","",SUMIFS(Trips!$P5:$P1004,Trips!$Z5:$Z1004,$R147,Trips!$D5:$D1004,$A147))</f>
        <v/>
      </c>
      <c r="G147" s="108">
        <f>IF($C147="","",SUMIFS(Trips!$Q5:$Q1004,Trips!$Z5:$Z1004,$R147,Trips!$D5:$D1004,$A147))</f>
        <v/>
      </c>
      <c r="H147" s="107">
        <f>IF(AND($C147="",$I147="",$J147=""),"",N($E147)+N($F147)+N($G147))</f>
        <v/>
      </c>
      <c r="I147" s="108">
        <f>IF($A147="","",IFERROR(1/(1/SUMIFS(Expenses!$F5:$F1004,Expenses!$B5:$B1004,"Cash Advance",Expenses!$J5:$J1004,$R147,Expenses!$E5:$E1004,$A147)),""))</f>
        <v/>
      </c>
      <c r="J147" s="108">
        <f>IF($A147="","",IFERROR(1/(1/SUMIFS(Expenses!$F5:$F1004,Expenses!$B5:$B1004,"Payroll Payout",Expenses!$J5:$J1004,$R147,Expenses!$E5:$E1004,$A147)),""))</f>
        <v/>
      </c>
      <c r="K147" s="109">
        <f>IF($H147="","",N($H147)-N($I147)-N($J147))</f>
        <v/>
      </c>
      <c r="L147" s="110">
        <f>IF($K147="","",IF($K147&gt;0.5,"TO PAY",IF($K147&lt;-0.5,"ADVANCE / OWES","SETTLED")))</f>
        <v/>
      </c>
      <c r="R147" s="111" t="n">
        <v>46327</v>
      </c>
    </row>
    <row r="148">
      <c r="A148" s="103">
        <f>IF(Setup!$A78="","",Setup!$A78)</f>
        <v/>
      </c>
      <c r="B148" s="104">
        <f>IF($A148="","",Setup!$B78)</f>
        <v/>
      </c>
      <c r="C148" s="105">
        <f>IF($A148="","",IF(COUNTIFS(Trips!$Z5:$Z1004,$R148,Trips!$D5:$D1004,$A148)+COUNTIFS(Trips!$Z5:$Z1004,$R148,Trips!$E5:$E1004,$A148)=0,"",COUNTIFS(Trips!$Z5:$Z1004,$R148,Trips!$D5:$D1004,$A148)+COUNTIFS(Trips!$Z5:$Z1004,$R148,Trips!$E5:$E1004,$A148)))</f>
        <v/>
      </c>
      <c r="D148" s="106">
        <f>IF($C148="","",SUMIFS(Trips!$K5:$K1004,Trips!$Z5:$Z1004,$R148,Trips!$D5:$D1004,$A148)+SUMIFS(Trips!$K5:$K1004,Trips!$Z5:$Z1004,$R148,Trips!$E5:$E1004,$A148))</f>
        <v/>
      </c>
      <c r="E148" s="107">
        <f>IF($C148="","",SUMIFS(Trips!$N5:$N1004,Trips!$Z5:$Z1004,$R148,Trips!$D5:$D1004,$A148)+SUMIFS(Trips!$O5:$O1004,Trips!$Z5:$Z1004,$R148,Trips!$E5:$E1004,$A148))</f>
        <v/>
      </c>
      <c r="F148" s="108">
        <f>IF($C148="","",SUMIFS(Trips!$P5:$P1004,Trips!$Z5:$Z1004,$R148,Trips!$D5:$D1004,$A148))</f>
        <v/>
      </c>
      <c r="G148" s="108">
        <f>IF($C148="","",SUMIFS(Trips!$Q5:$Q1004,Trips!$Z5:$Z1004,$R148,Trips!$D5:$D1004,$A148))</f>
        <v/>
      </c>
      <c r="H148" s="107">
        <f>IF(AND($C148="",$I148="",$J148=""),"",N($E148)+N($F148)+N($G148))</f>
        <v/>
      </c>
      <c r="I148" s="108">
        <f>IF($A148="","",IFERROR(1/(1/SUMIFS(Expenses!$F5:$F1004,Expenses!$B5:$B1004,"Cash Advance",Expenses!$J5:$J1004,$R148,Expenses!$E5:$E1004,$A148)),""))</f>
        <v/>
      </c>
      <c r="J148" s="108">
        <f>IF($A148="","",IFERROR(1/(1/SUMIFS(Expenses!$F5:$F1004,Expenses!$B5:$B1004,"Payroll Payout",Expenses!$J5:$J1004,$R148,Expenses!$E5:$E1004,$A148)),""))</f>
        <v/>
      </c>
      <c r="K148" s="109">
        <f>IF($H148="","",N($H148)-N($I148)-N($J148))</f>
        <v/>
      </c>
      <c r="L148" s="110">
        <f>IF($K148="","",IF($K148&gt;0.5,"TO PAY",IF($K148&lt;-0.5,"ADVANCE / OWES","SETTLED")))</f>
        <v/>
      </c>
      <c r="R148" s="111" t="n">
        <v>46327</v>
      </c>
    </row>
    <row r="149">
      <c r="A149" s="103">
        <f>IF(Setup!$A79="","",Setup!$A79)</f>
        <v/>
      </c>
      <c r="B149" s="104">
        <f>IF($A149="","",Setup!$B79)</f>
        <v/>
      </c>
      <c r="C149" s="105">
        <f>IF($A149="","",IF(COUNTIFS(Trips!$Z5:$Z1004,$R149,Trips!$D5:$D1004,$A149)+COUNTIFS(Trips!$Z5:$Z1004,$R149,Trips!$E5:$E1004,$A149)=0,"",COUNTIFS(Trips!$Z5:$Z1004,$R149,Trips!$D5:$D1004,$A149)+COUNTIFS(Trips!$Z5:$Z1004,$R149,Trips!$E5:$E1004,$A149)))</f>
        <v/>
      </c>
      <c r="D149" s="106">
        <f>IF($C149="","",SUMIFS(Trips!$K5:$K1004,Trips!$Z5:$Z1004,$R149,Trips!$D5:$D1004,$A149)+SUMIFS(Trips!$K5:$K1004,Trips!$Z5:$Z1004,$R149,Trips!$E5:$E1004,$A149))</f>
        <v/>
      </c>
      <c r="E149" s="107">
        <f>IF($C149="","",SUMIFS(Trips!$N5:$N1004,Trips!$Z5:$Z1004,$R149,Trips!$D5:$D1004,$A149)+SUMIFS(Trips!$O5:$O1004,Trips!$Z5:$Z1004,$R149,Trips!$E5:$E1004,$A149))</f>
        <v/>
      </c>
      <c r="F149" s="108">
        <f>IF($C149="","",SUMIFS(Trips!$P5:$P1004,Trips!$Z5:$Z1004,$R149,Trips!$D5:$D1004,$A149))</f>
        <v/>
      </c>
      <c r="G149" s="108">
        <f>IF($C149="","",SUMIFS(Trips!$Q5:$Q1004,Trips!$Z5:$Z1004,$R149,Trips!$D5:$D1004,$A149))</f>
        <v/>
      </c>
      <c r="H149" s="107">
        <f>IF(AND($C149="",$I149="",$J149=""),"",N($E149)+N($F149)+N($G149))</f>
        <v/>
      </c>
      <c r="I149" s="108">
        <f>IF($A149="","",IFERROR(1/(1/SUMIFS(Expenses!$F5:$F1004,Expenses!$B5:$B1004,"Cash Advance",Expenses!$J5:$J1004,$R149,Expenses!$E5:$E1004,$A149)),""))</f>
        <v/>
      </c>
      <c r="J149" s="108">
        <f>IF($A149="","",IFERROR(1/(1/SUMIFS(Expenses!$F5:$F1004,Expenses!$B5:$B1004,"Payroll Payout",Expenses!$J5:$J1004,$R149,Expenses!$E5:$E1004,$A149)),""))</f>
        <v/>
      </c>
      <c r="K149" s="109">
        <f>IF($H149="","",N($H149)-N($I149)-N($J149))</f>
        <v/>
      </c>
      <c r="L149" s="110">
        <f>IF($K149="","",IF($K149&gt;0.5,"TO PAY",IF($K149&lt;-0.5,"ADVANCE / OWES","SETTLED")))</f>
        <v/>
      </c>
      <c r="R149" s="111" t="n">
        <v>46327</v>
      </c>
    </row>
    <row r="150">
      <c r="A150" s="103">
        <f>IF(Setup!$A80="","",Setup!$A80)</f>
        <v/>
      </c>
      <c r="B150" s="104">
        <f>IF($A150="","",Setup!$B80)</f>
        <v/>
      </c>
      <c r="C150" s="105">
        <f>IF($A150="","",IF(COUNTIFS(Trips!$Z5:$Z1004,$R150,Trips!$D5:$D1004,$A150)+COUNTIFS(Trips!$Z5:$Z1004,$R150,Trips!$E5:$E1004,$A150)=0,"",COUNTIFS(Trips!$Z5:$Z1004,$R150,Trips!$D5:$D1004,$A150)+COUNTIFS(Trips!$Z5:$Z1004,$R150,Trips!$E5:$E1004,$A150)))</f>
        <v/>
      </c>
      <c r="D150" s="106">
        <f>IF($C150="","",SUMIFS(Trips!$K5:$K1004,Trips!$Z5:$Z1004,$R150,Trips!$D5:$D1004,$A150)+SUMIFS(Trips!$K5:$K1004,Trips!$Z5:$Z1004,$R150,Trips!$E5:$E1004,$A150))</f>
        <v/>
      </c>
      <c r="E150" s="107">
        <f>IF($C150="","",SUMIFS(Trips!$N5:$N1004,Trips!$Z5:$Z1004,$R150,Trips!$D5:$D1004,$A150)+SUMIFS(Trips!$O5:$O1004,Trips!$Z5:$Z1004,$R150,Trips!$E5:$E1004,$A150))</f>
        <v/>
      </c>
      <c r="F150" s="108">
        <f>IF($C150="","",SUMIFS(Trips!$P5:$P1004,Trips!$Z5:$Z1004,$R150,Trips!$D5:$D1004,$A150))</f>
        <v/>
      </c>
      <c r="G150" s="108">
        <f>IF($C150="","",SUMIFS(Trips!$Q5:$Q1004,Trips!$Z5:$Z1004,$R150,Trips!$D5:$D1004,$A150))</f>
        <v/>
      </c>
      <c r="H150" s="107">
        <f>IF(AND($C150="",$I150="",$J150=""),"",N($E150)+N($F150)+N($G150))</f>
        <v/>
      </c>
      <c r="I150" s="108">
        <f>IF($A150="","",IFERROR(1/(1/SUMIFS(Expenses!$F5:$F1004,Expenses!$B5:$B1004,"Cash Advance",Expenses!$J5:$J1004,$R150,Expenses!$E5:$E1004,$A150)),""))</f>
        <v/>
      </c>
      <c r="J150" s="108">
        <f>IF($A150="","",IFERROR(1/(1/SUMIFS(Expenses!$F5:$F1004,Expenses!$B5:$B1004,"Payroll Payout",Expenses!$J5:$J1004,$R150,Expenses!$E5:$E1004,$A150)),""))</f>
        <v/>
      </c>
      <c r="K150" s="109">
        <f>IF($H150="","",N($H150)-N($I150)-N($J150))</f>
        <v/>
      </c>
      <c r="L150" s="110">
        <f>IF($K150="","",IF($K150&gt;0.5,"TO PAY",IF($K150&lt;-0.5,"ADVANCE / OWES","SETTLED")))</f>
        <v/>
      </c>
      <c r="R150" s="111" t="n">
        <v>46327</v>
      </c>
    </row>
    <row r="151">
      <c r="A151" s="103">
        <f>IF(Setup!$A81="","",Setup!$A81)</f>
        <v/>
      </c>
      <c r="B151" s="104">
        <f>IF($A151="","",Setup!$B81)</f>
        <v/>
      </c>
      <c r="C151" s="105">
        <f>IF($A151="","",IF(COUNTIFS(Trips!$Z5:$Z1004,$R151,Trips!$D5:$D1004,$A151)+COUNTIFS(Trips!$Z5:$Z1004,$R151,Trips!$E5:$E1004,$A151)=0,"",COUNTIFS(Trips!$Z5:$Z1004,$R151,Trips!$D5:$D1004,$A151)+COUNTIFS(Trips!$Z5:$Z1004,$R151,Trips!$E5:$E1004,$A151)))</f>
        <v/>
      </c>
      <c r="D151" s="106">
        <f>IF($C151="","",SUMIFS(Trips!$K5:$K1004,Trips!$Z5:$Z1004,$R151,Trips!$D5:$D1004,$A151)+SUMIFS(Trips!$K5:$K1004,Trips!$Z5:$Z1004,$R151,Trips!$E5:$E1004,$A151))</f>
        <v/>
      </c>
      <c r="E151" s="107">
        <f>IF($C151="","",SUMIFS(Trips!$N5:$N1004,Trips!$Z5:$Z1004,$R151,Trips!$D5:$D1004,$A151)+SUMIFS(Trips!$O5:$O1004,Trips!$Z5:$Z1004,$R151,Trips!$E5:$E1004,$A151))</f>
        <v/>
      </c>
      <c r="F151" s="108">
        <f>IF($C151="","",SUMIFS(Trips!$P5:$P1004,Trips!$Z5:$Z1004,$R151,Trips!$D5:$D1004,$A151))</f>
        <v/>
      </c>
      <c r="G151" s="108">
        <f>IF($C151="","",SUMIFS(Trips!$Q5:$Q1004,Trips!$Z5:$Z1004,$R151,Trips!$D5:$D1004,$A151))</f>
        <v/>
      </c>
      <c r="H151" s="107">
        <f>IF(AND($C151="",$I151="",$J151=""),"",N($E151)+N($F151)+N($G151))</f>
        <v/>
      </c>
      <c r="I151" s="108">
        <f>IF($A151="","",IFERROR(1/(1/SUMIFS(Expenses!$F5:$F1004,Expenses!$B5:$B1004,"Cash Advance",Expenses!$J5:$J1004,$R151,Expenses!$E5:$E1004,$A151)),""))</f>
        <v/>
      </c>
      <c r="J151" s="108">
        <f>IF($A151="","",IFERROR(1/(1/SUMIFS(Expenses!$F5:$F1004,Expenses!$B5:$B1004,"Payroll Payout",Expenses!$J5:$J1004,$R151,Expenses!$E5:$E1004,$A151)),""))</f>
        <v/>
      </c>
      <c r="K151" s="109">
        <f>IF($H151="","",N($H151)-N($I151)-N($J151))</f>
        <v/>
      </c>
      <c r="L151" s="110">
        <f>IF($K151="","",IF($K151&gt;0.5,"TO PAY",IF($K151&lt;-0.5,"ADVANCE / OWES","SETTLED")))</f>
        <v/>
      </c>
      <c r="R151" s="111" t="n">
        <v>46327</v>
      </c>
    </row>
    <row r="152">
      <c r="A152" s="103">
        <f>IF(Setup!$A82="","",Setup!$A82)</f>
        <v/>
      </c>
      <c r="B152" s="104">
        <f>IF($A152="","",Setup!$B82)</f>
        <v/>
      </c>
      <c r="C152" s="105">
        <f>IF($A152="","",IF(COUNTIFS(Trips!$Z5:$Z1004,$R152,Trips!$D5:$D1004,$A152)+COUNTIFS(Trips!$Z5:$Z1004,$R152,Trips!$E5:$E1004,$A152)=0,"",COUNTIFS(Trips!$Z5:$Z1004,$R152,Trips!$D5:$D1004,$A152)+COUNTIFS(Trips!$Z5:$Z1004,$R152,Trips!$E5:$E1004,$A152)))</f>
        <v/>
      </c>
      <c r="D152" s="106">
        <f>IF($C152="","",SUMIFS(Trips!$K5:$K1004,Trips!$Z5:$Z1004,$R152,Trips!$D5:$D1004,$A152)+SUMIFS(Trips!$K5:$K1004,Trips!$Z5:$Z1004,$R152,Trips!$E5:$E1004,$A152))</f>
        <v/>
      </c>
      <c r="E152" s="107">
        <f>IF($C152="","",SUMIFS(Trips!$N5:$N1004,Trips!$Z5:$Z1004,$R152,Trips!$D5:$D1004,$A152)+SUMIFS(Trips!$O5:$O1004,Trips!$Z5:$Z1004,$R152,Trips!$E5:$E1004,$A152))</f>
        <v/>
      </c>
      <c r="F152" s="108">
        <f>IF($C152="","",SUMIFS(Trips!$P5:$P1004,Trips!$Z5:$Z1004,$R152,Trips!$D5:$D1004,$A152))</f>
        <v/>
      </c>
      <c r="G152" s="108">
        <f>IF($C152="","",SUMIFS(Trips!$Q5:$Q1004,Trips!$Z5:$Z1004,$R152,Trips!$D5:$D1004,$A152))</f>
        <v/>
      </c>
      <c r="H152" s="107">
        <f>IF(AND($C152="",$I152="",$J152=""),"",N($E152)+N($F152)+N($G152))</f>
        <v/>
      </c>
      <c r="I152" s="108">
        <f>IF($A152="","",IFERROR(1/(1/SUMIFS(Expenses!$F5:$F1004,Expenses!$B5:$B1004,"Cash Advance",Expenses!$J5:$J1004,$R152,Expenses!$E5:$E1004,$A152)),""))</f>
        <v/>
      </c>
      <c r="J152" s="108">
        <f>IF($A152="","",IFERROR(1/(1/SUMIFS(Expenses!$F5:$F1004,Expenses!$B5:$B1004,"Payroll Payout",Expenses!$J5:$J1004,$R152,Expenses!$E5:$E1004,$A152)),""))</f>
        <v/>
      </c>
      <c r="K152" s="109">
        <f>IF($H152="","",N($H152)-N($I152)-N($J152))</f>
        <v/>
      </c>
      <c r="L152" s="110">
        <f>IF($K152="","",IF($K152&gt;0.5,"TO PAY",IF($K152&lt;-0.5,"ADVANCE / OWES","SETTLED")))</f>
        <v/>
      </c>
      <c r="R152" s="111" t="n">
        <v>46327</v>
      </c>
    </row>
    <row r="153">
      <c r="A153" s="103">
        <f>IF(Setup!$A83="","",Setup!$A83)</f>
        <v/>
      </c>
      <c r="B153" s="104">
        <f>IF($A153="","",Setup!$B83)</f>
        <v/>
      </c>
      <c r="C153" s="105">
        <f>IF($A153="","",IF(COUNTIFS(Trips!$Z5:$Z1004,$R153,Trips!$D5:$D1004,$A153)+COUNTIFS(Trips!$Z5:$Z1004,$R153,Trips!$E5:$E1004,$A153)=0,"",COUNTIFS(Trips!$Z5:$Z1004,$R153,Trips!$D5:$D1004,$A153)+COUNTIFS(Trips!$Z5:$Z1004,$R153,Trips!$E5:$E1004,$A153)))</f>
        <v/>
      </c>
      <c r="D153" s="106">
        <f>IF($C153="","",SUMIFS(Trips!$K5:$K1004,Trips!$Z5:$Z1004,$R153,Trips!$D5:$D1004,$A153)+SUMIFS(Trips!$K5:$K1004,Trips!$Z5:$Z1004,$R153,Trips!$E5:$E1004,$A153))</f>
        <v/>
      </c>
      <c r="E153" s="107">
        <f>IF($C153="","",SUMIFS(Trips!$N5:$N1004,Trips!$Z5:$Z1004,$R153,Trips!$D5:$D1004,$A153)+SUMIFS(Trips!$O5:$O1004,Trips!$Z5:$Z1004,$R153,Trips!$E5:$E1004,$A153))</f>
        <v/>
      </c>
      <c r="F153" s="108">
        <f>IF($C153="","",SUMIFS(Trips!$P5:$P1004,Trips!$Z5:$Z1004,$R153,Trips!$D5:$D1004,$A153))</f>
        <v/>
      </c>
      <c r="G153" s="108">
        <f>IF($C153="","",SUMIFS(Trips!$Q5:$Q1004,Trips!$Z5:$Z1004,$R153,Trips!$D5:$D1004,$A153))</f>
        <v/>
      </c>
      <c r="H153" s="107">
        <f>IF(AND($C153="",$I153="",$J153=""),"",N($E153)+N($F153)+N($G153))</f>
        <v/>
      </c>
      <c r="I153" s="108">
        <f>IF($A153="","",IFERROR(1/(1/SUMIFS(Expenses!$F5:$F1004,Expenses!$B5:$B1004,"Cash Advance",Expenses!$J5:$J1004,$R153,Expenses!$E5:$E1004,$A153)),""))</f>
        <v/>
      </c>
      <c r="J153" s="108">
        <f>IF($A153="","",IFERROR(1/(1/SUMIFS(Expenses!$F5:$F1004,Expenses!$B5:$B1004,"Payroll Payout",Expenses!$J5:$J1004,$R153,Expenses!$E5:$E1004,$A153)),""))</f>
        <v/>
      </c>
      <c r="K153" s="109">
        <f>IF($H153="","",N($H153)-N($I153)-N($J153))</f>
        <v/>
      </c>
      <c r="L153" s="110">
        <f>IF($K153="","",IF($K153&gt;0.5,"TO PAY",IF($K153&lt;-0.5,"ADVANCE / OWES","SETTLED")))</f>
        <v/>
      </c>
      <c r="R153" s="111" t="n">
        <v>46327</v>
      </c>
    </row>
    <row r="154">
      <c r="A154" s="103">
        <f>IF(Setup!$A84="","",Setup!$A84)</f>
        <v/>
      </c>
      <c r="B154" s="104">
        <f>IF($A154="","",Setup!$B84)</f>
        <v/>
      </c>
      <c r="C154" s="105">
        <f>IF($A154="","",IF(COUNTIFS(Trips!$Z5:$Z1004,$R154,Trips!$D5:$D1004,$A154)+COUNTIFS(Trips!$Z5:$Z1004,$R154,Trips!$E5:$E1004,$A154)=0,"",COUNTIFS(Trips!$Z5:$Z1004,$R154,Trips!$D5:$D1004,$A154)+COUNTIFS(Trips!$Z5:$Z1004,$R154,Trips!$E5:$E1004,$A154)))</f>
        <v/>
      </c>
      <c r="D154" s="106">
        <f>IF($C154="","",SUMIFS(Trips!$K5:$K1004,Trips!$Z5:$Z1004,$R154,Trips!$D5:$D1004,$A154)+SUMIFS(Trips!$K5:$K1004,Trips!$Z5:$Z1004,$R154,Trips!$E5:$E1004,$A154))</f>
        <v/>
      </c>
      <c r="E154" s="107">
        <f>IF($C154="","",SUMIFS(Trips!$N5:$N1004,Trips!$Z5:$Z1004,$R154,Trips!$D5:$D1004,$A154)+SUMIFS(Trips!$O5:$O1004,Trips!$Z5:$Z1004,$R154,Trips!$E5:$E1004,$A154))</f>
        <v/>
      </c>
      <c r="F154" s="108">
        <f>IF($C154="","",SUMIFS(Trips!$P5:$P1004,Trips!$Z5:$Z1004,$R154,Trips!$D5:$D1004,$A154))</f>
        <v/>
      </c>
      <c r="G154" s="108">
        <f>IF($C154="","",SUMIFS(Trips!$Q5:$Q1004,Trips!$Z5:$Z1004,$R154,Trips!$D5:$D1004,$A154))</f>
        <v/>
      </c>
      <c r="H154" s="107">
        <f>IF(AND($C154="",$I154="",$J154=""),"",N($E154)+N($F154)+N($G154))</f>
        <v/>
      </c>
      <c r="I154" s="108">
        <f>IF($A154="","",IFERROR(1/(1/SUMIFS(Expenses!$F5:$F1004,Expenses!$B5:$B1004,"Cash Advance",Expenses!$J5:$J1004,$R154,Expenses!$E5:$E1004,$A154)),""))</f>
        <v/>
      </c>
      <c r="J154" s="108">
        <f>IF($A154="","",IFERROR(1/(1/SUMIFS(Expenses!$F5:$F1004,Expenses!$B5:$B1004,"Payroll Payout",Expenses!$J5:$J1004,$R154,Expenses!$E5:$E1004,$A154)),""))</f>
        <v/>
      </c>
      <c r="K154" s="109">
        <f>IF($H154="","",N($H154)-N($I154)-N($J154))</f>
        <v/>
      </c>
      <c r="L154" s="110">
        <f>IF($K154="","",IF($K154&gt;0.5,"TO PAY",IF($K154&lt;-0.5,"ADVANCE / OWES","SETTLED")))</f>
        <v/>
      </c>
      <c r="R154" s="111" t="n">
        <v>46327</v>
      </c>
    </row>
    <row r="155">
      <c r="A155" s="103">
        <f>IF(Setup!$A85="","",Setup!$A85)</f>
        <v/>
      </c>
      <c r="B155" s="104">
        <f>IF($A155="","",Setup!$B85)</f>
        <v/>
      </c>
      <c r="C155" s="105">
        <f>IF($A155="","",IF(COUNTIFS(Trips!$Z5:$Z1004,$R155,Trips!$D5:$D1004,$A155)+COUNTIFS(Trips!$Z5:$Z1004,$R155,Trips!$E5:$E1004,$A155)=0,"",COUNTIFS(Trips!$Z5:$Z1004,$R155,Trips!$D5:$D1004,$A155)+COUNTIFS(Trips!$Z5:$Z1004,$R155,Trips!$E5:$E1004,$A155)))</f>
        <v/>
      </c>
      <c r="D155" s="106">
        <f>IF($C155="","",SUMIFS(Trips!$K5:$K1004,Trips!$Z5:$Z1004,$R155,Trips!$D5:$D1004,$A155)+SUMIFS(Trips!$K5:$K1004,Trips!$Z5:$Z1004,$R155,Trips!$E5:$E1004,$A155))</f>
        <v/>
      </c>
      <c r="E155" s="107">
        <f>IF($C155="","",SUMIFS(Trips!$N5:$N1004,Trips!$Z5:$Z1004,$R155,Trips!$D5:$D1004,$A155)+SUMIFS(Trips!$O5:$O1004,Trips!$Z5:$Z1004,$R155,Trips!$E5:$E1004,$A155))</f>
        <v/>
      </c>
      <c r="F155" s="108">
        <f>IF($C155="","",SUMIFS(Trips!$P5:$P1004,Trips!$Z5:$Z1004,$R155,Trips!$D5:$D1004,$A155))</f>
        <v/>
      </c>
      <c r="G155" s="108">
        <f>IF($C155="","",SUMIFS(Trips!$Q5:$Q1004,Trips!$Z5:$Z1004,$R155,Trips!$D5:$D1004,$A155))</f>
        <v/>
      </c>
      <c r="H155" s="107">
        <f>IF(AND($C155="",$I155="",$J155=""),"",N($E155)+N($F155)+N($G155))</f>
        <v/>
      </c>
      <c r="I155" s="108">
        <f>IF($A155="","",IFERROR(1/(1/SUMIFS(Expenses!$F5:$F1004,Expenses!$B5:$B1004,"Cash Advance",Expenses!$J5:$J1004,$R155,Expenses!$E5:$E1004,$A155)),""))</f>
        <v/>
      </c>
      <c r="J155" s="108">
        <f>IF($A155="","",IFERROR(1/(1/SUMIFS(Expenses!$F5:$F1004,Expenses!$B5:$B1004,"Payroll Payout",Expenses!$J5:$J1004,$R155,Expenses!$E5:$E1004,$A155)),""))</f>
        <v/>
      </c>
      <c r="K155" s="109">
        <f>IF($H155="","",N($H155)-N($I155)-N($J155))</f>
        <v/>
      </c>
      <c r="L155" s="110">
        <f>IF($K155="","",IF($K155&gt;0.5,"TO PAY",IF($K155&lt;-0.5,"ADVANCE / OWES","SETTLED")))</f>
        <v/>
      </c>
      <c r="R155" s="111" t="n">
        <v>46327</v>
      </c>
    </row>
    <row r="156">
      <c r="A156" s="103">
        <f>IF(Setup!$A86="","",Setup!$A86)</f>
        <v/>
      </c>
      <c r="B156" s="104">
        <f>IF($A156="","",Setup!$B86)</f>
        <v/>
      </c>
      <c r="C156" s="105">
        <f>IF($A156="","",IF(COUNTIFS(Trips!$Z5:$Z1004,$R156,Trips!$D5:$D1004,$A156)+COUNTIFS(Trips!$Z5:$Z1004,$R156,Trips!$E5:$E1004,$A156)=0,"",COUNTIFS(Trips!$Z5:$Z1004,$R156,Trips!$D5:$D1004,$A156)+COUNTIFS(Trips!$Z5:$Z1004,$R156,Trips!$E5:$E1004,$A156)))</f>
        <v/>
      </c>
      <c r="D156" s="106">
        <f>IF($C156="","",SUMIFS(Trips!$K5:$K1004,Trips!$Z5:$Z1004,$R156,Trips!$D5:$D1004,$A156)+SUMIFS(Trips!$K5:$K1004,Trips!$Z5:$Z1004,$R156,Trips!$E5:$E1004,$A156))</f>
        <v/>
      </c>
      <c r="E156" s="107">
        <f>IF($C156="","",SUMIFS(Trips!$N5:$N1004,Trips!$Z5:$Z1004,$R156,Trips!$D5:$D1004,$A156)+SUMIFS(Trips!$O5:$O1004,Trips!$Z5:$Z1004,$R156,Trips!$E5:$E1004,$A156))</f>
        <v/>
      </c>
      <c r="F156" s="108">
        <f>IF($C156="","",SUMIFS(Trips!$P5:$P1004,Trips!$Z5:$Z1004,$R156,Trips!$D5:$D1004,$A156))</f>
        <v/>
      </c>
      <c r="G156" s="108">
        <f>IF($C156="","",SUMIFS(Trips!$Q5:$Q1004,Trips!$Z5:$Z1004,$R156,Trips!$D5:$D1004,$A156))</f>
        <v/>
      </c>
      <c r="H156" s="107">
        <f>IF(AND($C156="",$I156="",$J156=""),"",N($E156)+N($F156)+N($G156))</f>
        <v/>
      </c>
      <c r="I156" s="108">
        <f>IF($A156="","",IFERROR(1/(1/SUMIFS(Expenses!$F5:$F1004,Expenses!$B5:$B1004,"Cash Advance",Expenses!$J5:$J1004,$R156,Expenses!$E5:$E1004,$A156)),""))</f>
        <v/>
      </c>
      <c r="J156" s="108">
        <f>IF($A156="","",IFERROR(1/(1/SUMIFS(Expenses!$F5:$F1004,Expenses!$B5:$B1004,"Payroll Payout",Expenses!$J5:$J1004,$R156,Expenses!$E5:$E1004,$A156)),""))</f>
        <v/>
      </c>
      <c r="K156" s="109">
        <f>IF($H156="","",N($H156)-N($I156)-N($J156))</f>
        <v/>
      </c>
      <c r="L156" s="110">
        <f>IF($K156="","",IF($K156&gt;0.5,"TO PAY",IF($K156&lt;-0.5,"ADVANCE / OWES","SETTLED")))</f>
        <v/>
      </c>
      <c r="R156" s="111" t="n">
        <v>46327</v>
      </c>
    </row>
    <row r="157">
      <c r="A157" s="103">
        <f>IF(Setup!$A87="","",Setup!$A87)</f>
        <v/>
      </c>
      <c r="B157" s="104">
        <f>IF($A157="","",Setup!$B87)</f>
        <v/>
      </c>
      <c r="C157" s="105">
        <f>IF($A157="","",IF(COUNTIFS(Trips!$Z5:$Z1004,$R157,Trips!$D5:$D1004,$A157)+COUNTIFS(Trips!$Z5:$Z1004,$R157,Trips!$E5:$E1004,$A157)=0,"",COUNTIFS(Trips!$Z5:$Z1004,$R157,Trips!$D5:$D1004,$A157)+COUNTIFS(Trips!$Z5:$Z1004,$R157,Trips!$E5:$E1004,$A157)))</f>
        <v/>
      </c>
      <c r="D157" s="106">
        <f>IF($C157="","",SUMIFS(Trips!$K5:$K1004,Trips!$Z5:$Z1004,$R157,Trips!$D5:$D1004,$A157)+SUMIFS(Trips!$K5:$K1004,Trips!$Z5:$Z1004,$R157,Trips!$E5:$E1004,$A157))</f>
        <v/>
      </c>
      <c r="E157" s="107">
        <f>IF($C157="","",SUMIFS(Trips!$N5:$N1004,Trips!$Z5:$Z1004,$R157,Trips!$D5:$D1004,$A157)+SUMIFS(Trips!$O5:$O1004,Trips!$Z5:$Z1004,$R157,Trips!$E5:$E1004,$A157))</f>
        <v/>
      </c>
      <c r="F157" s="108">
        <f>IF($C157="","",SUMIFS(Trips!$P5:$P1004,Trips!$Z5:$Z1004,$R157,Trips!$D5:$D1004,$A157))</f>
        <v/>
      </c>
      <c r="G157" s="108">
        <f>IF($C157="","",SUMIFS(Trips!$Q5:$Q1004,Trips!$Z5:$Z1004,$R157,Trips!$D5:$D1004,$A157))</f>
        <v/>
      </c>
      <c r="H157" s="107">
        <f>IF(AND($C157="",$I157="",$J157=""),"",N($E157)+N($F157)+N($G157))</f>
        <v/>
      </c>
      <c r="I157" s="108">
        <f>IF($A157="","",IFERROR(1/(1/SUMIFS(Expenses!$F5:$F1004,Expenses!$B5:$B1004,"Cash Advance",Expenses!$J5:$J1004,$R157,Expenses!$E5:$E1004,$A157)),""))</f>
        <v/>
      </c>
      <c r="J157" s="108">
        <f>IF($A157="","",IFERROR(1/(1/SUMIFS(Expenses!$F5:$F1004,Expenses!$B5:$B1004,"Payroll Payout",Expenses!$J5:$J1004,$R157,Expenses!$E5:$E1004,$A157)),""))</f>
        <v/>
      </c>
      <c r="K157" s="109">
        <f>IF($H157="","",N($H157)-N($I157)-N($J157))</f>
        <v/>
      </c>
      <c r="L157" s="110">
        <f>IF($K157="","",IF($K157&gt;0.5,"TO PAY",IF($K157&lt;-0.5,"ADVANCE / OWES","SETTLED")))</f>
        <v/>
      </c>
      <c r="R157" s="111" t="n">
        <v>46327</v>
      </c>
    </row>
    <row r="158">
      <c r="A158" s="112" t="inlineStr">
        <is>
          <t>MONTH TOTAL</t>
        </is>
      </c>
      <c r="B158" s="113" t="n"/>
      <c r="C158" s="114">
        <f>IF(COUNT(C146:C157)=0,"",SUM(C146:C157))</f>
        <v/>
      </c>
      <c r="D158" s="115">
        <f>IF(COUNT(D146:D157)=0,"",SUM(D146:D157))</f>
        <v/>
      </c>
      <c r="E158" s="116">
        <f>IF(COUNT(E146:E157)=0,"",SUM(E146:E157))</f>
        <v/>
      </c>
      <c r="F158" s="116">
        <f>IF(COUNT(F146:F157)=0,"",SUM(F146:F157))</f>
        <v/>
      </c>
      <c r="G158" s="116">
        <f>IF(COUNT(G146:G157)=0,"",SUM(G146:G157))</f>
        <v/>
      </c>
      <c r="H158" s="116">
        <f>IF(COUNT(H146:H157)=0,"",SUM(H146:H157))</f>
        <v/>
      </c>
      <c r="I158" s="116">
        <f>IF(COUNT(I146:I157)=0,"",SUM(I146:I157))</f>
        <v/>
      </c>
      <c r="J158" s="116">
        <f>IF(COUNT(J146:J157)=0,"",SUM(J146:J157))</f>
        <v/>
      </c>
      <c r="K158" s="116">
        <f>IF(COUNT(K146:K157)=0,"",SUM(K146:K157))</f>
        <v/>
      </c>
      <c r="L158" s="117" t="n"/>
    </row>
    <row r="159" ht="24" customHeight="1">
      <c r="A159" s="102" t="inlineStr">
        <is>
          <t>DECEMBER 2026   ·   crew earnings &amp; settlement</t>
        </is>
      </c>
    </row>
    <row r="160">
      <c r="A160" s="103">
        <f>IF(Setup!$A76="","",Setup!$A76)</f>
        <v/>
      </c>
      <c r="B160" s="104">
        <f>IF($A160="","",Setup!$B76)</f>
        <v/>
      </c>
      <c r="C160" s="105">
        <f>IF($A160="","",IF(COUNTIFS(Trips!$Z5:$Z1004,$R160,Trips!$D5:$D1004,$A160)+COUNTIFS(Trips!$Z5:$Z1004,$R160,Trips!$E5:$E1004,$A160)=0,"",COUNTIFS(Trips!$Z5:$Z1004,$R160,Trips!$D5:$D1004,$A160)+COUNTIFS(Trips!$Z5:$Z1004,$R160,Trips!$E5:$E1004,$A160)))</f>
        <v/>
      </c>
      <c r="D160" s="106">
        <f>IF($C160="","",SUMIFS(Trips!$K5:$K1004,Trips!$Z5:$Z1004,$R160,Trips!$D5:$D1004,$A160)+SUMIFS(Trips!$K5:$K1004,Trips!$Z5:$Z1004,$R160,Trips!$E5:$E1004,$A160))</f>
        <v/>
      </c>
      <c r="E160" s="107">
        <f>IF($C160="","",SUMIFS(Trips!$N5:$N1004,Trips!$Z5:$Z1004,$R160,Trips!$D5:$D1004,$A160)+SUMIFS(Trips!$O5:$O1004,Trips!$Z5:$Z1004,$R160,Trips!$E5:$E1004,$A160))</f>
        <v/>
      </c>
      <c r="F160" s="108">
        <f>IF($C160="","",SUMIFS(Trips!$P5:$P1004,Trips!$Z5:$Z1004,$R160,Trips!$D5:$D1004,$A160))</f>
        <v/>
      </c>
      <c r="G160" s="108">
        <f>IF($C160="","",SUMIFS(Trips!$Q5:$Q1004,Trips!$Z5:$Z1004,$R160,Trips!$D5:$D1004,$A160))</f>
        <v/>
      </c>
      <c r="H160" s="107">
        <f>IF(AND($C160="",$I160="",$J160=""),"",N($E160)+N($F160)+N($G160))</f>
        <v/>
      </c>
      <c r="I160" s="108">
        <f>IF($A160="","",IFERROR(1/(1/SUMIFS(Expenses!$F5:$F1004,Expenses!$B5:$B1004,"Cash Advance",Expenses!$J5:$J1004,$R160,Expenses!$E5:$E1004,$A160)),""))</f>
        <v/>
      </c>
      <c r="J160" s="108">
        <f>IF($A160="","",IFERROR(1/(1/SUMIFS(Expenses!$F5:$F1004,Expenses!$B5:$B1004,"Payroll Payout",Expenses!$J5:$J1004,$R160,Expenses!$E5:$E1004,$A160)),""))</f>
        <v/>
      </c>
      <c r="K160" s="109">
        <f>IF($H160="","",N($H160)-N($I160)-N($J160))</f>
        <v/>
      </c>
      <c r="L160" s="110">
        <f>IF($K160="","",IF($K160&gt;0.5,"TO PAY",IF($K160&lt;-0.5,"ADVANCE / OWES","SETTLED")))</f>
        <v/>
      </c>
      <c r="R160" s="111" t="n">
        <v>46357</v>
      </c>
    </row>
    <row r="161">
      <c r="A161" s="103">
        <f>IF(Setup!$A77="","",Setup!$A77)</f>
        <v/>
      </c>
      <c r="B161" s="104">
        <f>IF($A161="","",Setup!$B77)</f>
        <v/>
      </c>
      <c r="C161" s="105">
        <f>IF($A161="","",IF(COUNTIFS(Trips!$Z5:$Z1004,$R161,Trips!$D5:$D1004,$A161)+COUNTIFS(Trips!$Z5:$Z1004,$R161,Trips!$E5:$E1004,$A161)=0,"",COUNTIFS(Trips!$Z5:$Z1004,$R161,Trips!$D5:$D1004,$A161)+COUNTIFS(Trips!$Z5:$Z1004,$R161,Trips!$E5:$E1004,$A161)))</f>
        <v/>
      </c>
      <c r="D161" s="106">
        <f>IF($C161="","",SUMIFS(Trips!$K5:$K1004,Trips!$Z5:$Z1004,$R161,Trips!$D5:$D1004,$A161)+SUMIFS(Trips!$K5:$K1004,Trips!$Z5:$Z1004,$R161,Trips!$E5:$E1004,$A161))</f>
        <v/>
      </c>
      <c r="E161" s="107">
        <f>IF($C161="","",SUMIFS(Trips!$N5:$N1004,Trips!$Z5:$Z1004,$R161,Trips!$D5:$D1004,$A161)+SUMIFS(Trips!$O5:$O1004,Trips!$Z5:$Z1004,$R161,Trips!$E5:$E1004,$A161))</f>
        <v/>
      </c>
      <c r="F161" s="108">
        <f>IF($C161="","",SUMIFS(Trips!$P5:$P1004,Trips!$Z5:$Z1004,$R161,Trips!$D5:$D1004,$A161))</f>
        <v/>
      </c>
      <c r="G161" s="108">
        <f>IF($C161="","",SUMIFS(Trips!$Q5:$Q1004,Trips!$Z5:$Z1004,$R161,Trips!$D5:$D1004,$A161))</f>
        <v/>
      </c>
      <c r="H161" s="107">
        <f>IF(AND($C161="",$I161="",$J161=""),"",N($E161)+N($F161)+N($G161))</f>
        <v/>
      </c>
      <c r="I161" s="108">
        <f>IF($A161="","",IFERROR(1/(1/SUMIFS(Expenses!$F5:$F1004,Expenses!$B5:$B1004,"Cash Advance",Expenses!$J5:$J1004,$R161,Expenses!$E5:$E1004,$A161)),""))</f>
        <v/>
      </c>
      <c r="J161" s="108">
        <f>IF($A161="","",IFERROR(1/(1/SUMIFS(Expenses!$F5:$F1004,Expenses!$B5:$B1004,"Payroll Payout",Expenses!$J5:$J1004,$R161,Expenses!$E5:$E1004,$A161)),""))</f>
        <v/>
      </c>
      <c r="K161" s="109">
        <f>IF($H161="","",N($H161)-N($I161)-N($J161))</f>
        <v/>
      </c>
      <c r="L161" s="110">
        <f>IF($K161="","",IF($K161&gt;0.5,"TO PAY",IF($K161&lt;-0.5,"ADVANCE / OWES","SETTLED")))</f>
        <v/>
      </c>
      <c r="R161" s="111" t="n">
        <v>46357</v>
      </c>
    </row>
    <row r="162">
      <c r="A162" s="103">
        <f>IF(Setup!$A78="","",Setup!$A78)</f>
        <v/>
      </c>
      <c r="B162" s="104">
        <f>IF($A162="","",Setup!$B78)</f>
        <v/>
      </c>
      <c r="C162" s="105">
        <f>IF($A162="","",IF(COUNTIFS(Trips!$Z5:$Z1004,$R162,Trips!$D5:$D1004,$A162)+COUNTIFS(Trips!$Z5:$Z1004,$R162,Trips!$E5:$E1004,$A162)=0,"",COUNTIFS(Trips!$Z5:$Z1004,$R162,Trips!$D5:$D1004,$A162)+COUNTIFS(Trips!$Z5:$Z1004,$R162,Trips!$E5:$E1004,$A162)))</f>
        <v/>
      </c>
      <c r="D162" s="106">
        <f>IF($C162="","",SUMIFS(Trips!$K5:$K1004,Trips!$Z5:$Z1004,$R162,Trips!$D5:$D1004,$A162)+SUMIFS(Trips!$K5:$K1004,Trips!$Z5:$Z1004,$R162,Trips!$E5:$E1004,$A162))</f>
        <v/>
      </c>
      <c r="E162" s="107">
        <f>IF($C162="","",SUMIFS(Trips!$N5:$N1004,Trips!$Z5:$Z1004,$R162,Trips!$D5:$D1004,$A162)+SUMIFS(Trips!$O5:$O1004,Trips!$Z5:$Z1004,$R162,Trips!$E5:$E1004,$A162))</f>
        <v/>
      </c>
      <c r="F162" s="108">
        <f>IF($C162="","",SUMIFS(Trips!$P5:$P1004,Trips!$Z5:$Z1004,$R162,Trips!$D5:$D1004,$A162))</f>
        <v/>
      </c>
      <c r="G162" s="108">
        <f>IF($C162="","",SUMIFS(Trips!$Q5:$Q1004,Trips!$Z5:$Z1004,$R162,Trips!$D5:$D1004,$A162))</f>
        <v/>
      </c>
      <c r="H162" s="107">
        <f>IF(AND($C162="",$I162="",$J162=""),"",N($E162)+N($F162)+N($G162))</f>
        <v/>
      </c>
      <c r="I162" s="108">
        <f>IF($A162="","",IFERROR(1/(1/SUMIFS(Expenses!$F5:$F1004,Expenses!$B5:$B1004,"Cash Advance",Expenses!$J5:$J1004,$R162,Expenses!$E5:$E1004,$A162)),""))</f>
        <v/>
      </c>
      <c r="J162" s="108">
        <f>IF($A162="","",IFERROR(1/(1/SUMIFS(Expenses!$F5:$F1004,Expenses!$B5:$B1004,"Payroll Payout",Expenses!$J5:$J1004,$R162,Expenses!$E5:$E1004,$A162)),""))</f>
        <v/>
      </c>
      <c r="K162" s="109">
        <f>IF($H162="","",N($H162)-N($I162)-N($J162))</f>
        <v/>
      </c>
      <c r="L162" s="110">
        <f>IF($K162="","",IF($K162&gt;0.5,"TO PAY",IF($K162&lt;-0.5,"ADVANCE / OWES","SETTLED")))</f>
        <v/>
      </c>
      <c r="R162" s="111" t="n">
        <v>46357</v>
      </c>
    </row>
    <row r="163">
      <c r="A163" s="103">
        <f>IF(Setup!$A79="","",Setup!$A79)</f>
        <v/>
      </c>
      <c r="B163" s="104">
        <f>IF($A163="","",Setup!$B79)</f>
        <v/>
      </c>
      <c r="C163" s="105">
        <f>IF($A163="","",IF(COUNTIFS(Trips!$Z5:$Z1004,$R163,Trips!$D5:$D1004,$A163)+COUNTIFS(Trips!$Z5:$Z1004,$R163,Trips!$E5:$E1004,$A163)=0,"",COUNTIFS(Trips!$Z5:$Z1004,$R163,Trips!$D5:$D1004,$A163)+COUNTIFS(Trips!$Z5:$Z1004,$R163,Trips!$E5:$E1004,$A163)))</f>
        <v/>
      </c>
      <c r="D163" s="106">
        <f>IF($C163="","",SUMIFS(Trips!$K5:$K1004,Trips!$Z5:$Z1004,$R163,Trips!$D5:$D1004,$A163)+SUMIFS(Trips!$K5:$K1004,Trips!$Z5:$Z1004,$R163,Trips!$E5:$E1004,$A163))</f>
        <v/>
      </c>
      <c r="E163" s="107">
        <f>IF($C163="","",SUMIFS(Trips!$N5:$N1004,Trips!$Z5:$Z1004,$R163,Trips!$D5:$D1004,$A163)+SUMIFS(Trips!$O5:$O1004,Trips!$Z5:$Z1004,$R163,Trips!$E5:$E1004,$A163))</f>
        <v/>
      </c>
      <c r="F163" s="108">
        <f>IF($C163="","",SUMIFS(Trips!$P5:$P1004,Trips!$Z5:$Z1004,$R163,Trips!$D5:$D1004,$A163))</f>
        <v/>
      </c>
      <c r="G163" s="108">
        <f>IF($C163="","",SUMIFS(Trips!$Q5:$Q1004,Trips!$Z5:$Z1004,$R163,Trips!$D5:$D1004,$A163))</f>
        <v/>
      </c>
      <c r="H163" s="107">
        <f>IF(AND($C163="",$I163="",$J163=""),"",N($E163)+N($F163)+N($G163))</f>
        <v/>
      </c>
      <c r="I163" s="108">
        <f>IF($A163="","",IFERROR(1/(1/SUMIFS(Expenses!$F5:$F1004,Expenses!$B5:$B1004,"Cash Advance",Expenses!$J5:$J1004,$R163,Expenses!$E5:$E1004,$A163)),""))</f>
        <v/>
      </c>
      <c r="J163" s="108">
        <f>IF($A163="","",IFERROR(1/(1/SUMIFS(Expenses!$F5:$F1004,Expenses!$B5:$B1004,"Payroll Payout",Expenses!$J5:$J1004,$R163,Expenses!$E5:$E1004,$A163)),""))</f>
        <v/>
      </c>
      <c r="K163" s="109">
        <f>IF($H163="","",N($H163)-N($I163)-N($J163))</f>
        <v/>
      </c>
      <c r="L163" s="110">
        <f>IF($K163="","",IF($K163&gt;0.5,"TO PAY",IF($K163&lt;-0.5,"ADVANCE / OWES","SETTLED")))</f>
        <v/>
      </c>
      <c r="R163" s="111" t="n">
        <v>46357</v>
      </c>
    </row>
    <row r="164">
      <c r="A164" s="103">
        <f>IF(Setup!$A80="","",Setup!$A80)</f>
        <v/>
      </c>
      <c r="B164" s="104">
        <f>IF($A164="","",Setup!$B80)</f>
        <v/>
      </c>
      <c r="C164" s="105">
        <f>IF($A164="","",IF(COUNTIFS(Trips!$Z5:$Z1004,$R164,Trips!$D5:$D1004,$A164)+COUNTIFS(Trips!$Z5:$Z1004,$R164,Trips!$E5:$E1004,$A164)=0,"",COUNTIFS(Trips!$Z5:$Z1004,$R164,Trips!$D5:$D1004,$A164)+COUNTIFS(Trips!$Z5:$Z1004,$R164,Trips!$E5:$E1004,$A164)))</f>
        <v/>
      </c>
      <c r="D164" s="106">
        <f>IF($C164="","",SUMIFS(Trips!$K5:$K1004,Trips!$Z5:$Z1004,$R164,Trips!$D5:$D1004,$A164)+SUMIFS(Trips!$K5:$K1004,Trips!$Z5:$Z1004,$R164,Trips!$E5:$E1004,$A164))</f>
        <v/>
      </c>
      <c r="E164" s="107">
        <f>IF($C164="","",SUMIFS(Trips!$N5:$N1004,Trips!$Z5:$Z1004,$R164,Trips!$D5:$D1004,$A164)+SUMIFS(Trips!$O5:$O1004,Trips!$Z5:$Z1004,$R164,Trips!$E5:$E1004,$A164))</f>
        <v/>
      </c>
      <c r="F164" s="108">
        <f>IF($C164="","",SUMIFS(Trips!$P5:$P1004,Trips!$Z5:$Z1004,$R164,Trips!$D5:$D1004,$A164))</f>
        <v/>
      </c>
      <c r="G164" s="108">
        <f>IF($C164="","",SUMIFS(Trips!$Q5:$Q1004,Trips!$Z5:$Z1004,$R164,Trips!$D5:$D1004,$A164))</f>
        <v/>
      </c>
      <c r="H164" s="107">
        <f>IF(AND($C164="",$I164="",$J164=""),"",N($E164)+N($F164)+N($G164))</f>
        <v/>
      </c>
      <c r="I164" s="108">
        <f>IF($A164="","",IFERROR(1/(1/SUMIFS(Expenses!$F5:$F1004,Expenses!$B5:$B1004,"Cash Advance",Expenses!$J5:$J1004,$R164,Expenses!$E5:$E1004,$A164)),""))</f>
        <v/>
      </c>
      <c r="J164" s="108">
        <f>IF($A164="","",IFERROR(1/(1/SUMIFS(Expenses!$F5:$F1004,Expenses!$B5:$B1004,"Payroll Payout",Expenses!$J5:$J1004,$R164,Expenses!$E5:$E1004,$A164)),""))</f>
        <v/>
      </c>
      <c r="K164" s="109">
        <f>IF($H164="","",N($H164)-N($I164)-N($J164))</f>
        <v/>
      </c>
      <c r="L164" s="110">
        <f>IF($K164="","",IF($K164&gt;0.5,"TO PAY",IF($K164&lt;-0.5,"ADVANCE / OWES","SETTLED")))</f>
        <v/>
      </c>
      <c r="R164" s="111" t="n">
        <v>46357</v>
      </c>
    </row>
    <row r="165">
      <c r="A165" s="103">
        <f>IF(Setup!$A81="","",Setup!$A81)</f>
        <v/>
      </c>
      <c r="B165" s="104">
        <f>IF($A165="","",Setup!$B81)</f>
        <v/>
      </c>
      <c r="C165" s="105">
        <f>IF($A165="","",IF(COUNTIFS(Trips!$Z5:$Z1004,$R165,Trips!$D5:$D1004,$A165)+COUNTIFS(Trips!$Z5:$Z1004,$R165,Trips!$E5:$E1004,$A165)=0,"",COUNTIFS(Trips!$Z5:$Z1004,$R165,Trips!$D5:$D1004,$A165)+COUNTIFS(Trips!$Z5:$Z1004,$R165,Trips!$E5:$E1004,$A165)))</f>
        <v/>
      </c>
      <c r="D165" s="106">
        <f>IF($C165="","",SUMIFS(Trips!$K5:$K1004,Trips!$Z5:$Z1004,$R165,Trips!$D5:$D1004,$A165)+SUMIFS(Trips!$K5:$K1004,Trips!$Z5:$Z1004,$R165,Trips!$E5:$E1004,$A165))</f>
        <v/>
      </c>
      <c r="E165" s="107">
        <f>IF($C165="","",SUMIFS(Trips!$N5:$N1004,Trips!$Z5:$Z1004,$R165,Trips!$D5:$D1004,$A165)+SUMIFS(Trips!$O5:$O1004,Trips!$Z5:$Z1004,$R165,Trips!$E5:$E1004,$A165))</f>
        <v/>
      </c>
      <c r="F165" s="108">
        <f>IF($C165="","",SUMIFS(Trips!$P5:$P1004,Trips!$Z5:$Z1004,$R165,Trips!$D5:$D1004,$A165))</f>
        <v/>
      </c>
      <c r="G165" s="108">
        <f>IF($C165="","",SUMIFS(Trips!$Q5:$Q1004,Trips!$Z5:$Z1004,$R165,Trips!$D5:$D1004,$A165))</f>
        <v/>
      </c>
      <c r="H165" s="107">
        <f>IF(AND($C165="",$I165="",$J165=""),"",N($E165)+N($F165)+N($G165))</f>
        <v/>
      </c>
      <c r="I165" s="108">
        <f>IF($A165="","",IFERROR(1/(1/SUMIFS(Expenses!$F5:$F1004,Expenses!$B5:$B1004,"Cash Advance",Expenses!$J5:$J1004,$R165,Expenses!$E5:$E1004,$A165)),""))</f>
        <v/>
      </c>
      <c r="J165" s="108">
        <f>IF($A165="","",IFERROR(1/(1/SUMIFS(Expenses!$F5:$F1004,Expenses!$B5:$B1004,"Payroll Payout",Expenses!$J5:$J1004,$R165,Expenses!$E5:$E1004,$A165)),""))</f>
        <v/>
      </c>
      <c r="K165" s="109">
        <f>IF($H165="","",N($H165)-N($I165)-N($J165))</f>
        <v/>
      </c>
      <c r="L165" s="110">
        <f>IF($K165="","",IF($K165&gt;0.5,"TO PAY",IF($K165&lt;-0.5,"ADVANCE / OWES","SETTLED")))</f>
        <v/>
      </c>
      <c r="R165" s="111" t="n">
        <v>46357</v>
      </c>
    </row>
    <row r="166">
      <c r="A166" s="103">
        <f>IF(Setup!$A82="","",Setup!$A82)</f>
        <v/>
      </c>
      <c r="B166" s="104">
        <f>IF($A166="","",Setup!$B82)</f>
        <v/>
      </c>
      <c r="C166" s="105">
        <f>IF($A166="","",IF(COUNTIFS(Trips!$Z5:$Z1004,$R166,Trips!$D5:$D1004,$A166)+COUNTIFS(Trips!$Z5:$Z1004,$R166,Trips!$E5:$E1004,$A166)=0,"",COUNTIFS(Trips!$Z5:$Z1004,$R166,Trips!$D5:$D1004,$A166)+COUNTIFS(Trips!$Z5:$Z1004,$R166,Trips!$E5:$E1004,$A166)))</f>
        <v/>
      </c>
      <c r="D166" s="106">
        <f>IF($C166="","",SUMIFS(Trips!$K5:$K1004,Trips!$Z5:$Z1004,$R166,Trips!$D5:$D1004,$A166)+SUMIFS(Trips!$K5:$K1004,Trips!$Z5:$Z1004,$R166,Trips!$E5:$E1004,$A166))</f>
        <v/>
      </c>
      <c r="E166" s="107">
        <f>IF($C166="","",SUMIFS(Trips!$N5:$N1004,Trips!$Z5:$Z1004,$R166,Trips!$D5:$D1004,$A166)+SUMIFS(Trips!$O5:$O1004,Trips!$Z5:$Z1004,$R166,Trips!$E5:$E1004,$A166))</f>
        <v/>
      </c>
      <c r="F166" s="108">
        <f>IF($C166="","",SUMIFS(Trips!$P5:$P1004,Trips!$Z5:$Z1004,$R166,Trips!$D5:$D1004,$A166))</f>
        <v/>
      </c>
      <c r="G166" s="108">
        <f>IF($C166="","",SUMIFS(Trips!$Q5:$Q1004,Trips!$Z5:$Z1004,$R166,Trips!$D5:$D1004,$A166))</f>
        <v/>
      </c>
      <c r="H166" s="107">
        <f>IF(AND($C166="",$I166="",$J166=""),"",N($E166)+N($F166)+N($G166))</f>
        <v/>
      </c>
      <c r="I166" s="108">
        <f>IF($A166="","",IFERROR(1/(1/SUMIFS(Expenses!$F5:$F1004,Expenses!$B5:$B1004,"Cash Advance",Expenses!$J5:$J1004,$R166,Expenses!$E5:$E1004,$A166)),""))</f>
        <v/>
      </c>
      <c r="J166" s="108">
        <f>IF($A166="","",IFERROR(1/(1/SUMIFS(Expenses!$F5:$F1004,Expenses!$B5:$B1004,"Payroll Payout",Expenses!$J5:$J1004,$R166,Expenses!$E5:$E1004,$A166)),""))</f>
        <v/>
      </c>
      <c r="K166" s="109">
        <f>IF($H166="","",N($H166)-N($I166)-N($J166))</f>
        <v/>
      </c>
      <c r="L166" s="110">
        <f>IF($K166="","",IF($K166&gt;0.5,"TO PAY",IF($K166&lt;-0.5,"ADVANCE / OWES","SETTLED")))</f>
        <v/>
      </c>
      <c r="R166" s="111" t="n">
        <v>46357</v>
      </c>
    </row>
    <row r="167">
      <c r="A167" s="103">
        <f>IF(Setup!$A83="","",Setup!$A83)</f>
        <v/>
      </c>
      <c r="B167" s="104">
        <f>IF($A167="","",Setup!$B83)</f>
        <v/>
      </c>
      <c r="C167" s="105">
        <f>IF($A167="","",IF(COUNTIFS(Trips!$Z5:$Z1004,$R167,Trips!$D5:$D1004,$A167)+COUNTIFS(Trips!$Z5:$Z1004,$R167,Trips!$E5:$E1004,$A167)=0,"",COUNTIFS(Trips!$Z5:$Z1004,$R167,Trips!$D5:$D1004,$A167)+COUNTIFS(Trips!$Z5:$Z1004,$R167,Trips!$E5:$E1004,$A167)))</f>
        <v/>
      </c>
      <c r="D167" s="106">
        <f>IF($C167="","",SUMIFS(Trips!$K5:$K1004,Trips!$Z5:$Z1004,$R167,Trips!$D5:$D1004,$A167)+SUMIFS(Trips!$K5:$K1004,Trips!$Z5:$Z1004,$R167,Trips!$E5:$E1004,$A167))</f>
        <v/>
      </c>
      <c r="E167" s="107">
        <f>IF($C167="","",SUMIFS(Trips!$N5:$N1004,Trips!$Z5:$Z1004,$R167,Trips!$D5:$D1004,$A167)+SUMIFS(Trips!$O5:$O1004,Trips!$Z5:$Z1004,$R167,Trips!$E5:$E1004,$A167))</f>
        <v/>
      </c>
      <c r="F167" s="108">
        <f>IF($C167="","",SUMIFS(Trips!$P5:$P1004,Trips!$Z5:$Z1004,$R167,Trips!$D5:$D1004,$A167))</f>
        <v/>
      </c>
      <c r="G167" s="108">
        <f>IF($C167="","",SUMIFS(Trips!$Q5:$Q1004,Trips!$Z5:$Z1004,$R167,Trips!$D5:$D1004,$A167))</f>
        <v/>
      </c>
      <c r="H167" s="107">
        <f>IF(AND($C167="",$I167="",$J167=""),"",N($E167)+N($F167)+N($G167))</f>
        <v/>
      </c>
      <c r="I167" s="108">
        <f>IF($A167="","",IFERROR(1/(1/SUMIFS(Expenses!$F5:$F1004,Expenses!$B5:$B1004,"Cash Advance",Expenses!$J5:$J1004,$R167,Expenses!$E5:$E1004,$A167)),""))</f>
        <v/>
      </c>
      <c r="J167" s="108">
        <f>IF($A167="","",IFERROR(1/(1/SUMIFS(Expenses!$F5:$F1004,Expenses!$B5:$B1004,"Payroll Payout",Expenses!$J5:$J1004,$R167,Expenses!$E5:$E1004,$A167)),""))</f>
        <v/>
      </c>
      <c r="K167" s="109">
        <f>IF($H167="","",N($H167)-N($I167)-N($J167))</f>
        <v/>
      </c>
      <c r="L167" s="110">
        <f>IF($K167="","",IF($K167&gt;0.5,"TO PAY",IF($K167&lt;-0.5,"ADVANCE / OWES","SETTLED")))</f>
        <v/>
      </c>
      <c r="R167" s="111" t="n">
        <v>46357</v>
      </c>
    </row>
    <row r="168">
      <c r="A168" s="103">
        <f>IF(Setup!$A84="","",Setup!$A84)</f>
        <v/>
      </c>
      <c r="B168" s="104">
        <f>IF($A168="","",Setup!$B84)</f>
        <v/>
      </c>
      <c r="C168" s="105">
        <f>IF($A168="","",IF(COUNTIFS(Trips!$Z5:$Z1004,$R168,Trips!$D5:$D1004,$A168)+COUNTIFS(Trips!$Z5:$Z1004,$R168,Trips!$E5:$E1004,$A168)=0,"",COUNTIFS(Trips!$Z5:$Z1004,$R168,Trips!$D5:$D1004,$A168)+COUNTIFS(Trips!$Z5:$Z1004,$R168,Trips!$E5:$E1004,$A168)))</f>
        <v/>
      </c>
      <c r="D168" s="106">
        <f>IF($C168="","",SUMIFS(Trips!$K5:$K1004,Trips!$Z5:$Z1004,$R168,Trips!$D5:$D1004,$A168)+SUMIFS(Trips!$K5:$K1004,Trips!$Z5:$Z1004,$R168,Trips!$E5:$E1004,$A168))</f>
        <v/>
      </c>
      <c r="E168" s="107">
        <f>IF($C168="","",SUMIFS(Trips!$N5:$N1004,Trips!$Z5:$Z1004,$R168,Trips!$D5:$D1004,$A168)+SUMIFS(Trips!$O5:$O1004,Trips!$Z5:$Z1004,$R168,Trips!$E5:$E1004,$A168))</f>
        <v/>
      </c>
      <c r="F168" s="108">
        <f>IF($C168="","",SUMIFS(Trips!$P5:$P1004,Trips!$Z5:$Z1004,$R168,Trips!$D5:$D1004,$A168))</f>
        <v/>
      </c>
      <c r="G168" s="108">
        <f>IF($C168="","",SUMIFS(Trips!$Q5:$Q1004,Trips!$Z5:$Z1004,$R168,Trips!$D5:$D1004,$A168))</f>
        <v/>
      </c>
      <c r="H168" s="107">
        <f>IF(AND($C168="",$I168="",$J168=""),"",N($E168)+N($F168)+N($G168))</f>
        <v/>
      </c>
      <c r="I168" s="108">
        <f>IF($A168="","",IFERROR(1/(1/SUMIFS(Expenses!$F5:$F1004,Expenses!$B5:$B1004,"Cash Advance",Expenses!$J5:$J1004,$R168,Expenses!$E5:$E1004,$A168)),""))</f>
        <v/>
      </c>
      <c r="J168" s="108">
        <f>IF($A168="","",IFERROR(1/(1/SUMIFS(Expenses!$F5:$F1004,Expenses!$B5:$B1004,"Payroll Payout",Expenses!$J5:$J1004,$R168,Expenses!$E5:$E1004,$A168)),""))</f>
        <v/>
      </c>
      <c r="K168" s="109">
        <f>IF($H168="","",N($H168)-N($I168)-N($J168))</f>
        <v/>
      </c>
      <c r="L168" s="110">
        <f>IF($K168="","",IF($K168&gt;0.5,"TO PAY",IF($K168&lt;-0.5,"ADVANCE / OWES","SETTLED")))</f>
        <v/>
      </c>
      <c r="R168" s="111" t="n">
        <v>46357</v>
      </c>
    </row>
    <row r="169">
      <c r="A169" s="103">
        <f>IF(Setup!$A85="","",Setup!$A85)</f>
        <v/>
      </c>
      <c r="B169" s="104">
        <f>IF($A169="","",Setup!$B85)</f>
        <v/>
      </c>
      <c r="C169" s="105">
        <f>IF($A169="","",IF(COUNTIFS(Trips!$Z5:$Z1004,$R169,Trips!$D5:$D1004,$A169)+COUNTIFS(Trips!$Z5:$Z1004,$R169,Trips!$E5:$E1004,$A169)=0,"",COUNTIFS(Trips!$Z5:$Z1004,$R169,Trips!$D5:$D1004,$A169)+COUNTIFS(Trips!$Z5:$Z1004,$R169,Trips!$E5:$E1004,$A169)))</f>
        <v/>
      </c>
      <c r="D169" s="106">
        <f>IF($C169="","",SUMIFS(Trips!$K5:$K1004,Trips!$Z5:$Z1004,$R169,Trips!$D5:$D1004,$A169)+SUMIFS(Trips!$K5:$K1004,Trips!$Z5:$Z1004,$R169,Trips!$E5:$E1004,$A169))</f>
        <v/>
      </c>
      <c r="E169" s="107">
        <f>IF($C169="","",SUMIFS(Trips!$N5:$N1004,Trips!$Z5:$Z1004,$R169,Trips!$D5:$D1004,$A169)+SUMIFS(Trips!$O5:$O1004,Trips!$Z5:$Z1004,$R169,Trips!$E5:$E1004,$A169))</f>
        <v/>
      </c>
      <c r="F169" s="108">
        <f>IF($C169="","",SUMIFS(Trips!$P5:$P1004,Trips!$Z5:$Z1004,$R169,Trips!$D5:$D1004,$A169))</f>
        <v/>
      </c>
      <c r="G169" s="108">
        <f>IF($C169="","",SUMIFS(Trips!$Q5:$Q1004,Trips!$Z5:$Z1004,$R169,Trips!$D5:$D1004,$A169))</f>
        <v/>
      </c>
      <c r="H169" s="107">
        <f>IF(AND($C169="",$I169="",$J169=""),"",N($E169)+N($F169)+N($G169))</f>
        <v/>
      </c>
      <c r="I169" s="108">
        <f>IF($A169="","",IFERROR(1/(1/SUMIFS(Expenses!$F5:$F1004,Expenses!$B5:$B1004,"Cash Advance",Expenses!$J5:$J1004,$R169,Expenses!$E5:$E1004,$A169)),""))</f>
        <v/>
      </c>
      <c r="J169" s="108">
        <f>IF($A169="","",IFERROR(1/(1/SUMIFS(Expenses!$F5:$F1004,Expenses!$B5:$B1004,"Payroll Payout",Expenses!$J5:$J1004,$R169,Expenses!$E5:$E1004,$A169)),""))</f>
        <v/>
      </c>
      <c r="K169" s="109">
        <f>IF($H169="","",N($H169)-N($I169)-N($J169))</f>
        <v/>
      </c>
      <c r="L169" s="110">
        <f>IF($K169="","",IF($K169&gt;0.5,"TO PAY",IF($K169&lt;-0.5,"ADVANCE / OWES","SETTLED")))</f>
        <v/>
      </c>
      <c r="R169" s="111" t="n">
        <v>46357</v>
      </c>
    </row>
    <row r="170">
      <c r="A170" s="103">
        <f>IF(Setup!$A86="","",Setup!$A86)</f>
        <v/>
      </c>
      <c r="B170" s="104">
        <f>IF($A170="","",Setup!$B86)</f>
        <v/>
      </c>
      <c r="C170" s="105">
        <f>IF($A170="","",IF(COUNTIFS(Trips!$Z5:$Z1004,$R170,Trips!$D5:$D1004,$A170)+COUNTIFS(Trips!$Z5:$Z1004,$R170,Trips!$E5:$E1004,$A170)=0,"",COUNTIFS(Trips!$Z5:$Z1004,$R170,Trips!$D5:$D1004,$A170)+COUNTIFS(Trips!$Z5:$Z1004,$R170,Trips!$E5:$E1004,$A170)))</f>
        <v/>
      </c>
      <c r="D170" s="106">
        <f>IF($C170="","",SUMIFS(Trips!$K5:$K1004,Trips!$Z5:$Z1004,$R170,Trips!$D5:$D1004,$A170)+SUMIFS(Trips!$K5:$K1004,Trips!$Z5:$Z1004,$R170,Trips!$E5:$E1004,$A170))</f>
        <v/>
      </c>
      <c r="E170" s="107">
        <f>IF($C170="","",SUMIFS(Trips!$N5:$N1004,Trips!$Z5:$Z1004,$R170,Trips!$D5:$D1004,$A170)+SUMIFS(Trips!$O5:$O1004,Trips!$Z5:$Z1004,$R170,Trips!$E5:$E1004,$A170))</f>
        <v/>
      </c>
      <c r="F170" s="108">
        <f>IF($C170="","",SUMIFS(Trips!$P5:$P1004,Trips!$Z5:$Z1004,$R170,Trips!$D5:$D1004,$A170))</f>
        <v/>
      </c>
      <c r="G170" s="108">
        <f>IF($C170="","",SUMIFS(Trips!$Q5:$Q1004,Trips!$Z5:$Z1004,$R170,Trips!$D5:$D1004,$A170))</f>
        <v/>
      </c>
      <c r="H170" s="107">
        <f>IF(AND($C170="",$I170="",$J170=""),"",N($E170)+N($F170)+N($G170))</f>
        <v/>
      </c>
      <c r="I170" s="108">
        <f>IF($A170="","",IFERROR(1/(1/SUMIFS(Expenses!$F5:$F1004,Expenses!$B5:$B1004,"Cash Advance",Expenses!$J5:$J1004,$R170,Expenses!$E5:$E1004,$A170)),""))</f>
        <v/>
      </c>
      <c r="J170" s="108">
        <f>IF($A170="","",IFERROR(1/(1/SUMIFS(Expenses!$F5:$F1004,Expenses!$B5:$B1004,"Payroll Payout",Expenses!$J5:$J1004,$R170,Expenses!$E5:$E1004,$A170)),""))</f>
        <v/>
      </c>
      <c r="K170" s="109">
        <f>IF($H170="","",N($H170)-N($I170)-N($J170))</f>
        <v/>
      </c>
      <c r="L170" s="110">
        <f>IF($K170="","",IF($K170&gt;0.5,"TO PAY",IF($K170&lt;-0.5,"ADVANCE / OWES","SETTLED")))</f>
        <v/>
      </c>
      <c r="R170" s="111" t="n">
        <v>46357</v>
      </c>
    </row>
    <row r="171">
      <c r="A171" s="103">
        <f>IF(Setup!$A87="","",Setup!$A87)</f>
        <v/>
      </c>
      <c r="B171" s="104">
        <f>IF($A171="","",Setup!$B87)</f>
        <v/>
      </c>
      <c r="C171" s="105">
        <f>IF($A171="","",IF(COUNTIFS(Trips!$Z5:$Z1004,$R171,Trips!$D5:$D1004,$A171)+COUNTIFS(Trips!$Z5:$Z1004,$R171,Trips!$E5:$E1004,$A171)=0,"",COUNTIFS(Trips!$Z5:$Z1004,$R171,Trips!$D5:$D1004,$A171)+COUNTIFS(Trips!$Z5:$Z1004,$R171,Trips!$E5:$E1004,$A171)))</f>
        <v/>
      </c>
      <c r="D171" s="106">
        <f>IF($C171="","",SUMIFS(Trips!$K5:$K1004,Trips!$Z5:$Z1004,$R171,Trips!$D5:$D1004,$A171)+SUMIFS(Trips!$K5:$K1004,Trips!$Z5:$Z1004,$R171,Trips!$E5:$E1004,$A171))</f>
        <v/>
      </c>
      <c r="E171" s="107">
        <f>IF($C171="","",SUMIFS(Trips!$N5:$N1004,Trips!$Z5:$Z1004,$R171,Trips!$D5:$D1004,$A171)+SUMIFS(Trips!$O5:$O1004,Trips!$Z5:$Z1004,$R171,Trips!$E5:$E1004,$A171))</f>
        <v/>
      </c>
      <c r="F171" s="108">
        <f>IF($C171="","",SUMIFS(Trips!$P5:$P1004,Trips!$Z5:$Z1004,$R171,Trips!$D5:$D1004,$A171))</f>
        <v/>
      </c>
      <c r="G171" s="108">
        <f>IF($C171="","",SUMIFS(Trips!$Q5:$Q1004,Trips!$Z5:$Z1004,$R171,Trips!$D5:$D1004,$A171))</f>
        <v/>
      </c>
      <c r="H171" s="107">
        <f>IF(AND($C171="",$I171="",$J171=""),"",N($E171)+N($F171)+N($G171))</f>
        <v/>
      </c>
      <c r="I171" s="108">
        <f>IF($A171="","",IFERROR(1/(1/SUMIFS(Expenses!$F5:$F1004,Expenses!$B5:$B1004,"Cash Advance",Expenses!$J5:$J1004,$R171,Expenses!$E5:$E1004,$A171)),""))</f>
        <v/>
      </c>
      <c r="J171" s="108">
        <f>IF($A171="","",IFERROR(1/(1/SUMIFS(Expenses!$F5:$F1004,Expenses!$B5:$B1004,"Payroll Payout",Expenses!$J5:$J1004,$R171,Expenses!$E5:$E1004,$A171)),""))</f>
        <v/>
      </c>
      <c r="K171" s="109">
        <f>IF($H171="","",N($H171)-N($I171)-N($J171))</f>
        <v/>
      </c>
      <c r="L171" s="110">
        <f>IF($K171="","",IF($K171&gt;0.5,"TO PAY",IF($K171&lt;-0.5,"ADVANCE / OWES","SETTLED")))</f>
        <v/>
      </c>
      <c r="R171" s="111" t="n">
        <v>46357</v>
      </c>
    </row>
    <row r="172">
      <c r="A172" s="112" t="inlineStr">
        <is>
          <t>MONTH TOTAL</t>
        </is>
      </c>
      <c r="B172" s="113" t="n"/>
      <c r="C172" s="114">
        <f>IF(COUNT(C160:C171)=0,"",SUM(C160:C171))</f>
        <v/>
      </c>
      <c r="D172" s="115">
        <f>IF(COUNT(D160:D171)=0,"",SUM(D160:D171))</f>
        <v/>
      </c>
      <c r="E172" s="116">
        <f>IF(COUNT(E160:E171)=0,"",SUM(E160:E171))</f>
        <v/>
      </c>
      <c r="F172" s="116">
        <f>IF(COUNT(F160:F171)=0,"",SUM(F160:F171))</f>
        <v/>
      </c>
      <c r="G172" s="116">
        <f>IF(COUNT(G160:G171)=0,"",SUM(G160:G171))</f>
        <v/>
      </c>
      <c r="H172" s="116">
        <f>IF(COUNT(H160:H171)=0,"",SUM(H160:H171))</f>
        <v/>
      </c>
      <c r="I172" s="116">
        <f>IF(COUNT(I160:I171)=0,"",SUM(I160:I171))</f>
        <v/>
      </c>
      <c r="J172" s="116">
        <f>IF(COUNT(J160:J171)=0,"",SUM(J160:J171))</f>
        <v/>
      </c>
      <c r="K172" s="116">
        <f>IF(COUNT(K160:K171)=0,"",SUM(K160:K171))</f>
        <v/>
      </c>
      <c r="L172" s="117" t="n"/>
    </row>
    <row r="173" ht="24" customHeight="1">
      <c r="A173" s="102" t="inlineStr">
        <is>
          <t>JANUARY 2027   ·   crew earnings &amp; settlement</t>
        </is>
      </c>
    </row>
    <row r="174">
      <c r="A174" s="103">
        <f>IF(Setup!$A76="","",Setup!$A76)</f>
        <v/>
      </c>
      <c r="B174" s="104">
        <f>IF($A174="","",Setup!$B76)</f>
        <v/>
      </c>
      <c r="C174" s="105">
        <f>IF($A174="","",IF(COUNTIFS(Trips!$Z5:$Z1004,$R174,Trips!$D5:$D1004,$A174)+COUNTIFS(Trips!$Z5:$Z1004,$R174,Trips!$E5:$E1004,$A174)=0,"",COUNTIFS(Trips!$Z5:$Z1004,$R174,Trips!$D5:$D1004,$A174)+COUNTIFS(Trips!$Z5:$Z1004,$R174,Trips!$E5:$E1004,$A174)))</f>
        <v/>
      </c>
      <c r="D174" s="106">
        <f>IF($C174="","",SUMIFS(Trips!$K5:$K1004,Trips!$Z5:$Z1004,$R174,Trips!$D5:$D1004,$A174)+SUMIFS(Trips!$K5:$K1004,Trips!$Z5:$Z1004,$R174,Trips!$E5:$E1004,$A174))</f>
        <v/>
      </c>
      <c r="E174" s="107">
        <f>IF($C174="","",SUMIFS(Trips!$N5:$N1004,Trips!$Z5:$Z1004,$R174,Trips!$D5:$D1004,$A174)+SUMIFS(Trips!$O5:$O1004,Trips!$Z5:$Z1004,$R174,Trips!$E5:$E1004,$A174))</f>
        <v/>
      </c>
      <c r="F174" s="108">
        <f>IF($C174="","",SUMIFS(Trips!$P5:$P1004,Trips!$Z5:$Z1004,$R174,Trips!$D5:$D1004,$A174))</f>
        <v/>
      </c>
      <c r="G174" s="108">
        <f>IF($C174="","",SUMIFS(Trips!$Q5:$Q1004,Trips!$Z5:$Z1004,$R174,Trips!$D5:$D1004,$A174))</f>
        <v/>
      </c>
      <c r="H174" s="107">
        <f>IF(AND($C174="",$I174="",$J174=""),"",N($E174)+N($F174)+N($G174))</f>
        <v/>
      </c>
      <c r="I174" s="108">
        <f>IF($A174="","",IFERROR(1/(1/SUMIFS(Expenses!$F5:$F1004,Expenses!$B5:$B1004,"Cash Advance",Expenses!$J5:$J1004,$R174,Expenses!$E5:$E1004,$A174)),""))</f>
        <v/>
      </c>
      <c r="J174" s="108">
        <f>IF($A174="","",IFERROR(1/(1/SUMIFS(Expenses!$F5:$F1004,Expenses!$B5:$B1004,"Payroll Payout",Expenses!$J5:$J1004,$R174,Expenses!$E5:$E1004,$A174)),""))</f>
        <v/>
      </c>
      <c r="K174" s="109">
        <f>IF($H174="","",N($H174)-N($I174)-N($J174))</f>
        <v/>
      </c>
      <c r="L174" s="110">
        <f>IF($K174="","",IF($K174&gt;0.5,"TO PAY",IF($K174&lt;-0.5,"ADVANCE / OWES","SETTLED")))</f>
        <v/>
      </c>
      <c r="R174" s="111" t="n">
        <v>46388</v>
      </c>
    </row>
    <row r="175">
      <c r="A175" s="103">
        <f>IF(Setup!$A77="","",Setup!$A77)</f>
        <v/>
      </c>
      <c r="B175" s="104">
        <f>IF($A175="","",Setup!$B77)</f>
        <v/>
      </c>
      <c r="C175" s="105">
        <f>IF($A175="","",IF(COUNTIFS(Trips!$Z5:$Z1004,$R175,Trips!$D5:$D1004,$A175)+COUNTIFS(Trips!$Z5:$Z1004,$R175,Trips!$E5:$E1004,$A175)=0,"",COUNTIFS(Trips!$Z5:$Z1004,$R175,Trips!$D5:$D1004,$A175)+COUNTIFS(Trips!$Z5:$Z1004,$R175,Trips!$E5:$E1004,$A175)))</f>
        <v/>
      </c>
      <c r="D175" s="106">
        <f>IF($C175="","",SUMIFS(Trips!$K5:$K1004,Trips!$Z5:$Z1004,$R175,Trips!$D5:$D1004,$A175)+SUMIFS(Trips!$K5:$K1004,Trips!$Z5:$Z1004,$R175,Trips!$E5:$E1004,$A175))</f>
        <v/>
      </c>
      <c r="E175" s="107">
        <f>IF($C175="","",SUMIFS(Trips!$N5:$N1004,Trips!$Z5:$Z1004,$R175,Trips!$D5:$D1004,$A175)+SUMIFS(Trips!$O5:$O1004,Trips!$Z5:$Z1004,$R175,Trips!$E5:$E1004,$A175))</f>
        <v/>
      </c>
      <c r="F175" s="108">
        <f>IF($C175="","",SUMIFS(Trips!$P5:$P1004,Trips!$Z5:$Z1004,$R175,Trips!$D5:$D1004,$A175))</f>
        <v/>
      </c>
      <c r="G175" s="108">
        <f>IF($C175="","",SUMIFS(Trips!$Q5:$Q1004,Trips!$Z5:$Z1004,$R175,Trips!$D5:$D1004,$A175))</f>
        <v/>
      </c>
      <c r="H175" s="107">
        <f>IF(AND($C175="",$I175="",$J175=""),"",N($E175)+N($F175)+N($G175))</f>
        <v/>
      </c>
      <c r="I175" s="108">
        <f>IF($A175="","",IFERROR(1/(1/SUMIFS(Expenses!$F5:$F1004,Expenses!$B5:$B1004,"Cash Advance",Expenses!$J5:$J1004,$R175,Expenses!$E5:$E1004,$A175)),""))</f>
        <v/>
      </c>
      <c r="J175" s="108">
        <f>IF($A175="","",IFERROR(1/(1/SUMIFS(Expenses!$F5:$F1004,Expenses!$B5:$B1004,"Payroll Payout",Expenses!$J5:$J1004,$R175,Expenses!$E5:$E1004,$A175)),""))</f>
        <v/>
      </c>
      <c r="K175" s="109">
        <f>IF($H175="","",N($H175)-N($I175)-N($J175))</f>
        <v/>
      </c>
      <c r="L175" s="110">
        <f>IF($K175="","",IF($K175&gt;0.5,"TO PAY",IF($K175&lt;-0.5,"ADVANCE / OWES","SETTLED")))</f>
        <v/>
      </c>
      <c r="R175" s="111" t="n">
        <v>46388</v>
      </c>
    </row>
    <row r="176">
      <c r="A176" s="103">
        <f>IF(Setup!$A78="","",Setup!$A78)</f>
        <v/>
      </c>
      <c r="B176" s="104">
        <f>IF($A176="","",Setup!$B78)</f>
        <v/>
      </c>
      <c r="C176" s="105">
        <f>IF($A176="","",IF(COUNTIFS(Trips!$Z5:$Z1004,$R176,Trips!$D5:$D1004,$A176)+COUNTIFS(Trips!$Z5:$Z1004,$R176,Trips!$E5:$E1004,$A176)=0,"",COUNTIFS(Trips!$Z5:$Z1004,$R176,Trips!$D5:$D1004,$A176)+COUNTIFS(Trips!$Z5:$Z1004,$R176,Trips!$E5:$E1004,$A176)))</f>
        <v/>
      </c>
      <c r="D176" s="106">
        <f>IF($C176="","",SUMIFS(Trips!$K5:$K1004,Trips!$Z5:$Z1004,$R176,Trips!$D5:$D1004,$A176)+SUMIFS(Trips!$K5:$K1004,Trips!$Z5:$Z1004,$R176,Trips!$E5:$E1004,$A176))</f>
        <v/>
      </c>
      <c r="E176" s="107">
        <f>IF($C176="","",SUMIFS(Trips!$N5:$N1004,Trips!$Z5:$Z1004,$R176,Trips!$D5:$D1004,$A176)+SUMIFS(Trips!$O5:$O1004,Trips!$Z5:$Z1004,$R176,Trips!$E5:$E1004,$A176))</f>
        <v/>
      </c>
      <c r="F176" s="108">
        <f>IF($C176="","",SUMIFS(Trips!$P5:$P1004,Trips!$Z5:$Z1004,$R176,Trips!$D5:$D1004,$A176))</f>
        <v/>
      </c>
      <c r="G176" s="108">
        <f>IF($C176="","",SUMIFS(Trips!$Q5:$Q1004,Trips!$Z5:$Z1004,$R176,Trips!$D5:$D1004,$A176))</f>
        <v/>
      </c>
      <c r="H176" s="107">
        <f>IF(AND($C176="",$I176="",$J176=""),"",N($E176)+N($F176)+N($G176))</f>
        <v/>
      </c>
      <c r="I176" s="108">
        <f>IF($A176="","",IFERROR(1/(1/SUMIFS(Expenses!$F5:$F1004,Expenses!$B5:$B1004,"Cash Advance",Expenses!$J5:$J1004,$R176,Expenses!$E5:$E1004,$A176)),""))</f>
        <v/>
      </c>
      <c r="J176" s="108">
        <f>IF($A176="","",IFERROR(1/(1/SUMIFS(Expenses!$F5:$F1004,Expenses!$B5:$B1004,"Payroll Payout",Expenses!$J5:$J1004,$R176,Expenses!$E5:$E1004,$A176)),""))</f>
        <v/>
      </c>
      <c r="K176" s="109">
        <f>IF($H176="","",N($H176)-N($I176)-N($J176))</f>
        <v/>
      </c>
      <c r="L176" s="110">
        <f>IF($K176="","",IF($K176&gt;0.5,"TO PAY",IF($K176&lt;-0.5,"ADVANCE / OWES","SETTLED")))</f>
        <v/>
      </c>
      <c r="R176" s="111" t="n">
        <v>46388</v>
      </c>
    </row>
    <row r="177">
      <c r="A177" s="103">
        <f>IF(Setup!$A79="","",Setup!$A79)</f>
        <v/>
      </c>
      <c r="B177" s="104">
        <f>IF($A177="","",Setup!$B79)</f>
        <v/>
      </c>
      <c r="C177" s="105">
        <f>IF($A177="","",IF(COUNTIFS(Trips!$Z5:$Z1004,$R177,Trips!$D5:$D1004,$A177)+COUNTIFS(Trips!$Z5:$Z1004,$R177,Trips!$E5:$E1004,$A177)=0,"",COUNTIFS(Trips!$Z5:$Z1004,$R177,Trips!$D5:$D1004,$A177)+COUNTIFS(Trips!$Z5:$Z1004,$R177,Trips!$E5:$E1004,$A177)))</f>
        <v/>
      </c>
      <c r="D177" s="106">
        <f>IF($C177="","",SUMIFS(Trips!$K5:$K1004,Trips!$Z5:$Z1004,$R177,Trips!$D5:$D1004,$A177)+SUMIFS(Trips!$K5:$K1004,Trips!$Z5:$Z1004,$R177,Trips!$E5:$E1004,$A177))</f>
        <v/>
      </c>
      <c r="E177" s="107">
        <f>IF($C177="","",SUMIFS(Trips!$N5:$N1004,Trips!$Z5:$Z1004,$R177,Trips!$D5:$D1004,$A177)+SUMIFS(Trips!$O5:$O1004,Trips!$Z5:$Z1004,$R177,Trips!$E5:$E1004,$A177))</f>
        <v/>
      </c>
      <c r="F177" s="108">
        <f>IF($C177="","",SUMIFS(Trips!$P5:$P1004,Trips!$Z5:$Z1004,$R177,Trips!$D5:$D1004,$A177))</f>
        <v/>
      </c>
      <c r="G177" s="108">
        <f>IF($C177="","",SUMIFS(Trips!$Q5:$Q1004,Trips!$Z5:$Z1004,$R177,Trips!$D5:$D1004,$A177))</f>
        <v/>
      </c>
      <c r="H177" s="107">
        <f>IF(AND($C177="",$I177="",$J177=""),"",N($E177)+N($F177)+N($G177))</f>
        <v/>
      </c>
      <c r="I177" s="108">
        <f>IF($A177="","",IFERROR(1/(1/SUMIFS(Expenses!$F5:$F1004,Expenses!$B5:$B1004,"Cash Advance",Expenses!$J5:$J1004,$R177,Expenses!$E5:$E1004,$A177)),""))</f>
        <v/>
      </c>
      <c r="J177" s="108">
        <f>IF($A177="","",IFERROR(1/(1/SUMIFS(Expenses!$F5:$F1004,Expenses!$B5:$B1004,"Payroll Payout",Expenses!$J5:$J1004,$R177,Expenses!$E5:$E1004,$A177)),""))</f>
        <v/>
      </c>
      <c r="K177" s="109">
        <f>IF($H177="","",N($H177)-N($I177)-N($J177))</f>
        <v/>
      </c>
      <c r="L177" s="110">
        <f>IF($K177="","",IF($K177&gt;0.5,"TO PAY",IF($K177&lt;-0.5,"ADVANCE / OWES","SETTLED")))</f>
        <v/>
      </c>
      <c r="R177" s="111" t="n">
        <v>46388</v>
      </c>
    </row>
    <row r="178">
      <c r="A178" s="103">
        <f>IF(Setup!$A80="","",Setup!$A80)</f>
        <v/>
      </c>
      <c r="B178" s="104">
        <f>IF($A178="","",Setup!$B80)</f>
        <v/>
      </c>
      <c r="C178" s="105">
        <f>IF($A178="","",IF(COUNTIFS(Trips!$Z5:$Z1004,$R178,Trips!$D5:$D1004,$A178)+COUNTIFS(Trips!$Z5:$Z1004,$R178,Trips!$E5:$E1004,$A178)=0,"",COUNTIFS(Trips!$Z5:$Z1004,$R178,Trips!$D5:$D1004,$A178)+COUNTIFS(Trips!$Z5:$Z1004,$R178,Trips!$E5:$E1004,$A178)))</f>
        <v/>
      </c>
      <c r="D178" s="106">
        <f>IF($C178="","",SUMIFS(Trips!$K5:$K1004,Trips!$Z5:$Z1004,$R178,Trips!$D5:$D1004,$A178)+SUMIFS(Trips!$K5:$K1004,Trips!$Z5:$Z1004,$R178,Trips!$E5:$E1004,$A178))</f>
        <v/>
      </c>
      <c r="E178" s="107">
        <f>IF($C178="","",SUMIFS(Trips!$N5:$N1004,Trips!$Z5:$Z1004,$R178,Trips!$D5:$D1004,$A178)+SUMIFS(Trips!$O5:$O1004,Trips!$Z5:$Z1004,$R178,Trips!$E5:$E1004,$A178))</f>
        <v/>
      </c>
      <c r="F178" s="108">
        <f>IF($C178="","",SUMIFS(Trips!$P5:$P1004,Trips!$Z5:$Z1004,$R178,Trips!$D5:$D1004,$A178))</f>
        <v/>
      </c>
      <c r="G178" s="108">
        <f>IF($C178="","",SUMIFS(Trips!$Q5:$Q1004,Trips!$Z5:$Z1004,$R178,Trips!$D5:$D1004,$A178))</f>
        <v/>
      </c>
      <c r="H178" s="107">
        <f>IF(AND($C178="",$I178="",$J178=""),"",N($E178)+N($F178)+N($G178))</f>
        <v/>
      </c>
      <c r="I178" s="108">
        <f>IF($A178="","",IFERROR(1/(1/SUMIFS(Expenses!$F5:$F1004,Expenses!$B5:$B1004,"Cash Advance",Expenses!$J5:$J1004,$R178,Expenses!$E5:$E1004,$A178)),""))</f>
        <v/>
      </c>
      <c r="J178" s="108">
        <f>IF($A178="","",IFERROR(1/(1/SUMIFS(Expenses!$F5:$F1004,Expenses!$B5:$B1004,"Payroll Payout",Expenses!$J5:$J1004,$R178,Expenses!$E5:$E1004,$A178)),""))</f>
        <v/>
      </c>
      <c r="K178" s="109">
        <f>IF($H178="","",N($H178)-N($I178)-N($J178))</f>
        <v/>
      </c>
      <c r="L178" s="110">
        <f>IF($K178="","",IF($K178&gt;0.5,"TO PAY",IF($K178&lt;-0.5,"ADVANCE / OWES","SETTLED")))</f>
        <v/>
      </c>
      <c r="R178" s="111" t="n">
        <v>46388</v>
      </c>
    </row>
    <row r="179">
      <c r="A179" s="103">
        <f>IF(Setup!$A81="","",Setup!$A81)</f>
        <v/>
      </c>
      <c r="B179" s="104">
        <f>IF($A179="","",Setup!$B81)</f>
        <v/>
      </c>
      <c r="C179" s="105">
        <f>IF($A179="","",IF(COUNTIFS(Trips!$Z5:$Z1004,$R179,Trips!$D5:$D1004,$A179)+COUNTIFS(Trips!$Z5:$Z1004,$R179,Trips!$E5:$E1004,$A179)=0,"",COUNTIFS(Trips!$Z5:$Z1004,$R179,Trips!$D5:$D1004,$A179)+COUNTIFS(Trips!$Z5:$Z1004,$R179,Trips!$E5:$E1004,$A179)))</f>
        <v/>
      </c>
      <c r="D179" s="106">
        <f>IF($C179="","",SUMIFS(Trips!$K5:$K1004,Trips!$Z5:$Z1004,$R179,Trips!$D5:$D1004,$A179)+SUMIFS(Trips!$K5:$K1004,Trips!$Z5:$Z1004,$R179,Trips!$E5:$E1004,$A179))</f>
        <v/>
      </c>
      <c r="E179" s="107">
        <f>IF($C179="","",SUMIFS(Trips!$N5:$N1004,Trips!$Z5:$Z1004,$R179,Trips!$D5:$D1004,$A179)+SUMIFS(Trips!$O5:$O1004,Trips!$Z5:$Z1004,$R179,Trips!$E5:$E1004,$A179))</f>
        <v/>
      </c>
      <c r="F179" s="108">
        <f>IF($C179="","",SUMIFS(Trips!$P5:$P1004,Trips!$Z5:$Z1004,$R179,Trips!$D5:$D1004,$A179))</f>
        <v/>
      </c>
      <c r="G179" s="108">
        <f>IF($C179="","",SUMIFS(Trips!$Q5:$Q1004,Trips!$Z5:$Z1004,$R179,Trips!$D5:$D1004,$A179))</f>
        <v/>
      </c>
      <c r="H179" s="107">
        <f>IF(AND($C179="",$I179="",$J179=""),"",N($E179)+N($F179)+N($G179))</f>
        <v/>
      </c>
      <c r="I179" s="108">
        <f>IF($A179="","",IFERROR(1/(1/SUMIFS(Expenses!$F5:$F1004,Expenses!$B5:$B1004,"Cash Advance",Expenses!$J5:$J1004,$R179,Expenses!$E5:$E1004,$A179)),""))</f>
        <v/>
      </c>
      <c r="J179" s="108">
        <f>IF($A179="","",IFERROR(1/(1/SUMIFS(Expenses!$F5:$F1004,Expenses!$B5:$B1004,"Payroll Payout",Expenses!$J5:$J1004,$R179,Expenses!$E5:$E1004,$A179)),""))</f>
        <v/>
      </c>
      <c r="K179" s="109">
        <f>IF($H179="","",N($H179)-N($I179)-N($J179))</f>
        <v/>
      </c>
      <c r="L179" s="110">
        <f>IF($K179="","",IF($K179&gt;0.5,"TO PAY",IF($K179&lt;-0.5,"ADVANCE / OWES","SETTLED")))</f>
        <v/>
      </c>
      <c r="R179" s="111" t="n">
        <v>46388</v>
      </c>
    </row>
    <row r="180">
      <c r="A180" s="103">
        <f>IF(Setup!$A82="","",Setup!$A82)</f>
        <v/>
      </c>
      <c r="B180" s="104">
        <f>IF($A180="","",Setup!$B82)</f>
        <v/>
      </c>
      <c r="C180" s="105">
        <f>IF($A180="","",IF(COUNTIFS(Trips!$Z5:$Z1004,$R180,Trips!$D5:$D1004,$A180)+COUNTIFS(Trips!$Z5:$Z1004,$R180,Trips!$E5:$E1004,$A180)=0,"",COUNTIFS(Trips!$Z5:$Z1004,$R180,Trips!$D5:$D1004,$A180)+COUNTIFS(Trips!$Z5:$Z1004,$R180,Trips!$E5:$E1004,$A180)))</f>
        <v/>
      </c>
      <c r="D180" s="106">
        <f>IF($C180="","",SUMIFS(Trips!$K5:$K1004,Trips!$Z5:$Z1004,$R180,Trips!$D5:$D1004,$A180)+SUMIFS(Trips!$K5:$K1004,Trips!$Z5:$Z1004,$R180,Trips!$E5:$E1004,$A180))</f>
        <v/>
      </c>
      <c r="E180" s="107">
        <f>IF($C180="","",SUMIFS(Trips!$N5:$N1004,Trips!$Z5:$Z1004,$R180,Trips!$D5:$D1004,$A180)+SUMIFS(Trips!$O5:$O1004,Trips!$Z5:$Z1004,$R180,Trips!$E5:$E1004,$A180))</f>
        <v/>
      </c>
      <c r="F180" s="108">
        <f>IF($C180="","",SUMIFS(Trips!$P5:$P1004,Trips!$Z5:$Z1004,$R180,Trips!$D5:$D1004,$A180))</f>
        <v/>
      </c>
      <c r="G180" s="108">
        <f>IF($C180="","",SUMIFS(Trips!$Q5:$Q1004,Trips!$Z5:$Z1004,$R180,Trips!$D5:$D1004,$A180))</f>
        <v/>
      </c>
      <c r="H180" s="107">
        <f>IF(AND($C180="",$I180="",$J180=""),"",N($E180)+N($F180)+N($G180))</f>
        <v/>
      </c>
      <c r="I180" s="108">
        <f>IF($A180="","",IFERROR(1/(1/SUMIFS(Expenses!$F5:$F1004,Expenses!$B5:$B1004,"Cash Advance",Expenses!$J5:$J1004,$R180,Expenses!$E5:$E1004,$A180)),""))</f>
        <v/>
      </c>
      <c r="J180" s="108">
        <f>IF($A180="","",IFERROR(1/(1/SUMIFS(Expenses!$F5:$F1004,Expenses!$B5:$B1004,"Payroll Payout",Expenses!$J5:$J1004,$R180,Expenses!$E5:$E1004,$A180)),""))</f>
        <v/>
      </c>
      <c r="K180" s="109">
        <f>IF($H180="","",N($H180)-N($I180)-N($J180))</f>
        <v/>
      </c>
      <c r="L180" s="110">
        <f>IF($K180="","",IF($K180&gt;0.5,"TO PAY",IF($K180&lt;-0.5,"ADVANCE / OWES","SETTLED")))</f>
        <v/>
      </c>
      <c r="R180" s="111" t="n">
        <v>46388</v>
      </c>
    </row>
    <row r="181">
      <c r="A181" s="103">
        <f>IF(Setup!$A83="","",Setup!$A83)</f>
        <v/>
      </c>
      <c r="B181" s="104">
        <f>IF($A181="","",Setup!$B83)</f>
        <v/>
      </c>
      <c r="C181" s="105">
        <f>IF($A181="","",IF(COUNTIFS(Trips!$Z5:$Z1004,$R181,Trips!$D5:$D1004,$A181)+COUNTIFS(Trips!$Z5:$Z1004,$R181,Trips!$E5:$E1004,$A181)=0,"",COUNTIFS(Trips!$Z5:$Z1004,$R181,Trips!$D5:$D1004,$A181)+COUNTIFS(Trips!$Z5:$Z1004,$R181,Trips!$E5:$E1004,$A181)))</f>
        <v/>
      </c>
      <c r="D181" s="106">
        <f>IF($C181="","",SUMIFS(Trips!$K5:$K1004,Trips!$Z5:$Z1004,$R181,Trips!$D5:$D1004,$A181)+SUMIFS(Trips!$K5:$K1004,Trips!$Z5:$Z1004,$R181,Trips!$E5:$E1004,$A181))</f>
        <v/>
      </c>
      <c r="E181" s="107">
        <f>IF($C181="","",SUMIFS(Trips!$N5:$N1004,Trips!$Z5:$Z1004,$R181,Trips!$D5:$D1004,$A181)+SUMIFS(Trips!$O5:$O1004,Trips!$Z5:$Z1004,$R181,Trips!$E5:$E1004,$A181))</f>
        <v/>
      </c>
      <c r="F181" s="108">
        <f>IF($C181="","",SUMIFS(Trips!$P5:$P1004,Trips!$Z5:$Z1004,$R181,Trips!$D5:$D1004,$A181))</f>
        <v/>
      </c>
      <c r="G181" s="108">
        <f>IF($C181="","",SUMIFS(Trips!$Q5:$Q1004,Trips!$Z5:$Z1004,$R181,Trips!$D5:$D1004,$A181))</f>
        <v/>
      </c>
      <c r="H181" s="107">
        <f>IF(AND($C181="",$I181="",$J181=""),"",N($E181)+N($F181)+N($G181))</f>
        <v/>
      </c>
      <c r="I181" s="108">
        <f>IF($A181="","",IFERROR(1/(1/SUMIFS(Expenses!$F5:$F1004,Expenses!$B5:$B1004,"Cash Advance",Expenses!$J5:$J1004,$R181,Expenses!$E5:$E1004,$A181)),""))</f>
        <v/>
      </c>
      <c r="J181" s="108">
        <f>IF($A181="","",IFERROR(1/(1/SUMIFS(Expenses!$F5:$F1004,Expenses!$B5:$B1004,"Payroll Payout",Expenses!$J5:$J1004,$R181,Expenses!$E5:$E1004,$A181)),""))</f>
        <v/>
      </c>
      <c r="K181" s="109">
        <f>IF($H181="","",N($H181)-N($I181)-N($J181))</f>
        <v/>
      </c>
      <c r="L181" s="110">
        <f>IF($K181="","",IF($K181&gt;0.5,"TO PAY",IF($K181&lt;-0.5,"ADVANCE / OWES","SETTLED")))</f>
        <v/>
      </c>
      <c r="R181" s="111" t="n">
        <v>46388</v>
      </c>
    </row>
    <row r="182">
      <c r="A182" s="103">
        <f>IF(Setup!$A84="","",Setup!$A84)</f>
        <v/>
      </c>
      <c r="B182" s="104">
        <f>IF($A182="","",Setup!$B84)</f>
        <v/>
      </c>
      <c r="C182" s="105">
        <f>IF($A182="","",IF(COUNTIFS(Trips!$Z5:$Z1004,$R182,Trips!$D5:$D1004,$A182)+COUNTIFS(Trips!$Z5:$Z1004,$R182,Trips!$E5:$E1004,$A182)=0,"",COUNTIFS(Trips!$Z5:$Z1004,$R182,Trips!$D5:$D1004,$A182)+COUNTIFS(Trips!$Z5:$Z1004,$R182,Trips!$E5:$E1004,$A182)))</f>
        <v/>
      </c>
      <c r="D182" s="106">
        <f>IF($C182="","",SUMIFS(Trips!$K5:$K1004,Trips!$Z5:$Z1004,$R182,Trips!$D5:$D1004,$A182)+SUMIFS(Trips!$K5:$K1004,Trips!$Z5:$Z1004,$R182,Trips!$E5:$E1004,$A182))</f>
        <v/>
      </c>
      <c r="E182" s="107">
        <f>IF($C182="","",SUMIFS(Trips!$N5:$N1004,Trips!$Z5:$Z1004,$R182,Trips!$D5:$D1004,$A182)+SUMIFS(Trips!$O5:$O1004,Trips!$Z5:$Z1004,$R182,Trips!$E5:$E1004,$A182))</f>
        <v/>
      </c>
      <c r="F182" s="108">
        <f>IF($C182="","",SUMIFS(Trips!$P5:$P1004,Trips!$Z5:$Z1004,$R182,Trips!$D5:$D1004,$A182))</f>
        <v/>
      </c>
      <c r="G182" s="108">
        <f>IF($C182="","",SUMIFS(Trips!$Q5:$Q1004,Trips!$Z5:$Z1004,$R182,Trips!$D5:$D1004,$A182))</f>
        <v/>
      </c>
      <c r="H182" s="107">
        <f>IF(AND($C182="",$I182="",$J182=""),"",N($E182)+N($F182)+N($G182))</f>
        <v/>
      </c>
      <c r="I182" s="108">
        <f>IF($A182="","",IFERROR(1/(1/SUMIFS(Expenses!$F5:$F1004,Expenses!$B5:$B1004,"Cash Advance",Expenses!$J5:$J1004,$R182,Expenses!$E5:$E1004,$A182)),""))</f>
        <v/>
      </c>
      <c r="J182" s="108">
        <f>IF($A182="","",IFERROR(1/(1/SUMIFS(Expenses!$F5:$F1004,Expenses!$B5:$B1004,"Payroll Payout",Expenses!$J5:$J1004,$R182,Expenses!$E5:$E1004,$A182)),""))</f>
        <v/>
      </c>
      <c r="K182" s="109">
        <f>IF($H182="","",N($H182)-N($I182)-N($J182))</f>
        <v/>
      </c>
      <c r="L182" s="110">
        <f>IF($K182="","",IF($K182&gt;0.5,"TO PAY",IF($K182&lt;-0.5,"ADVANCE / OWES","SETTLED")))</f>
        <v/>
      </c>
      <c r="R182" s="111" t="n">
        <v>46388</v>
      </c>
    </row>
    <row r="183">
      <c r="A183" s="103">
        <f>IF(Setup!$A85="","",Setup!$A85)</f>
        <v/>
      </c>
      <c r="B183" s="104">
        <f>IF($A183="","",Setup!$B85)</f>
        <v/>
      </c>
      <c r="C183" s="105">
        <f>IF($A183="","",IF(COUNTIFS(Trips!$Z5:$Z1004,$R183,Trips!$D5:$D1004,$A183)+COUNTIFS(Trips!$Z5:$Z1004,$R183,Trips!$E5:$E1004,$A183)=0,"",COUNTIFS(Trips!$Z5:$Z1004,$R183,Trips!$D5:$D1004,$A183)+COUNTIFS(Trips!$Z5:$Z1004,$R183,Trips!$E5:$E1004,$A183)))</f>
        <v/>
      </c>
      <c r="D183" s="106">
        <f>IF($C183="","",SUMIFS(Trips!$K5:$K1004,Trips!$Z5:$Z1004,$R183,Trips!$D5:$D1004,$A183)+SUMIFS(Trips!$K5:$K1004,Trips!$Z5:$Z1004,$R183,Trips!$E5:$E1004,$A183))</f>
        <v/>
      </c>
      <c r="E183" s="107">
        <f>IF($C183="","",SUMIFS(Trips!$N5:$N1004,Trips!$Z5:$Z1004,$R183,Trips!$D5:$D1004,$A183)+SUMIFS(Trips!$O5:$O1004,Trips!$Z5:$Z1004,$R183,Trips!$E5:$E1004,$A183))</f>
        <v/>
      </c>
      <c r="F183" s="108">
        <f>IF($C183="","",SUMIFS(Trips!$P5:$P1004,Trips!$Z5:$Z1004,$R183,Trips!$D5:$D1004,$A183))</f>
        <v/>
      </c>
      <c r="G183" s="108">
        <f>IF($C183="","",SUMIFS(Trips!$Q5:$Q1004,Trips!$Z5:$Z1004,$R183,Trips!$D5:$D1004,$A183))</f>
        <v/>
      </c>
      <c r="H183" s="107">
        <f>IF(AND($C183="",$I183="",$J183=""),"",N($E183)+N($F183)+N($G183))</f>
        <v/>
      </c>
      <c r="I183" s="108">
        <f>IF($A183="","",IFERROR(1/(1/SUMIFS(Expenses!$F5:$F1004,Expenses!$B5:$B1004,"Cash Advance",Expenses!$J5:$J1004,$R183,Expenses!$E5:$E1004,$A183)),""))</f>
        <v/>
      </c>
      <c r="J183" s="108">
        <f>IF($A183="","",IFERROR(1/(1/SUMIFS(Expenses!$F5:$F1004,Expenses!$B5:$B1004,"Payroll Payout",Expenses!$J5:$J1004,$R183,Expenses!$E5:$E1004,$A183)),""))</f>
        <v/>
      </c>
      <c r="K183" s="109">
        <f>IF($H183="","",N($H183)-N($I183)-N($J183))</f>
        <v/>
      </c>
      <c r="L183" s="110">
        <f>IF($K183="","",IF($K183&gt;0.5,"TO PAY",IF($K183&lt;-0.5,"ADVANCE / OWES","SETTLED")))</f>
        <v/>
      </c>
      <c r="R183" s="111" t="n">
        <v>46388</v>
      </c>
    </row>
    <row r="184">
      <c r="A184" s="103">
        <f>IF(Setup!$A86="","",Setup!$A86)</f>
        <v/>
      </c>
      <c r="B184" s="104">
        <f>IF($A184="","",Setup!$B86)</f>
        <v/>
      </c>
      <c r="C184" s="105">
        <f>IF($A184="","",IF(COUNTIFS(Trips!$Z5:$Z1004,$R184,Trips!$D5:$D1004,$A184)+COUNTIFS(Trips!$Z5:$Z1004,$R184,Trips!$E5:$E1004,$A184)=0,"",COUNTIFS(Trips!$Z5:$Z1004,$R184,Trips!$D5:$D1004,$A184)+COUNTIFS(Trips!$Z5:$Z1004,$R184,Trips!$E5:$E1004,$A184)))</f>
        <v/>
      </c>
      <c r="D184" s="106">
        <f>IF($C184="","",SUMIFS(Trips!$K5:$K1004,Trips!$Z5:$Z1004,$R184,Trips!$D5:$D1004,$A184)+SUMIFS(Trips!$K5:$K1004,Trips!$Z5:$Z1004,$R184,Trips!$E5:$E1004,$A184))</f>
        <v/>
      </c>
      <c r="E184" s="107">
        <f>IF($C184="","",SUMIFS(Trips!$N5:$N1004,Trips!$Z5:$Z1004,$R184,Trips!$D5:$D1004,$A184)+SUMIFS(Trips!$O5:$O1004,Trips!$Z5:$Z1004,$R184,Trips!$E5:$E1004,$A184))</f>
        <v/>
      </c>
      <c r="F184" s="108">
        <f>IF($C184="","",SUMIFS(Trips!$P5:$P1004,Trips!$Z5:$Z1004,$R184,Trips!$D5:$D1004,$A184))</f>
        <v/>
      </c>
      <c r="G184" s="108">
        <f>IF($C184="","",SUMIFS(Trips!$Q5:$Q1004,Trips!$Z5:$Z1004,$R184,Trips!$D5:$D1004,$A184))</f>
        <v/>
      </c>
      <c r="H184" s="107">
        <f>IF(AND($C184="",$I184="",$J184=""),"",N($E184)+N($F184)+N($G184))</f>
        <v/>
      </c>
      <c r="I184" s="108">
        <f>IF($A184="","",IFERROR(1/(1/SUMIFS(Expenses!$F5:$F1004,Expenses!$B5:$B1004,"Cash Advance",Expenses!$J5:$J1004,$R184,Expenses!$E5:$E1004,$A184)),""))</f>
        <v/>
      </c>
      <c r="J184" s="108">
        <f>IF($A184="","",IFERROR(1/(1/SUMIFS(Expenses!$F5:$F1004,Expenses!$B5:$B1004,"Payroll Payout",Expenses!$J5:$J1004,$R184,Expenses!$E5:$E1004,$A184)),""))</f>
        <v/>
      </c>
      <c r="K184" s="109">
        <f>IF($H184="","",N($H184)-N($I184)-N($J184))</f>
        <v/>
      </c>
      <c r="L184" s="110">
        <f>IF($K184="","",IF($K184&gt;0.5,"TO PAY",IF($K184&lt;-0.5,"ADVANCE / OWES","SETTLED")))</f>
        <v/>
      </c>
      <c r="R184" s="111" t="n">
        <v>46388</v>
      </c>
    </row>
    <row r="185">
      <c r="A185" s="103">
        <f>IF(Setup!$A87="","",Setup!$A87)</f>
        <v/>
      </c>
      <c r="B185" s="104">
        <f>IF($A185="","",Setup!$B87)</f>
        <v/>
      </c>
      <c r="C185" s="105">
        <f>IF($A185="","",IF(COUNTIFS(Trips!$Z5:$Z1004,$R185,Trips!$D5:$D1004,$A185)+COUNTIFS(Trips!$Z5:$Z1004,$R185,Trips!$E5:$E1004,$A185)=0,"",COUNTIFS(Trips!$Z5:$Z1004,$R185,Trips!$D5:$D1004,$A185)+COUNTIFS(Trips!$Z5:$Z1004,$R185,Trips!$E5:$E1004,$A185)))</f>
        <v/>
      </c>
      <c r="D185" s="106">
        <f>IF($C185="","",SUMIFS(Trips!$K5:$K1004,Trips!$Z5:$Z1004,$R185,Trips!$D5:$D1004,$A185)+SUMIFS(Trips!$K5:$K1004,Trips!$Z5:$Z1004,$R185,Trips!$E5:$E1004,$A185))</f>
        <v/>
      </c>
      <c r="E185" s="107">
        <f>IF($C185="","",SUMIFS(Trips!$N5:$N1004,Trips!$Z5:$Z1004,$R185,Trips!$D5:$D1004,$A185)+SUMIFS(Trips!$O5:$O1004,Trips!$Z5:$Z1004,$R185,Trips!$E5:$E1004,$A185))</f>
        <v/>
      </c>
      <c r="F185" s="108">
        <f>IF($C185="","",SUMIFS(Trips!$P5:$P1004,Trips!$Z5:$Z1004,$R185,Trips!$D5:$D1004,$A185))</f>
        <v/>
      </c>
      <c r="G185" s="108">
        <f>IF($C185="","",SUMIFS(Trips!$Q5:$Q1004,Trips!$Z5:$Z1004,$R185,Trips!$D5:$D1004,$A185))</f>
        <v/>
      </c>
      <c r="H185" s="107">
        <f>IF(AND($C185="",$I185="",$J185=""),"",N($E185)+N($F185)+N($G185))</f>
        <v/>
      </c>
      <c r="I185" s="108">
        <f>IF($A185="","",IFERROR(1/(1/SUMIFS(Expenses!$F5:$F1004,Expenses!$B5:$B1004,"Cash Advance",Expenses!$J5:$J1004,$R185,Expenses!$E5:$E1004,$A185)),""))</f>
        <v/>
      </c>
      <c r="J185" s="108">
        <f>IF($A185="","",IFERROR(1/(1/SUMIFS(Expenses!$F5:$F1004,Expenses!$B5:$B1004,"Payroll Payout",Expenses!$J5:$J1004,$R185,Expenses!$E5:$E1004,$A185)),""))</f>
        <v/>
      </c>
      <c r="K185" s="109">
        <f>IF($H185="","",N($H185)-N($I185)-N($J185))</f>
        <v/>
      </c>
      <c r="L185" s="110">
        <f>IF($K185="","",IF($K185&gt;0.5,"TO PAY",IF($K185&lt;-0.5,"ADVANCE / OWES","SETTLED")))</f>
        <v/>
      </c>
      <c r="R185" s="111" t="n">
        <v>46388</v>
      </c>
    </row>
    <row r="186">
      <c r="A186" s="112" t="inlineStr">
        <is>
          <t>MONTH TOTAL</t>
        </is>
      </c>
      <c r="B186" s="113" t="n"/>
      <c r="C186" s="114">
        <f>IF(COUNT(C174:C185)=0,"",SUM(C174:C185))</f>
        <v/>
      </c>
      <c r="D186" s="115">
        <f>IF(COUNT(D174:D185)=0,"",SUM(D174:D185))</f>
        <v/>
      </c>
      <c r="E186" s="116">
        <f>IF(COUNT(E174:E185)=0,"",SUM(E174:E185))</f>
        <v/>
      </c>
      <c r="F186" s="116">
        <f>IF(COUNT(F174:F185)=0,"",SUM(F174:F185))</f>
        <v/>
      </c>
      <c r="G186" s="116">
        <f>IF(COUNT(G174:G185)=0,"",SUM(G174:G185))</f>
        <v/>
      </c>
      <c r="H186" s="116">
        <f>IF(COUNT(H174:H185)=0,"",SUM(H174:H185))</f>
        <v/>
      </c>
      <c r="I186" s="116">
        <f>IF(COUNT(I174:I185)=0,"",SUM(I174:I185))</f>
        <v/>
      </c>
      <c r="J186" s="116">
        <f>IF(COUNT(J174:J185)=0,"",SUM(J174:J185))</f>
        <v/>
      </c>
      <c r="K186" s="116">
        <f>IF(COUNT(K174:K185)=0,"",SUM(K174:K185))</f>
        <v/>
      </c>
      <c r="L186" s="117" t="n"/>
    </row>
    <row r="187" ht="24" customHeight="1">
      <c r="A187" s="102" t="inlineStr">
        <is>
          <t>FEBRUARY 2027   ·   crew earnings &amp; settlement</t>
        </is>
      </c>
    </row>
    <row r="188">
      <c r="A188" s="103">
        <f>IF(Setup!$A76="","",Setup!$A76)</f>
        <v/>
      </c>
      <c r="B188" s="104">
        <f>IF($A188="","",Setup!$B76)</f>
        <v/>
      </c>
      <c r="C188" s="105">
        <f>IF($A188="","",IF(COUNTIFS(Trips!$Z5:$Z1004,$R188,Trips!$D5:$D1004,$A188)+COUNTIFS(Trips!$Z5:$Z1004,$R188,Trips!$E5:$E1004,$A188)=0,"",COUNTIFS(Trips!$Z5:$Z1004,$R188,Trips!$D5:$D1004,$A188)+COUNTIFS(Trips!$Z5:$Z1004,$R188,Trips!$E5:$E1004,$A188)))</f>
        <v/>
      </c>
      <c r="D188" s="106">
        <f>IF($C188="","",SUMIFS(Trips!$K5:$K1004,Trips!$Z5:$Z1004,$R188,Trips!$D5:$D1004,$A188)+SUMIFS(Trips!$K5:$K1004,Trips!$Z5:$Z1004,$R188,Trips!$E5:$E1004,$A188))</f>
        <v/>
      </c>
      <c r="E188" s="107">
        <f>IF($C188="","",SUMIFS(Trips!$N5:$N1004,Trips!$Z5:$Z1004,$R188,Trips!$D5:$D1004,$A188)+SUMIFS(Trips!$O5:$O1004,Trips!$Z5:$Z1004,$R188,Trips!$E5:$E1004,$A188))</f>
        <v/>
      </c>
      <c r="F188" s="108">
        <f>IF($C188="","",SUMIFS(Trips!$P5:$P1004,Trips!$Z5:$Z1004,$R188,Trips!$D5:$D1004,$A188))</f>
        <v/>
      </c>
      <c r="G188" s="108">
        <f>IF($C188="","",SUMIFS(Trips!$Q5:$Q1004,Trips!$Z5:$Z1004,$R188,Trips!$D5:$D1004,$A188))</f>
        <v/>
      </c>
      <c r="H188" s="107">
        <f>IF(AND($C188="",$I188="",$J188=""),"",N($E188)+N($F188)+N($G188))</f>
        <v/>
      </c>
      <c r="I188" s="108">
        <f>IF($A188="","",IFERROR(1/(1/SUMIFS(Expenses!$F5:$F1004,Expenses!$B5:$B1004,"Cash Advance",Expenses!$J5:$J1004,$R188,Expenses!$E5:$E1004,$A188)),""))</f>
        <v/>
      </c>
      <c r="J188" s="108">
        <f>IF($A188="","",IFERROR(1/(1/SUMIFS(Expenses!$F5:$F1004,Expenses!$B5:$B1004,"Payroll Payout",Expenses!$J5:$J1004,$R188,Expenses!$E5:$E1004,$A188)),""))</f>
        <v/>
      </c>
      <c r="K188" s="109">
        <f>IF($H188="","",N($H188)-N($I188)-N($J188))</f>
        <v/>
      </c>
      <c r="L188" s="110">
        <f>IF($K188="","",IF($K188&gt;0.5,"TO PAY",IF($K188&lt;-0.5,"ADVANCE / OWES","SETTLED")))</f>
        <v/>
      </c>
      <c r="R188" s="111" t="n">
        <v>46419</v>
      </c>
    </row>
    <row r="189">
      <c r="A189" s="103">
        <f>IF(Setup!$A77="","",Setup!$A77)</f>
        <v/>
      </c>
      <c r="B189" s="104">
        <f>IF($A189="","",Setup!$B77)</f>
        <v/>
      </c>
      <c r="C189" s="105">
        <f>IF($A189="","",IF(COUNTIFS(Trips!$Z5:$Z1004,$R189,Trips!$D5:$D1004,$A189)+COUNTIFS(Trips!$Z5:$Z1004,$R189,Trips!$E5:$E1004,$A189)=0,"",COUNTIFS(Trips!$Z5:$Z1004,$R189,Trips!$D5:$D1004,$A189)+COUNTIFS(Trips!$Z5:$Z1004,$R189,Trips!$E5:$E1004,$A189)))</f>
        <v/>
      </c>
      <c r="D189" s="106">
        <f>IF($C189="","",SUMIFS(Trips!$K5:$K1004,Trips!$Z5:$Z1004,$R189,Trips!$D5:$D1004,$A189)+SUMIFS(Trips!$K5:$K1004,Trips!$Z5:$Z1004,$R189,Trips!$E5:$E1004,$A189))</f>
        <v/>
      </c>
      <c r="E189" s="107">
        <f>IF($C189="","",SUMIFS(Trips!$N5:$N1004,Trips!$Z5:$Z1004,$R189,Trips!$D5:$D1004,$A189)+SUMIFS(Trips!$O5:$O1004,Trips!$Z5:$Z1004,$R189,Trips!$E5:$E1004,$A189))</f>
        <v/>
      </c>
      <c r="F189" s="108">
        <f>IF($C189="","",SUMIFS(Trips!$P5:$P1004,Trips!$Z5:$Z1004,$R189,Trips!$D5:$D1004,$A189))</f>
        <v/>
      </c>
      <c r="G189" s="108">
        <f>IF($C189="","",SUMIFS(Trips!$Q5:$Q1004,Trips!$Z5:$Z1004,$R189,Trips!$D5:$D1004,$A189))</f>
        <v/>
      </c>
      <c r="H189" s="107">
        <f>IF(AND($C189="",$I189="",$J189=""),"",N($E189)+N($F189)+N($G189))</f>
        <v/>
      </c>
      <c r="I189" s="108">
        <f>IF($A189="","",IFERROR(1/(1/SUMIFS(Expenses!$F5:$F1004,Expenses!$B5:$B1004,"Cash Advance",Expenses!$J5:$J1004,$R189,Expenses!$E5:$E1004,$A189)),""))</f>
        <v/>
      </c>
      <c r="J189" s="108">
        <f>IF($A189="","",IFERROR(1/(1/SUMIFS(Expenses!$F5:$F1004,Expenses!$B5:$B1004,"Payroll Payout",Expenses!$J5:$J1004,$R189,Expenses!$E5:$E1004,$A189)),""))</f>
        <v/>
      </c>
      <c r="K189" s="109">
        <f>IF($H189="","",N($H189)-N($I189)-N($J189))</f>
        <v/>
      </c>
      <c r="L189" s="110">
        <f>IF($K189="","",IF($K189&gt;0.5,"TO PAY",IF($K189&lt;-0.5,"ADVANCE / OWES","SETTLED")))</f>
        <v/>
      </c>
      <c r="R189" s="111" t="n">
        <v>46419</v>
      </c>
    </row>
    <row r="190">
      <c r="A190" s="103">
        <f>IF(Setup!$A78="","",Setup!$A78)</f>
        <v/>
      </c>
      <c r="B190" s="104">
        <f>IF($A190="","",Setup!$B78)</f>
        <v/>
      </c>
      <c r="C190" s="105">
        <f>IF($A190="","",IF(COUNTIFS(Trips!$Z5:$Z1004,$R190,Trips!$D5:$D1004,$A190)+COUNTIFS(Trips!$Z5:$Z1004,$R190,Trips!$E5:$E1004,$A190)=0,"",COUNTIFS(Trips!$Z5:$Z1004,$R190,Trips!$D5:$D1004,$A190)+COUNTIFS(Trips!$Z5:$Z1004,$R190,Trips!$E5:$E1004,$A190)))</f>
        <v/>
      </c>
      <c r="D190" s="106">
        <f>IF($C190="","",SUMIFS(Trips!$K5:$K1004,Trips!$Z5:$Z1004,$R190,Trips!$D5:$D1004,$A190)+SUMIFS(Trips!$K5:$K1004,Trips!$Z5:$Z1004,$R190,Trips!$E5:$E1004,$A190))</f>
        <v/>
      </c>
      <c r="E190" s="107">
        <f>IF($C190="","",SUMIFS(Trips!$N5:$N1004,Trips!$Z5:$Z1004,$R190,Trips!$D5:$D1004,$A190)+SUMIFS(Trips!$O5:$O1004,Trips!$Z5:$Z1004,$R190,Trips!$E5:$E1004,$A190))</f>
        <v/>
      </c>
      <c r="F190" s="108">
        <f>IF($C190="","",SUMIFS(Trips!$P5:$P1004,Trips!$Z5:$Z1004,$R190,Trips!$D5:$D1004,$A190))</f>
        <v/>
      </c>
      <c r="G190" s="108">
        <f>IF($C190="","",SUMIFS(Trips!$Q5:$Q1004,Trips!$Z5:$Z1004,$R190,Trips!$D5:$D1004,$A190))</f>
        <v/>
      </c>
      <c r="H190" s="107">
        <f>IF(AND($C190="",$I190="",$J190=""),"",N($E190)+N($F190)+N($G190))</f>
        <v/>
      </c>
      <c r="I190" s="108">
        <f>IF($A190="","",IFERROR(1/(1/SUMIFS(Expenses!$F5:$F1004,Expenses!$B5:$B1004,"Cash Advance",Expenses!$J5:$J1004,$R190,Expenses!$E5:$E1004,$A190)),""))</f>
        <v/>
      </c>
      <c r="J190" s="108">
        <f>IF($A190="","",IFERROR(1/(1/SUMIFS(Expenses!$F5:$F1004,Expenses!$B5:$B1004,"Payroll Payout",Expenses!$J5:$J1004,$R190,Expenses!$E5:$E1004,$A190)),""))</f>
        <v/>
      </c>
      <c r="K190" s="109">
        <f>IF($H190="","",N($H190)-N($I190)-N($J190))</f>
        <v/>
      </c>
      <c r="L190" s="110">
        <f>IF($K190="","",IF($K190&gt;0.5,"TO PAY",IF($K190&lt;-0.5,"ADVANCE / OWES","SETTLED")))</f>
        <v/>
      </c>
      <c r="R190" s="111" t="n">
        <v>46419</v>
      </c>
    </row>
    <row r="191">
      <c r="A191" s="103">
        <f>IF(Setup!$A79="","",Setup!$A79)</f>
        <v/>
      </c>
      <c r="B191" s="104">
        <f>IF($A191="","",Setup!$B79)</f>
        <v/>
      </c>
      <c r="C191" s="105">
        <f>IF($A191="","",IF(COUNTIFS(Trips!$Z5:$Z1004,$R191,Trips!$D5:$D1004,$A191)+COUNTIFS(Trips!$Z5:$Z1004,$R191,Trips!$E5:$E1004,$A191)=0,"",COUNTIFS(Trips!$Z5:$Z1004,$R191,Trips!$D5:$D1004,$A191)+COUNTIFS(Trips!$Z5:$Z1004,$R191,Trips!$E5:$E1004,$A191)))</f>
        <v/>
      </c>
      <c r="D191" s="106">
        <f>IF($C191="","",SUMIFS(Trips!$K5:$K1004,Trips!$Z5:$Z1004,$R191,Trips!$D5:$D1004,$A191)+SUMIFS(Trips!$K5:$K1004,Trips!$Z5:$Z1004,$R191,Trips!$E5:$E1004,$A191))</f>
        <v/>
      </c>
      <c r="E191" s="107">
        <f>IF($C191="","",SUMIFS(Trips!$N5:$N1004,Trips!$Z5:$Z1004,$R191,Trips!$D5:$D1004,$A191)+SUMIFS(Trips!$O5:$O1004,Trips!$Z5:$Z1004,$R191,Trips!$E5:$E1004,$A191))</f>
        <v/>
      </c>
      <c r="F191" s="108">
        <f>IF($C191="","",SUMIFS(Trips!$P5:$P1004,Trips!$Z5:$Z1004,$R191,Trips!$D5:$D1004,$A191))</f>
        <v/>
      </c>
      <c r="G191" s="108">
        <f>IF($C191="","",SUMIFS(Trips!$Q5:$Q1004,Trips!$Z5:$Z1004,$R191,Trips!$D5:$D1004,$A191))</f>
        <v/>
      </c>
      <c r="H191" s="107">
        <f>IF(AND($C191="",$I191="",$J191=""),"",N($E191)+N($F191)+N($G191))</f>
        <v/>
      </c>
      <c r="I191" s="108">
        <f>IF($A191="","",IFERROR(1/(1/SUMIFS(Expenses!$F5:$F1004,Expenses!$B5:$B1004,"Cash Advance",Expenses!$J5:$J1004,$R191,Expenses!$E5:$E1004,$A191)),""))</f>
        <v/>
      </c>
      <c r="J191" s="108">
        <f>IF($A191="","",IFERROR(1/(1/SUMIFS(Expenses!$F5:$F1004,Expenses!$B5:$B1004,"Payroll Payout",Expenses!$J5:$J1004,$R191,Expenses!$E5:$E1004,$A191)),""))</f>
        <v/>
      </c>
      <c r="K191" s="109">
        <f>IF($H191="","",N($H191)-N($I191)-N($J191))</f>
        <v/>
      </c>
      <c r="L191" s="110">
        <f>IF($K191="","",IF($K191&gt;0.5,"TO PAY",IF($K191&lt;-0.5,"ADVANCE / OWES","SETTLED")))</f>
        <v/>
      </c>
      <c r="R191" s="111" t="n">
        <v>46419</v>
      </c>
    </row>
    <row r="192">
      <c r="A192" s="103">
        <f>IF(Setup!$A80="","",Setup!$A80)</f>
        <v/>
      </c>
      <c r="B192" s="104">
        <f>IF($A192="","",Setup!$B80)</f>
        <v/>
      </c>
      <c r="C192" s="105">
        <f>IF($A192="","",IF(COUNTIFS(Trips!$Z5:$Z1004,$R192,Trips!$D5:$D1004,$A192)+COUNTIFS(Trips!$Z5:$Z1004,$R192,Trips!$E5:$E1004,$A192)=0,"",COUNTIFS(Trips!$Z5:$Z1004,$R192,Trips!$D5:$D1004,$A192)+COUNTIFS(Trips!$Z5:$Z1004,$R192,Trips!$E5:$E1004,$A192)))</f>
        <v/>
      </c>
      <c r="D192" s="106">
        <f>IF($C192="","",SUMIFS(Trips!$K5:$K1004,Trips!$Z5:$Z1004,$R192,Trips!$D5:$D1004,$A192)+SUMIFS(Trips!$K5:$K1004,Trips!$Z5:$Z1004,$R192,Trips!$E5:$E1004,$A192))</f>
        <v/>
      </c>
      <c r="E192" s="107">
        <f>IF($C192="","",SUMIFS(Trips!$N5:$N1004,Trips!$Z5:$Z1004,$R192,Trips!$D5:$D1004,$A192)+SUMIFS(Trips!$O5:$O1004,Trips!$Z5:$Z1004,$R192,Trips!$E5:$E1004,$A192))</f>
        <v/>
      </c>
      <c r="F192" s="108">
        <f>IF($C192="","",SUMIFS(Trips!$P5:$P1004,Trips!$Z5:$Z1004,$R192,Trips!$D5:$D1004,$A192))</f>
        <v/>
      </c>
      <c r="G192" s="108">
        <f>IF($C192="","",SUMIFS(Trips!$Q5:$Q1004,Trips!$Z5:$Z1004,$R192,Trips!$D5:$D1004,$A192))</f>
        <v/>
      </c>
      <c r="H192" s="107">
        <f>IF(AND($C192="",$I192="",$J192=""),"",N($E192)+N($F192)+N($G192))</f>
        <v/>
      </c>
      <c r="I192" s="108">
        <f>IF($A192="","",IFERROR(1/(1/SUMIFS(Expenses!$F5:$F1004,Expenses!$B5:$B1004,"Cash Advance",Expenses!$J5:$J1004,$R192,Expenses!$E5:$E1004,$A192)),""))</f>
        <v/>
      </c>
      <c r="J192" s="108">
        <f>IF($A192="","",IFERROR(1/(1/SUMIFS(Expenses!$F5:$F1004,Expenses!$B5:$B1004,"Payroll Payout",Expenses!$J5:$J1004,$R192,Expenses!$E5:$E1004,$A192)),""))</f>
        <v/>
      </c>
      <c r="K192" s="109">
        <f>IF($H192="","",N($H192)-N($I192)-N($J192))</f>
        <v/>
      </c>
      <c r="L192" s="110">
        <f>IF($K192="","",IF($K192&gt;0.5,"TO PAY",IF($K192&lt;-0.5,"ADVANCE / OWES","SETTLED")))</f>
        <v/>
      </c>
      <c r="R192" s="111" t="n">
        <v>46419</v>
      </c>
    </row>
    <row r="193">
      <c r="A193" s="103">
        <f>IF(Setup!$A81="","",Setup!$A81)</f>
        <v/>
      </c>
      <c r="B193" s="104">
        <f>IF($A193="","",Setup!$B81)</f>
        <v/>
      </c>
      <c r="C193" s="105">
        <f>IF($A193="","",IF(COUNTIFS(Trips!$Z5:$Z1004,$R193,Trips!$D5:$D1004,$A193)+COUNTIFS(Trips!$Z5:$Z1004,$R193,Trips!$E5:$E1004,$A193)=0,"",COUNTIFS(Trips!$Z5:$Z1004,$R193,Trips!$D5:$D1004,$A193)+COUNTIFS(Trips!$Z5:$Z1004,$R193,Trips!$E5:$E1004,$A193)))</f>
        <v/>
      </c>
      <c r="D193" s="106">
        <f>IF($C193="","",SUMIFS(Trips!$K5:$K1004,Trips!$Z5:$Z1004,$R193,Trips!$D5:$D1004,$A193)+SUMIFS(Trips!$K5:$K1004,Trips!$Z5:$Z1004,$R193,Trips!$E5:$E1004,$A193))</f>
        <v/>
      </c>
      <c r="E193" s="107">
        <f>IF($C193="","",SUMIFS(Trips!$N5:$N1004,Trips!$Z5:$Z1004,$R193,Trips!$D5:$D1004,$A193)+SUMIFS(Trips!$O5:$O1004,Trips!$Z5:$Z1004,$R193,Trips!$E5:$E1004,$A193))</f>
        <v/>
      </c>
      <c r="F193" s="108">
        <f>IF($C193="","",SUMIFS(Trips!$P5:$P1004,Trips!$Z5:$Z1004,$R193,Trips!$D5:$D1004,$A193))</f>
        <v/>
      </c>
      <c r="G193" s="108">
        <f>IF($C193="","",SUMIFS(Trips!$Q5:$Q1004,Trips!$Z5:$Z1004,$R193,Trips!$D5:$D1004,$A193))</f>
        <v/>
      </c>
      <c r="H193" s="107">
        <f>IF(AND($C193="",$I193="",$J193=""),"",N($E193)+N($F193)+N($G193))</f>
        <v/>
      </c>
      <c r="I193" s="108">
        <f>IF($A193="","",IFERROR(1/(1/SUMIFS(Expenses!$F5:$F1004,Expenses!$B5:$B1004,"Cash Advance",Expenses!$J5:$J1004,$R193,Expenses!$E5:$E1004,$A193)),""))</f>
        <v/>
      </c>
      <c r="J193" s="108">
        <f>IF($A193="","",IFERROR(1/(1/SUMIFS(Expenses!$F5:$F1004,Expenses!$B5:$B1004,"Payroll Payout",Expenses!$J5:$J1004,$R193,Expenses!$E5:$E1004,$A193)),""))</f>
        <v/>
      </c>
      <c r="K193" s="109">
        <f>IF($H193="","",N($H193)-N($I193)-N($J193))</f>
        <v/>
      </c>
      <c r="L193" s="110">
        <f>IF($K193="","",IF($K193&gt;0.5,"TO PAY",IF($K193&lt;-0.5,"ADVANCE / OWES","SETTLED")))</f>
        <v/>
      </c>
      <c r="R193" s="111" t="n">
        <v>46419</v>
      </c>
    </row>
    <row r="194">
      <c r="A194" s="103">
        <f>IF(Setup!$A82="","",Setup!$A82)</f>
        <v/>
      </c>
      <c r="B194" s="104">
        <f>IF($A194="","",Setup!$B82)</f>
        <v/>
      </c>
      <c r="C194" s="105">
        <f>IF($A194="","",IF(COUNTIFS(Trips!$Z5:$Z1004,$R194,Trips!$D5:$D1004,$A194)+COUNTIFS(Trips!$Z5:$Z1004,$R194,Trips!$E5:$E1004,$A194)=0,"",COUNTIFS(Trips!$Z5:$Z1004,$R194,Trips!$D5:$D1004,$A194)+COUNTIFS(Trips!$Z5:$Z1004,$R194,Trips!$E5:$E1004,$A194)))</f>
        <v/>
      </c>
      <c r="D194" s="106">
        <f>IF($C194="","",SUMIFS(Trips!$K5:$K1004,Trips!$Z5:$Z1004,$R194,Trips!$D5:$D1004,$A194)+SUMIFS(Trips!$K5:$K1004,Trips!$Z5:$Z1004,$R194,Trips!$E5:$E1004,$A194))</f>
        <v/>
      </c>
      <c r="E194" s="107">
        <f>IF($C194="","",SUMIFS(Trips!$N5:$N1004,Trips!$Z5:$Z1004,$R194,Trips!$D5:$D1004,$A194)+SUMIFS(Trips!$O5:$O1004,Trips!$Z5:$Z1004,$R194,Trips!$E5:$E1004,$A194))</f>
        <v/>
      </c>
      <c r="F194" s="108">
        <f>IF($C194="","",SUMIFS(Trips!$P5:$P1004,Trips!$Z5:$Z1004,$R194,Trips!$D5:$D1004,$A194))</f>
        <v/>
      </c>
      <c r="G194" s="108">
        <f>IF($C194="","",SUMIFS(Trips!$Q5:$Q1004,Trips!$Z5:$Z1004,$R194,Trips!$D5:$D1004,$A194))</f>
        <v/>
      </c>
      <c r="H194" s="107">
        <f>IF(AND($C194="",$I194="",$J194=""),"",N($E194)+N($F194)+N($G194))</f>
        <v/>
      </c>
      <c r="I194" s="108">
        <f>IF($A194="","",IFERROR(1/(1/SUMIFS(Expenses!$F5:$F1004,Expenses!$B5:$B1004,"Cash Advance",Expenses!$J5:$J1004,$R194,Expenses!$E5:$E1004,$A194)),""))</f>
        <v/>
      </c>
      <c r="J194" s="108">
        <f>IF($A194="","",IFERROR(1/(1/SUMIFS(Expenses!$F5:$F1004,Expenses!$B5:$B1004,"Payroll Payout",Expenses!$J5:$J1004,$R194,Expenses!$E5:$E1004,$A194)),""))</f>
        <v/>
      </c>
      <c r="K194" s="109">
        <f>IF($H194="","",N($H194)-N($I194)-N($J194))</f>
        <v/>
      </c>
      <c r="L194" s="110">
        <f>IF($K194="","",IF($K194&gt;0.5,"TO PAY",IF($K194&lt;-0.5,"ADVANCE / OWES","SETTLED")))</f>
        <v/>
      </c>
      <c r="R194" s="111" t="n">
        <v>46419</v>
      </c>
    </row>
    <row r="195">
      <c r="A195" s="103">
        <f>IF(Setup!$A83="","",Setup!$A83)</f>
        <v/>
      </c>
      <c r="B195" s="104">
        <f>IF($A195="","",Setup!$B83)</f>
        <v/>
      </c>
      <c r="C195" s="105">
        <f>IF($A195="","",IF(COUNTIFS(Trips!$Z5:$Z1004,$R195,Trips!$D5:$D1004,$A195)+COUNTIFS(Trips!$Z5:$Z1004,$R195,Trips!$E5:$E1004,$A195)=0,"",COUNTIFS(Trips!$Z5:$Z1004,$R195,Trips!$D5:$D1004,$A195)+COUNTIFS(Trips!$Z5:$Z1004,$R195,Trips!$E5:$E1004,$A195)))</f>
        <v/>
      </c>
      <c r="D195" s="106">
        <f>IF($C195="","",SUMIFS(Trips!$K5:$K1004,Trips!$Z5:$Z1004,$R195,Trips!$D5:$D1004,$A195)+SUMIFS(Trips!$K5:$K1004,Trips!$Z5:$Z1004,$R195,Trips!$E5:$E1004,$A195))</f>
        <v/>
      </c>
      <c r="E195" s="107">
        <f>IF($C195="","",SUMIFS(Trips!$N5:$N1004,Trips!$Z5:$Z1004,$R195,Trips!$D5:$D1004,$A195)+SUMIFS(Trips!$O5:$O1004,Trips!$Z5:$Z1004,$R195,Trips!$E5:$E1004,$A195))</f>
        <v/>
      </c>
      <c r="F195" s="108">
        <f>IF($C195="","",SUMIFS(Trips!$P5:$P1004,Trips!$Z5:$Z1004,$R195,Trips!$D5:$D1004,$A195))</f>
        <v/>
      </c>
      <c r="G195" s="108">
        <f>IF($C195="","",SUMIFS(Trips!$Q5:$Q1004,Trips!$Z5:$Z1004,$R195,Trips!$D5:$D1004,$A195))</f>
        <v/>
      </c>
      <c r="H195" s="107">
        <f>IF(AND($C195="",$I195="",$J195=""),"",N($E195)+N($F195)+N($G195))</f>
        <v/>
      </c>
      <c r="I195" s="108">
        <f>IF($A195="","",IFERROR(1/(1/SUMIFS(Expenses!$F5:$F1004,Expenses!$B5:$B1004,"Cash Advance",Expenses!$J5:$J1004,$R195,Expenses!$E5:$E1004,$A195)),""))</f>
        <v/>
      </c>
      <c r="J195" s="108">
        <f>IF($A195="","",IFERROR(1/(1/SUMIFS(Expenses!$F5:$F1004,Expenses!$B5:$B1004,"Payroll Payout",Expenses!$J5:$J1004,$R195,Expenses!$E5:$E1004,$A195)),""))</f>
        <v/>
      </c>
      <c r="K195" s="109">
        <f>IF($H195="","",N($H195)-N($I195)-N($J195))</f>
        <v/>
      </c>
      <c r="L195" s="110">
        <f>IF($K195="","",IF($K195&gt;0.5,"TO PAY",IF($K195&lt;-0.5,"ADVANCE / OWES","SETTLED")))</f>
        <v/>
      </c>
      <c r="R195" s="111" t="n">
        <v>46419</v>
      </c>
    </row>
    <row r="196">
      <c r="A196" s="103">
        <f>IF(Setup!$A84="","",Setup!$A84)</f>
        <v/>
      </c>
      <c r="B196" s="104">
        <f>IF($A196="","",Setup!$B84)</f>
        <v/>
      </c>
      <c r="C196" s="105">
        <f>IF($A196="","",IF(COUNTIFS(Trips!$Z5:$Z1004,$R196,Trips!$D5:$D1004,$A196)+COUNTIFS(Trips!$Z5:$Z1004,$R196,Trips!$E5:$E1004,$A196)=0,"",COUNTIFS(Trips!$Z5:$Z1004,$R196,Trips!$D5:$D1004,$A196)+COUNTIFS(Trips!$Z5:$Z1004,$R196,Trips!$E5:$E1004,$A196)))</f>
        <v/>
      </c>
      <c r="D196" s="106">
        <f>IF($C196="","",SUMIFS(Trips!$K5:$K1004,Trips!$Z5:$Z1004,$R196,Trips!$D5:$D1004,$A196)+SUMIFS(Trips!$K5:$K1004,Trips!$Z5:$Z1004,$R196,Trips!$E5:$E1004,$A196))</f>
        <v/>
      </c>
      <c r="E196" s="107">
        <f>IF($C196="","",SUMIFS(Trips!$N5:$N1004,Trips!$Z5:$Z1004,$R196,Trips!$D5:$D1004,$A196)+SUMIFS(Trips!$O5:$O1004,Trips!$Z5:$Z1004,$R196,Trips!$E5:$E1004,$A196))</f>
        <v/>
      </c>
      <c r="F196" s="108">
        <f>IF($C196="","",SUMIFS(Trips!$P5:$P1004,Trips!$Z5:$Z1004,$R196,Trips!$D5:$D1004,$A196))</f>
        <v/>
      </c>
      <c r="G196" s="108">
        <f>IF($C196="","",SUMIFS(Trips!$Q5:$Q1004,Trips!$Z5:$Z1004,$R196,Trips!$D5:$D1004,$A196))</f>
        <v/>
      </c>
      <c r="H196" s="107">
        <f>IF(AND($C196="",$I196="",$J196=""),"",N($E196)+N($F196)+N($G196))</f>
        <v/>
      </c>
      <c r="I196" s="108">
        <f>IF($A196="","",IFERROR(1/(1/SUMIFS(Expenses!$F5:$F1004,Expenses!$B5:$B1004,"Cash Advance",Expenses!$J5:$J1004,$R196,Expenses!$E5:$E1004,$A196)),""))</f>
        <v/>
      </c>
      <c r="J196" s="108">
        <f>IF($A196="","",IFERROR(1/(1/SUMIFS(Expenses!$F5:$F1004,Expenses!$B5:$B1004,"Payroll Payout",Expenses!$J5:$J1004,$R196,Expenses!$E5:$E1004,$A196)),""))</f>
        <v/>
      </c>
      <c r="K196" s="109">
        <f>IF($H196="","",N($H196)-N($I196)-N($J196))</f>
        <v/>
      </c>
      <c r="L196" s="110">
        <f>IF($K196="","",IF($K196&gt;0.5,"TO PAY",IF($K196&lt;-0.5,"ADVANCE / OWES","SETTLED")))</f>
        <v/>
      </c>
      <c r="R196" s="111" t="n">
        <v>46419</v>
      </c>
    </row>
    <row r="197">
      <c r="A197" s="103">
        <f>IF(Setup!$A85="","",Setup!$A85)</f>
        <v/>
      </c>
      <c r="B197" s="104">
        <f>IF($A197="","",Setup!$B85)</f>
        <v/>
      </c>
      <c r="C197" s="105">
        <f>IF($A197="","",IF(COUNTIFS(Trips!$Z5:$Z1004,$R197,Trips!$D5:$D1004,$A197)+COUNTIFS(Trips!$Z5:$Z1004,$R197,Trips!$E5:$E1004,$A197)=0,"",COUNTIFS(Trips!$Z5:$Z1004,$R197,Trips!$D5:$D1004,$A197)+COUNTIFS(Trips!$Z5:$Z1004,$R197,Trips!$E5:$E1004,$A197)))</f>
        <v/>
      </c>
      <c r="D197" s="106">
        <f>IF($C197="","",SUMIFS(Trips!$K5:$K1004,Trips!$Z5:$Z1004,$R197,Trips!$D5:$D1004,$A197)+SUMIFS(Trips!$K5:$K1004,Trips!$Z5:$Z1004,$R197,Trips!$E5:$E1004,$A197))</f>
        <v/>
      </c>
      <c r="E197" s="107">
        <f>IF($C197="","",SUMIFS(Trips!$N5:$N1004,Trips!$Z5:$Z1004,$R197,Trips!$D5:$D1004,$A197)+SUMIFS(Trips!$O5:$O1004,Trips!$Z5:$Z1004,$R197,Trips!$E5:$E1004,$A197))</f>
        <v/>
      </c>
      <c r="F197" s="108">
        <f>IF($C197="","",SUMIFS(Trips!$P5:$P1004,Trips!$Z5:$Z1004,$R197,Trips!$D5:$D1004,$A197))</f>
        <v/>
      </c>
      <c r="G197" s="108">
        <f>IF($C197="","",SUMIFS(Trips!$Q5:$Q1004,Trips!$Z5:$Z1004,$R197,Trips!$D5:$D1004,$A197))</f>
        <v/>
      </c>
      <c r="H197" s="107">
        <f>IF(AND($C197="",$I197="",$J197=""),"",N($E197)+N($F197)+N($G197))</f>
        <v/>
      </c>
      <c r="I197" s="108">
        <f>IF($A197="","",IFERROR(1/(1/SUMIFS(Expenses!$F5:$F1004,Expenses!$B5:$B1004,"Cash Advance",Expenses!$J5:$J1004,$R197,Expenses!$E5:$E1004,$A197)),""))</f>
        <v/>
      </c>
      <c r="J197" s="108">
        <f>IF($A197="","",IFERROR(1/(1/SUMIFS(Expenses!$F5:$F1004,Expenses!$B5:$B1004,"Payroll Payout",Expenses!$J5:$J1004,$R197,Expenses!$E5:$E1004,$A197)),""))</f>
        <v/>
      </c>
      <c r="K197" s="109">
        <f>IF($H197="","",N($H197)-N($I197)-N($J197))</f>
        <v/>
      </c>
      <c r="L197" s="110">
        <f>IF($K197="","",IF($K197&gt;0.5,"TO PAY",IF($K197&lt;-0.5,"ADVANCE / OWES","SETTLED")))</f>
        <v/>
      </c>
      <c r="R197" s="111" t="n">
        <v>46419</v>
      </c>
    </row>
    <row r="198">
      <c r="A198" s="103">
        <f>IF(Setup!$A86="","",Setup!$A86)</f>
        <v/>
      </c>
      <c r="B198" s="104">
        <f>IF($A198="","",Setup!$B86)</f>
        <v/>
      </c>
      <c r="C198" s="105">
        <f>IF($A198="","",IF(COUNTIFS(Trips!$Z5:$Z1004,$R198,Trips!$D5:$D1004,$A198)+COUNTIFS(Trips!$Z5:$Z1004,$R198,Trips!$E5:$E1004,$A198)=0,"",COUNTIFS(Trips!$Z5:$Z1004,$R198,Trips!$D5:$D1004,$A198)+COUNTIFS(Trips!$Z5:$Z1004,$R198,Trips!$E5:$E1004,$A198)))</f>
        <v/>
      </c>
      <c r="D198" s="106">
        <f>IF($C198="","",SUMIFS(Trips!$K5:$K1004,Trips!$Z5:$Z1004,$R198,Trips!$D5:$D1004,$A198)+SUMIFS(Trips!$K5:$K1004,Trips!$Z5:$Z1004,$R198,Trips!$E5:$E1004,$A198))</f>
        <v/>
      </c>
      <c r="E198" s="107">
        <f>IF($C198="","",SUMIFS(Trips!$N5:$N1004,Trips!$Z5:$Z1004,$R198,Trips!$D5:$D1004,$A198)+SUMIFS(Trips!$O5:$O1004,Trips!$Z5:$Z1004,$R198,Trips!$E5:$E1004,$A198))</f>
        <v/>
      </c>
      <c r="F198" s="108">
        <f>IF($C198="","",SUMIFS(Trips!$P5:$P1004,Trips!$Z5:$Z1004,$R198,Trips!$D5:$D1004,$A198))</f>
        <v/>
      </c>
      <c r="G198" s="108">
        <f>IF($C198="","",SUMIFS(Trips!$Q5:$Q1004,Trips!$Z5:$Z1004,$R198,Trips!$D5:$D1004,$A198))</f>
        <v/>
      </c>
      <c r="H198" s="107">
        <f>IF(AND($C198="",$I198="",$J198=""),"",N($E198)+N($F198)+N($G198))</f>
        <v/>
      </c>
      <c r="I198" s="108">
        <f>IF($A198="","",IFERROR(1/(1/SUMIFS(Expenses!$F5:$F1004,Expenses!$B5:$B1004,"Cash Advance",Expenses!$J5:$J1004,$R198,Expenses!$E5:$E1004,$A198)),""))</f>
        <v/>
      </c>
      <c r="J198" s="108">
        <f>IF($A198="","",IFERROR(1/(1/SUMIFS(Expenses!$F5:$F1004,Expenses!$B5:$B1004,"Payroll Payout",Expenses!$J5:$J1004,$R198,Expenses!$E5:$E1004,$A198)),""))</f>
        <v/>
      </c>
      <c r="K198" s="109">
        <f>IF($H198="","",N($H198)-N($I198)-N($J198))</f>
        <v/>
      </c>
      <c r="L198" s="110">
        <f>IF($K198="","",IF($K198&gt;0.5,"TO PAY",IF($K198&lt;-0.5,"ADVANCE / OWES","SETTLED")))</f>
        <v/>
      </c>
      <c r="R198" s="111" t="n">
        <v>46419</v>
      </c>
    </row>
    <row r="199">
      <c r="A199" s="103">
        <f>IF(Setup!$A87="","",Setup!$A87)</f>
        <v/>
      </c>
      <c r="B199" s="104">
        <f>IF($A199="","",Setup!$B87)</f>
        <v/>
      </c>
      <c r="C199" s="105">
        <f>IF($A199="","",IF(COUNTIFS(Trips!$Z5:$Z1004,$R199,Trips!$D5:$D1004,$A199)+COUNTIFS(Trips!$Z5:$Z1004,$R199,Trips!$E5:$E1004,$A199)=0,"",COUNTIFS(Trips!$Z5:$Z1004,$R199,Trips!$D5:$D1004,$A199)+COUNTIFS(Trips!$Z5:$Z1004,$R199,Trips!$E5:$E1004,$A199)))</f>
        <v/>
      </c>
      <c r="D199" s="106">
        <f>IF($C199="","",SUMIFS(Trips!$K5:$K1004,Trips!$Z5:$Z1004,$R199,Trips!$D5:$D1004,$A199)+SUMIFS(Trips!$K5:$K1004,Trips!$Z5:$Z1004,$R199,Trips!$E5:$E1004,$A199))</f>
        <v/>
      </c>
      <c r="E199" s="107">
        <f>IF($C199="","",SUMIFS(Trips!$N5:$N1004,Trips!$Z5:$Z1004,$R199,Trips!$D5:$D1004,$A199)+SUMIFS(Trips!$O5:$O1004,Trips!$Z5:$Z1004,$R199,Trips!$E5:$E1004,$A199))</f>
        <v/>
      </c>
      <c r="F199" s="108">
        <f>IF($C199="","",SUMIFS(Trips!$P5:$P1004,Trips!$Z5:$Z1004,$R199,Trips!$D5:$D1004,$A199))</f>
        <v/>
      </c>
      <c r="G199" s="108">
        <f>IF($C199="","",SUMIFS(Trips!$Q5:$Q1004,Trips!$Z5:$Z1004,$R199,Trips!$D5:$D1004,$A199))</f>
        <v/>
      </c>
      <c r="H199" s="107">
        <f>IF(AND($C199="",$I199="",$J199=""),"",N($E199)+N($F199)+N($G199))</f>
        <v/>
      </c>
      <c r="I199" s="108">
        <f>IF($A199="","",IFERROR(1/(1/SUMIFS(Expenses!$F5:$F1004,Expenses!$B5:$B1004,"Cash Advance",Expenses!$J5:$J1004,$R199,Expenses!$E5:$E1004,$A199)),""))</f>
        <v/>
      </c>
      <c r="J199" s="108">
        <f>IF($A199="","",IFERROR(1/(1/SUMIFS(Expenses!$F5:$F1004,Expenses!$B5:$B1004,"Payroll Payout",Expenses!$J5:$J1004,$R199,Expenses!$E5:$E1004,$A199)),""))</f>
        <v/>
      </c>
      <c r="K199" s="109">
        <f>IF($H199="","",N($H199)-N($I199)-N($J199))</f>
        <v/>
      </c>
      <c r="L199" s="110">
        <f>IF($K199="","",IF($K199&gt;0.5,"TO PAY",IF($K199&lt;-0.5,"ADVANCE / OWES","SETTLED")))</f>
        <v/>
      </c>
      <c r="R199" s="111" t="n">
        <v>46419</v>
      </c>
    </row>
    <row r="200">
      <c r="A200" s="112" t="inlineStr">
        <is>
          <t>MONTH TOTAL</t>
        </is>
      </c>
      <c r="B200" s="113" t="n"/>
      <c r="C200" s="114">
        <f>IF(COUNT(C188:C199)=0,"",SUM(C188:C199))</f>
        <v/>
      </c>
      <c r="D200" s="115">
        <f>IF(COUNT(D188:D199)=0,"",SUM(D188:D199))</f>
        <v/>
      </c>
      <c r="E200" s="116">
        <f>IF(COUNT(E188:E199)=0,"",SUM(E188:E199))</f>
        <v/>
      </c>
      <c r="F200" s="116">
        <f>IF(COUNT(F188:F199)=0,"",SUM(F188:F199))</f>
        <v/>
      </c>
      <c r="G200" s="116">
        <f>IF(COUNT(G188:G199)=0,"",SUM(G188:G199))</f>
        <v/>
      </c>
      <c r="H200" s="116">
        <f>IF(COUNT(H188:H199)=0,"",SUM(H188:H199))</f>
        <v/>
      </c>
      <c r="I200" s="116">
        <f>IF(COUNT(I188:I199)=0,"",SUM(I188:I199))</f>
        <v/>
      </c>
      <c r="J200" s="116">
        <f>IF(COUNT(J188:J199)=0,"",SUM(J188:J199))</f>
        <v/>
      </c>
      <c r="K200" s="116">
        <f>IF(COUNT(K188:K199)=0,"",SUM(K188:K199))</f>
        <v/>
      </c>
      <c r="L200" s="117" t="n"/>
    </row>
    <row r="201" ht="24" customHeight="1">
      <c r="A201" s="102" t="inlineStr">
        <is>
          <t>MARCH 2027   ·   crew earnings &amp; settlement</t>
        </is>
      </c>
    </row>
    <row r="202">
      <c r="A202" s="103">
        <f>IF(Setup!$A76="","",Setup!$A76)</f>
        <v/>
      </c>
      <c r="B202" s="104">
        <f>IF($A202="","",Setup!$B76)</f>
        <v/>
      </c>
      <c r="C202" s="105">
        <f>IF($A202="","",IF(COUNTIFS(Trips!$Z5:$Z1004,$R202,Trips!$D5:$D1004,$A202)+COUNTIFS(Trips!$Z5:$Z1004,$R202,Trips!$E5:$E1004,$A202)=0,"",COUNTIFS(Trips!$Z5:$Z1004,$R202,Trips!$D5:$D1004,$A202)+COUNTIFS(Trips!$Z5:$Z1004,$R202,Trips!$E5:$E1004,$A202)))</f>
        <v/>
      </c>
      <c r="D202" s="106">
        <f>IF($C202="","",SUMIFS(Trips!$K5:$K1004,Trips!$Z5:$Z1004,$R202,Trips!$D5:$D1004,$A202)+SUMIFS(Trips!$K5:$K1004,Trips!$Z5:$Z1004,$R202,Trips!$E5:$E1004,$A202))</f>
        <v/>
      </c>
      <c r="E202" s="107">
        <f>IF($C202="","",SUMIFS(Trips!$N5:$N1004,Trips!$Z5:$Z1004,$R202,Trips!$D5:$D1004,$A202)+SUMIFS(Trips!$O5:$O1004,Trips!$Z5:$Z1004,$R202,Trips!$E5:$E1004,$A202))</f>
        <v/>
      </c>
      <c r="F202" s="108">
        <f>IF($C202="","",SUMIFS(Trips!$P5:$P1004,Trips!$Z5:$Z1004,$R202,Trips!$D5:$D1004,$A202))</f>
        <v/>
      </c>
      <c r="G202" s="108">
        <f>IF($C202="","",SUMIFS(Trips!$Q5:$Q1004,Trips!$Z5:$Z1004,$R202,Trips!$D5:$D1004,$A202))</f>
        <v/>
      </c>
      <c r="H202" s="107">
        <f>IF(AND($C202="",$I202="",$J202=""),"",N($E202)+N($F202)+N($G202))</f>
        <v/>
      </c>
      <c r="I202" s="108">
        <f>IF($A202="","",IFERROR(1/(1/SUMIFS(Expenses!$F5:$F1004,Expenses!$B5:$B1004,"Cash Advance",Expenses!$J5:$J1004,$R202,Expenses!$E5:$E1004,$A202)),""))</f>
        <v/>
      </c>
      <c r="J202" s="108">
        <f>IF($A202="","",IFERROR(1/(1/SUMIFS(Expenses!$F5:$F1004,Expenses!$B5:$B1004,"Payroll Payout",Expenses!$J5:$J1004,$R202,Expenses!$E5:$E1004,$A202)),""))</f>
        <v/>
      </c>
      <c r="K202" s="109">
        <f>IF($H202="","",N($H202)-N($I202)-N($J202))</f>
        <v/>
      </c>
      <c r="L202" s="110">
        <f>IF($K202="","",IF($K202&gt;0.5,"TO PAY",IF($K202&lt;-0.5,"ADVANCE / OWES","SETTLED")))</f>
        <v/>
      </c>
      <c r="R202" s="111" t="n">
        <v>46447</v>
      </c>
    </row>
    <row r="203">
      <c r="A203" s="103">
        <f>IF(Setup!$A77="","",Setup!$A77)</f>
        <v/>
      </c>
      <c r="B203" s="104">
        <f>IF($A203="","",Setup!$B77)</f>
        <v/>
      </c>
      <c r="C203" s="105">
        <f>IF($A203="","",IF(COUNTIFS(Trips!$Z5:$Z1004,$R203,Trips!$D5:$D1004,$A203)+COUNTIFS(Trips!$Z5:$Z1004,$R203,Trips!$E5:$E1004,$A203)=0,"",COUNTIFS(Trips!$Z5:$Z1004,$R203,Trips!$D5:$D1004,$A203)+COUNTIFS(Trips!$Z5:$Z1004,$R203,Trips!$E5:$E1004,$A203)))</f>
        <v/>
      </c>
      <c r="D203" s="106">
        <f>IF($C203="","",SUMIFS(Trips!$K5:$K1004,Trips!$Z5:$Z1004,$R203,Trips!$D5:$D1004,$A203)+SUMIFS(Trips!$K5:$K1004,Trips!$Z5:$Z1004,$R203,Trips!$E5:$E1004,$A203))</f>
        <v/>
      </c>
      <c r="E203" s="107">
        <f>IF($C203="","",SUMIFS(Trips!$N5:$N1004,Trips!$Z5:$Z1004,$R203,Trips!$D5:$D1004,$A203)+SUMIFS(Trips!$O5:$O1004,Trips!$Z5:$Z1004,$R203,Trips!$E5:$E1004,$A203))</f>
        <v/>
      </c>
      <c r="F203" s="108">
        <f>IF($C203="","",SUMIFS(Trips!$P5:$P1004,Trips!$Z5:$Z1004,$R203,Trips!$D5:$D1004,$A203))</f>
        <v/>
      </c>
      <c r="G203" s="108">
        <f>IF($C203="","",SUMIFS(Trips!$Q5:$Q1004,Trips!$Z5:$Z1004,$R203,Trips!$D5:$D1004,$A203))</f>
        <v/>
      </c>
      <c r="H203" s="107">
        <f>IF(AND($C203="",$I203="",$J203=""),"",N($E203)+N($F203)+N($G203))</f>
        <v/>
      </c>
      <c r="I203" s="108">
        <f>IF($A203="","",IFERROR(1/(1/SUMIFS(Expenses!$F5:$F1004,Expenses!$B5:$B1004,"Cash Advance",Expenses!$J5:$J1004,$R203,Expenses!$E5:$E1004,$A203)),""))</f>
        <v/>
      </c>
      <c r="J203" s="108">
        <f>IF($A203="","",IFERROR(1/(1/SUMIFS(Expenses!$F5:$F1004,Expenses!$B5:$B1004,"Payroll Payout",Expenses!$J5:$J1004,$R203,Expenses!$E5:$E1004,$A203)),""))</f>
        <v/>
      </c>
      <c r="K203" s="109">
        <f>IF($H203="","",N($H203)-N($I203)-N($J203))</f>
        <v/>
      </c>
      <c r="L203" s="110">
        <f>IF($K203="","",IF($K203&gt;0.5,"TO PAY",IF($K203&lt;-0.5,"ADVANCE / OWES","SETTLED")))</f>
        <v/>
      </c>
      <c r="R203" s="111" t="n">
        <v>46447</v>
      </c>
    </row>
    <row r="204">
      <c r="A204" s="103">
        <f>IF(Setup!$A78="","",Setup!$A78)</f>
        <v/>
      </c>
      <c r="B204" s="104">
        <f>IF($A204="","",Setup!$B78)</f>
        <v/>
      </c>
      <c r="C204" s="105">
        <f>IF($A204="","",IF(COUNTIFS(Trips!$Z5:$Z1004,$R204,Trips!$D5:$D1004,$A204)+COUNTIFS(Trips!$Z5:$Z1004,$R204,Trips!$E5:$E1004,$A204)=0,"",COUNTIFS(Trips!$Z5:$Z1004,$R204,Trips!$D5:$D1004,$A204)+COUNTIFS(Trips!$Z5:$Z1004,$R204,Trips!$E5:$E1004,$A204)))</f>
        <v/>
      </c>
      <c r="D204" s="106">
        <f>IF($C204="","",SUMIFS(Trips!$K5:$K1004,Trips!$Z5:$Z1004,$R204,Trips!$D5:$D1004,$A204)+SUMIFS(Trips!$K5:$K1004,Trips!$Z5:$Z1004,$R204,Trips!$E5:$E1004,$A204))</f>
        <v/>
      </c>
      <c r="E204" s="107">
        <f>IF($C204="","",SUMIFS(Trips!$N5:$N1004,Trips!$Z5:$Z1004,$R204,Trips!$D5:$D1004,$A204)+SUMIFS(Trips!$O5:$O1004,Trips!$Z5:$Z1004,$R204,Trips!$E5:$E1004,$A204))</f>
        <v/>
      </c>
      <c r="F204" s="108">
        <f>IF($C204="","",SUMIFS(Trips!$P5:$P1004,Trips!$Z5:$Z1004,$R204,Trips!$D5:$D1004,$A204))</f>
        <v/>
      </c>
      <c r="G204" s="108">
        <f>IF($C204="","",SUMIFS(Trips!$Q5:$Q1004,Trips!$Z5:$Z1004,$R204,Trips!$D5:$D1004,$A204))</f>
        <v/>
      </c>
      <c r="H204" s="107">
        <f>IF(AND($C204="",$I204="",$J204=""),"",N($E204)+N($F204)+N($G204))</f>
        <v/>
      </c>
      <c r="I204" s="108">
        <f>IF($A204="","",IFERROR(1/(1/SUMIFS(Expenses!$F5:$F1004,Expenses!$B5:$B1004,"Cash Advance",Expenses!$J5:$J1004,$R204,Expenses!$E5:$E1004,$A204)),""))</f>
        <v/>
      </c>
      <c r="J204" s="108">
        <f>IF($A204="","",IFERROR(1/(1/SUMIFS(Expenses!$F5:$F1004,Expenses!$B5:$B1004,"Payroll Payout",Expenses!$J5:$J1004,$R204,Expenses!$E5:$E1004,$A204)),""))</f>
        <v/>
      </c>
      <c r="K204" s="109">
        <f>IF($H204="","",N($H204)-N($I204)-N($J204))</f>
        <v/>
      </c>
      <c r="L204" s="110">
        <f>IF($K204="","",IF($K204&gt;0.5,"TO PAY",IF($K204&lt;-0.5,"ADVANCE / OWES","SETTLED")))</f>
        <v/>
      </c>
      <c r="R204" s="111" t="n">
        <v>46447</v>
      </c>
    </row>
    <row r="205">
      <c r="A205" s="103">
        <f>IF(Setup!$A79="","",Setup!$A79)</f>
        <v/>
      </c>
      <c r="B205" s="104">
        <f>IF($A205="","",Setup!$B79)</f>
        <v/>
      </c>
      <c r="C205" s="105">
        <f>IF($A205="","",IF(COUNTIFS(Trips!$Z5:$Z1004,$R205,Trips!$D5:$D1004,$A205)+COUNTIFS(Trips!$Z5:$Z1004,$R205,Trips!$E5:$E1004,$A205)=0,"",COUNTIFS(Trips!$Z5:$Z1004,$R205,Trips!$D5:$D1004,$A205)+COUNTIFS(Trips!$Z5:$Z1004,$R205,Trips!$E5:$E1004,$A205)))</f>
        <v/>
      </c>
      <c r="D205" s="106">
        <f>IF($C205="","",SUMIFS(Trips!$K5:$K1004,Trips!$Z5:$Z1004,$R205,Trips!$D5:$D1004,$A205)+SUMIFS(Trips!$K5:$K1004,Trips!$Z5:$Z1004,$R205,Trips!$E5:$E1004,$A205))</f>
        <v/>
      </c>
      <c r="E205" s="107">
        <f>IF($C205="","",SUMIFS(Trips!$N5:$N1004,Trips!$Z5:$Z1004,$R205,Trips!$D5:$D1004,$A205)+SUMIFS(Trips!$O5:$O1004,Trips!$Z5:$Z1004,$R205,Trips!$E5:$E1004,$A205))</f>
        <v/>
      </c>
      <c r="F205" s="108">
        <f>IF($C205="","",SUMIFS(Trips!$P5:$P1004,Trips!$Z5:$Z1004,$R205,Trips!$D5:$D1004,$A205))</f>
        <v/>
      </c>
      <c r="G205" s="108">
        <f>IF($C205="","",SUMIFS(Trips!$Q5:$Q1004,Trips!$Z5:$Z1004,$R205,Trips!$D5:$D1004,$A205))</f>
        <v/>
      </c>
      <c r="H205" s="107">
        <f>IF(AND($C205="",$I205="",$J205=""),"",N($E205)+N($F205)+N($G205))</f>
        <v/>
      </c>
      <c r="I205" s="108">
        <f>IF($A205="","",IFERROR(1/(1/SUMIFS(Expenses!$F5:$F1004,Expenses!$B5:$B1004,"Cash Advance",Expenses!$J5:$J1004,$R205,Expenses!$E5:$E1004,$A205)),""))</f>
        <v/>
      </c>
      <c r="J205" s="108">
        <f>IF($A205="","",IFERROR(1/(1/SUMIFS(Expenses!$F5:$F1004,Expenses!$B5:$B1004,"Payroll Payout",Expenses!$J5:$J1004,$R205,Expenses!$E5:$E1004,$A205)),""))</f>
        <v/>
      </c>
      <c r="K205" s="109">
        <f>IF($H205="","",N($H205)-N($I205)-N($J205))</f>
        <v/>
      </c>
      <c r="L205" s="110">
        <f>IF($K205="","",IF($K205&gt;0.5,"TO PAY",IF($K205&lt;-0.5,"ADVANCE / OWES","SETTLED")))</f>
        <v/>
      </c>
      <c r="R205" s="111" t="n">
        <v>46447</v>
      </c>
    </row>
    <row r="206">
      <c r="A206" s="103">
        <f>IF(Setup!$A80="","",Setup!$A80)</f>
        <v/>
      </c>
      <c r="B206" s="104">
        <f>IF($A206="","",Setup!$B80)</f>
        <v/>
      </c>
      <c r="C206" s="105">
        <f>IF($A206="","",IF(COUNTIFS(Trips!$Z5:$Z1004,$R206,Trips!$D5:$D1004,$A206)+COUNTIFS(Trips!$Z5:$Z1004,$R206,Trips!$E5:$E1004,$A206)=0,"",COUNTIFS(Trips!$Z5:$Z1004,$R206,Trips!$D5:$D1004,$A206)+COUNTIFS(Trips!$Z5:$Z1004,$R206,Trips!$E5:$E1004,$A206)))</f>
        <v/>
      </c>
      <c r="D206" s="106">
        <f>IF($C206="","",SUMIFS(Trips!$K5:$K1004,Trips!$Z5:$Z1004,$R206,Trips!$D5:$D1004,$A206)+SUMIFS(Trips!$K5:$K1004,Trips!$Z5:$Z1004,$R206,Trips!$E5:$E1004,$A206))</f>
        <v/>
      </c>
      <c r="E206" s="107">
        <f>IF($C206="","",SUMIFS(Trips!$N5:$N1004,Trips!$Z5:$Z1004,$R206,Trips!$D5:$D1004,$A206)+SUMIFS(Trips!$O5:$O1004,Trips!$Z5:$Z1004,$R206,Trips!$E5:$E1004,$A206))</f>
        <v/>
      </c>
      <c r="F206" s="108">
        <f>IF($C206="","",SUMIFS(Trips!$P5:$P1004,Trips!$Z5:$Z1004,$R206,Trips!$D5:$D1004,$A206))</f>
        <v/>
      </c>
      <c r="G206" s="108">
        <f>IF($C206="","",SUMIFS(Trips!$Q5:$Q1004,Trips!$Z5:$Z1004,$R206,Trips!$D5:$D1004,$A206))</f>
        <v/>
      </c>
      <c r="H206" s="107">
        <f>IF(AND($C206="",$I206="",$J206=""),"",N($E206)+N($F206)+N($G206))</f>
        <v/>
      </c>
      <c r="I206" s="108">
        <f>IF($A206="","",IFERROR(1/(1/SUMIFS(Expenses!$F5:$F1004,Expenses!$B5:$B1004,"Cash Advance",Expenses!$J5:$J1004,$R206,Expenses!$E5:$E1004,$A206)),""))</f>
        <v/>
      </c>
      <c r="J206" s="108">
        <f>IF($A206="","",IFERROR(1/(1/SUMIFS(Expenses!$F5:$F1004,Expenses!$B5:$B1004,"Payroll Payout",Expenses!$J5:$J1004,$R206,Expenses!$E5:$E1004,$A206)),""))</f>
        <v/>
      </c>
      <c r="K206" s="109">
        <f>IF($H206="","",N($H206)-N($I206)-N($J206))</f>
        <v/>
      </c>
      <c r="L206" s="110">
        <f>IF($K206="","",IF($K206&gt;0.5,"TO PAY",IF($K206&lt;-0.5,"ADVANCE / OWES","SETTLED")))</f>
        <v/>
      </c>
      <c r="R206" s="111" t="n">
        <v>46447</v>
      </c>
    </row>
    <row r="207">
      <c r="A207" s="103">
        <f>IF(Setup!$A81="","",Setup!$A81)</f>
        <v/>
      </c>
      <c r="B207" s="104">
        <f>IF($A207="","",Setup!$B81)</f>
        <v/>
      </c>
      <c r="C207" s="105">
        <f>IF($A207="","",IF(COUNTIFS(Trips!$Z5:$Z1004,$R207,Trips!$D5:$D1004,$A207)+COUNTIFS(Trips!$Z5:$Z1004,$R207,Trips!$E5:$E1004,$A207)=0,"",COUNTIFS(Trips!$Z5:$Z1004,$R207,Trips!$D5:$D1004,$A207)+COUNTIFS(Trips!$Z5:$Z1004,$R207,Trips!$E5:$E1004,$A207)))</f>
        <v/>
      </c>
      <c r="D207" s="106">
        <f>IF($C207="","",SUMIFS(Trips!$K5:$K1004,Trips!$Z5:$Z1004,$R207,Trips!$D5:$D1004,$A207)+SUMIFS(Trips!$K5:$K1004,Trips!$Z5:$Z1004,$R207,Trips!$E5:$E1004,$A207))</f>
        <v/>
      </c>
      <c r="E207" s="107">
        <f>IF($C207="","",SUMIFS(Trips!$N5:$N1004,Trips!$Z5:$Z1004,$R207,Trips!$D5:$D1004,$A207)+SUMIFS(Trips!$O5:$O1004,Trips!$Z5:$Z1004,$R207,Trips!$E5:$E1004,$A207))</f>
        <v/>
      </c>
      <c r="F207" s="108">
        <f>IF($C207="","",SUMIFS(Trips!$P5:$P1004,Trips!$Z5:$Z1004,$R207,Trips!$D5:$D1004,$A207))</f>
        <v/>
      </c>
      <c r="G207" s="108">
        <f>IF($C207="","",SUMIFS(Trips!$Q5:$Q1004,Trips!$Z5:$Z1004,$R207,Trips!$D5:$D1004,$A207))</f>
        <v/>
      </c>
      <c r="H207" s="107">
        <f>IF(AND($C207="",$I207="",$J207=""),"",N($E207)+N($F207)+N($G207))</f>
        <v/>
      </c>
      <c r="I207" s="108">
        <f>IF($A207="","",IFERROR(1/(1/SUMIFS(Expenses!$F5:$F1004,Expenses!$B5:$B1004,"Cash Advance",Expenses!$J5:$J1004,$R207,Expenses!$E5:$E1004,$A207)),""))</f>
        <v/>
      </c>
      <c r="J207" s="108">
        <f>IF($A207="","",IFERROR(1/(1/SUMIFS(Expenses!$F5:$F1004,Expenses!$B5:$B1004,"Payroll Payout",Expenses!$J5:$J1004,$R207,Expenses!$E5:$E1004,$A207)),""))</f>
        <v/>
      </c>
      <c r="K207" s="109">
        <f>IF($H207="","",N($H207)-N($I207)-N($J207))</f>
        <v/>
      </c>
      <c r="L207" s="110">
        <f>IF($K207="","",IF($K207&gt;0.5,"TO PAY",IF($K207&lt;-0.5,"ADVANCE / OWES","SETTLED")))</f>
        <v/>
      </c>
      <c r="R207" s="111" t="n">
        <v>46447</v>
      </c>
    </row>
    <row r="208">
      <c r="A208" s="103">
        <f>IF(Setup!$A82="","",Setup!$A82)</f>
        <v/>
      </c>
      <c r="B208" s="104">
        <f>IF($A208="","",Setup!$B82)</f>
        <v/>
      </c>
      <c r="C208" s="105">
        <f>IF($A208="","",IF(COUNTIFS(Trips!$Z5:$Z1004,$R208,Trips!$D5:$D1004,$A208)+COUNTIFS(Trips!$Z5:$Z1004,$R208,Trips!$E5:$E1004,$A208)=0,"",COUNTIFS(Trips!$Z5:$Z1004,$R208,Trips!$D5:$D1004,$A208)+COUNTIFS(Trips!$Z5:$Z1004,$R208,Trips!$E5:$E1004,$A208)))</f>
        <v/>
      </c>
      <c r="D208" s="106">
        <f>IF($C208="","",SUMIFS(Trips!$K5:$K1004,Trips!$Z5:$Z1004,$R208,Trips!$D5:$D1004,$A208)+SUMIFS(Trips!$K5:$K1004,Trips!$Z5:$Z1004,$R208,Trips!$E5:$E1004,$A208))</f>
        <v/>
      </c>
      <c r="E208" s="107">
        <f>IF($C208="","",SUMIFS(Trips!$N5:$N1004,Trips!$Z5:$Z1004,$R208,Trips!$D5:$D1004,$A208)+SUMIFS(Trips!$O5:$O1004,Trips!$Z5:$Z1004,$R208,Trips!$E5:$E1004,$A208))</f>
        <v/>
      </c>
      <c r="F208" s="108">
        <f>IF($C208="","",SUMIFS(Trips!$P5:$P1004,Trips!$Z5:$Z1004,$R208,Trips!$D5:$D1004,$A208))</f>
        <v/>
      </c>
      <c r="G208" s="108">
        <f>IF($C208="","",SUMIFS(Trips!$Q5:$Q1004,Trips!$Z5:$Z1004,$R208,Trips!$D5:$D1004,$A208))</f>
        <v/>
      </c>
      <c r="H208" s="107">
        <f>IF(AND($C208="",$I208="",$J208=""),"",N($E208)+N($F208)+N($G208))</f>
        <v/>
      </c>
      <c r="I208" s="108">
        <f>IF($A208="","",IFERROR(1/(1/SUMIFS(Expenses!$F5:$F1004,Expenses!$B5:$B1004,"Cash Advance",Expenses!$J5:$J1004,$R208,Expenses!$E5:$E1004,$A208)),""))</f>
        <v/>
      </c>
      <c r="J208" s="108">
        <f>IF($A208="","",IFERROR(1/(1/SUMIFS(Expenses!$F5:$F1004,Expenses!$B5:$B1004,"Payroll Payout",Expenses!$J5:$J1004,$R208,Expenses!$E5:$E1004,$A208)),""))</f>
        <v/>
      </c>
      <c r="K208" s="109">
        <f>IF($H208="","",N($H208)-N($I208)-N($J208))</f>
        <v/>
      </c>
      <c r="L208" s="110">
        <f>IF($K208="","",IF($K208&gt;0.5,"TO PAY",IF($K208&lt;-0.5,"ADVANCE / OWES","SETTLED")))</f>
        <v/>
      </c>
      <c r="R208" s="111" t="n">
        <v>46447</v>
      </c>
    </row>
    <row r="209">
      <c r="A209" s="103">
        <f>IF(Setup!$A83="","",Setup!$A83)</f>
        <v/>
      </c>
      <c r="B209" s="104">
        <f>IF($A209="","",Setup!$B83)</f>
        <v/>
      </c>
      <c r="C209" s="105">
        <f>IF($A209="","",IF(COUNTIFS(Trips!$Z5:$Z1004,$R209,Trips!$D5:$D1004,$A209)+COUNTIFS(Trips!$Z5:$Z1004,$R209,Trips!$E5:$E1004,$A209)=0,"",COUNTIFS(Trips!$Z5:$Z1004,$R209,Trips!$D5:$D1004,$A209)+COUNTIFS(Trips!$Z5:$Z1004,$R209,Trips!$E5:$E1004,$A209)))</f>
        <v/>
      </c>
      <c r="D209" s="106">
        <f>IF($C209="","",SUMIFS(Trips!$K5:$K1004,Trips!$Z5:$Z1004,$R209,Trips!$D5:$D1004,$A209)+SUMIFS(Trips!$K5:$K1004,Trips!$Z5:$Z1004,$R209,Trips!$E5:$E1004,$A209))</f>
        <v/>
      </c>
      <c r="E209" s="107">
        <f>IF($C209="","",SUMIFS(Trips!$N5:$N1004,Trips!$Z5:$Z1004,$R209,Trips!$D5:$D1004,$A209)+SUMIFS(Trips!$O5:$O1004,Trips!$Z5:$Z1004,$R209,Trips!$E5:$E1004,$A209))</f>
        <v/>
      </c>
      <c r="F209" s="108">
        <f>IF($C209="","",SUMIFS(Trips!$P5:$P1004,Trips!$Z5:$Z1004,$R209,Trips!$D5:$D1004,$A209))</f>
        <v/>
      </c>
      <c r="G209" s="108">
        <f>IF($C209="","",SUMIFS(Trips!$Q5:$Q1004,Trips!$Z5:$Z1004,$R209,Trips!$D5:$D1004,$A209))</f>
        <v/>
      </c>
      <c r="H209" s="107">
        <f>IF(AND($C209="",$I209="",$J209=""),"",N($E209)+N($F209)+N($G209))</f>
        <v/>
      </c>
      <c r="I209" s="108">
        <f>IF($A209="","",IFERROR(1/(1/SUMIFS(Expenses!$F5:$F1004,Expenses!$B5:$B1004,"Cash Advance",Expenses!$J5:$J1004,$R209,Expenses!$E5:$E1004,$A209)),""))</f>
        <v/>
      </c>
      <c r="J209" s="108">
        <f>IF($A209="","",IFERROR(1/(1/SUMIFS(Expenses!$F5:$F1004,Expenses!$B5:$B1004,"Payroll Payout",Expenses!$J5:$J1004,$R209,Expenses!$E5:$E1004,$A209)),""))</f>
        <v/>
      </c>
      <c r="K209" s="109">
        <f>IF($H209="","",N($H209)-N($I209)-N($J209))</f>
        <v/>
      </c>
      <c r="L209" s="110">
        <f>IF($K209="","",IF($K209&gt;0.5,"TO PAY",IF($K209&lt;-0.5,"ADVANCE / OWES","SETTLED")))</f>
        <v/>
      </c>
      <c r="R209" s="111" t="n">
        <v>46447</v>
      </c>
    </row>
    <row r="210">
      <c r="A210" s="103">
        <f>IF(Setup!$A84="","",Setup!$A84)</f>
        <v/>
      </c>
      <c r="B210" s="104">
        <f>IF($A210="","",Setup!$B84)</f>
        <v/>
      </c>
      <c r="C210" s="105">
        <f>IF($A210="","",IF(COUNTIFS(Trips!$Z5:$Z1004,$R210,Trips!$D5:$D1004,$A210)+COUNTIFS(Trips!$Z5:$Z1004,$R210,Trips!$E5:$E1004,$A210)=0,"",COUNTIFS(Trips!$Z5:$Z1004,$R210,Trips!$D5:$D1004,$A210)+COUNTIFS(Trips!$Z5:$Z1004,$R210,Trips!$E5:$E1004,$A210)))</f>
        <v/>
      </c>
      <c r="D210" s="106">
        <f>IF($C210="","",SUMIFS(Trips!$K5:$K1004,Trips!$Z5:$Z1004,$R210,Trips!$D5:$D1004,$A210)+SUMIFS(Trips!$K5:$K1004,Trips!$Z5:$Z1004,$R210,Trips!$E5:$E1004,$A210))</f>
        <v/>
      </c>
      <c r="E210" s="107">
        <f>IF($C210="","",SUMIFS(Trips!$N5:$N1004,Trips!$Z5:$Z1004,$R210,Trips!$D5:$D1004,$A210)+SUMIFS(Trips!$O5:$O1004,Trips!$Z5:$Z1004,$R210,Trips!$E5:$E1004,$A210))</f>
        <v/>
      </c>
      <c r="F210" s="108">
        <f>IF($C210="","",SUMIFS(Trips!$P5:$P1004,Trips!$Z5:$Z1004,$R210,Trips!$D5:$D1004,$A210))</f>
        <v/>
      </c>
      <c r="G210" s="108">
        <f>IF($C210="","",SUMIFS(Trips!$Q5:$Q1004,Trips!$Z5:$Z1004,$R210,Trips!$D5:$D1004,$A210))</f>
        <v/>
      </c>
      <c r="H210" s="107">
        <f>IF(AND($C210="",$I210="",$J210=""),"",N($E210)+N($F210)+N($G210))</f>
        <v/>
      </c>
      <c r="I210" s="108">
        <f>IF($A210="","",IFERROR(1/(1/SUMIFS(Expenses!$F5:$F1004,Expenses!$B5:$B1004,"Cash Advance",Expenses!$J5:$J1004,$R210,Expenses!$E5:$E1004,$A210)),""))</f>
        <v/>
      </c>
      <c r="J210" s="108">
        <f>IF($A210="","",IFERROR(1/(1/SUMIFS(Expenses!$F5:$F1004,Expenses!$B5:$B1004,"Payroll Payout",Expenses!$J5:$J1004,$R210,Expenses!$E5:$E1004,$A210)),""))</f>
        <v/>
      </c>
      <c r="K210" s="109">
        <f>IF($H210="","",N($H210)-N($I210)-N($J210))</f>
        <v/>
      </c>
      <c r="L210" s="110">
        <f>IF($K210="","",IF($K210&gt;0.5,"TO PAY",IF($K210&lt;-0.5,"ADVANCE / OWES","SETTLED")))</f>
        <v/>
      </c>
      <c r="R210" s="111" t="n">
        <v>46447</v>
      </c>
    </row>
    <row r="211">
      <c r="A211" s="103">
        <f>IF(Setup!$A85="","",Setup!$A85)</f>
        <v/>
      </c>
      <c r="B211" s="104">
        <f>IF($A211="","",Setup!$B85)</f>
        <v/>
      </c>
      <c r="C211" s="105">
        <f>IF($A211="","",IF(COUNTIFS(Trips!$Z5:$Z1004,$R211,Trips!$D5:$D1004,$A211)+COUNTIFS(Trips!$Z5:$Z1004,$R211,Trips!$E5:$E1004,$A211)=0,"",COUNTIFS(Trips!$Z5:$Z1004,$R211,Trips!$D5:$D1004,$A211)+COUNTIFS(Trips!$Z5:$Z1004,$R211,Trips!$E5:$E1004,$A211)))</f>
        <v/>
      </c>
      <c r="D211" s="106">
        <f>IF($C211="","",SUMIFS(Trips!$K5:$K1004,Trips!$Z5:$Z1004,$R211,Trips!$D5:$D1004,$A211)+SUMIFS(Trips!$K5:$K1004,Trips!$Z5:$Z1004,$R211,Trips!$E5:$E1004,$A211))</f>
        <v/>
      </c>
      <c r="E211" s="107">
        <f>IF($C211="","",SUMIFS(Trips!$N5:$N1004,Trips!$Z5:$Z1004,$R211,Trips!$D5:$D1004,$A211)+SUMIFS(Trips!$O5:$O1004,Trips!$Z5:$Z1004,$R211,Trips!$E5:$E1004,$A211))</f>
        <v/>
      </c>
      <c r="F211" s="108">
        <f>IF($C211="","",SUMIFS(Trips!$P5:$P1004,Trips!$Z5:$Z1004,$R211,Trips!$D5:$D1004,$A211))</f>
        <v/>
      </c>
      <c r="G211" s="108">
        <f>IF($C211="","",SUMIFS(Trips!$Q5:$Q1004,Trips!$Z5:$Z1004,$R211,Trips!$D5:$D1004,$A211))</f>
        <v/>
      </c>
      <c r="H211" s="107">
        <f>IF(AND($C211="",$I211="",$J211=""),"",N($E211)+N($F211)+N($G211))</f>
        <v/>
      </c>
      <c r="I211" s="108">
        <f>IF($A211="","",IFERROR(1/(1/SUMIFS(Expenses!$F5:$F1004,Expenses!$B5:$B1004,"Cash Advance",Expenses!$J5:$J1004,$R211,Expenses!$E5:$E1004,$A211)),""))</f>
        <v/>
      </c>
      <c r="J211" s="108">
        <f>IF($A211="","",IFERROR(1/(1/SUMIFS(Expenses!$F5:$F1004,Expenses!$B5:$B1004,"Payroll Payout",Expenses!$J5:$J1004,$R211,Expenses!$E5:$E1004,$A211)),""))</f>
        <v/>
      </c>
      <c r="K211" s="109">
        <f>IF($H211="","",N($H211)-N($I211)-N($J211))</f>
        <v/>
      </c>
      <c r="L211" s="110">
        <f>IF($K211="","",IF($K211&gt;0.5,"TO PAY",IF($K211&lt;-0.5,"ADVANCE / OWES","SETTLED")))</f>
        <v/>
      </c>
      <c r="R211" s="111" t="n">
        <v>46447</v>
      </c>
    </row>
    <row r="212">
      <c r="A212" s="103">
        <f>IF(Setup!$A86="","",Setup!$A86)</f>
        <v/>
      </c>
      <c r="B212" s="104">
        <f>IF($A212="","",Setup!$B86)</f>
        <v/>
      </c>
      <c r="C212" s="105">
        <f>IF($A212="","",IF(COUNTIFS(Trips!$Z5:$Z1004,$R212,Trips!$D5:$D1004,$A212)+COUNTIFS(Trips!$Z5:$Z1004,$R212,Trips!$E5:$E1004,$A212)=0,"",COUNTIFS(Trips!$Z5:$Z1004,$R212,Trips!$D5:$D1004,$A212)+COUNTIFS(Trips!$Z5:$Z1004,$R212,Trips!$E5:$E1004,$A212)))</f>
        <v/>
      </c>
      <c r="D212" s="106">
        <f>IF($C212="","",SUMIFS(Trips!$K5:$K1004,Trips!$Z5:$Z1004,$R212,Trips!$D5:$D1004,$A212)+SUMIFS(Trips!$K5:$K1004,Trips!$Z5:$Z1004,$R212,Trips!$E5:$E1004,$A212))</f>
        <v/>
      </c>
      <c r="E212" s="107">
        <f>IF($C212="","",SUMIFS(Trips!$N5:$N1004,Trips!$Z5:$Z1004,$R212,Trips!$D5:$D1004,$A212)+SUMIFS(Trips!$O5:$O1004,Trips!$Z5:$Z1004,$R212,Trips!$E5:$E1004,$A212))</f>
        <v/>
      </c>
      <c r="F212" s="108">
        <f>IF($C212="","",SUMIFS(Trips!$P5:$P1004,Trips!$Z5:$Z1004,$R212,Trips!$D5:$D1004,$A212))</f>
        <v/>
      </c>
      <c r="G212" s="108">
        <f>IF($C212="","",SUMIFS(Trips!$Q5:$Q1004,Trips!$Z5:$Z1004,$R212,Trips!$D5:$D1004,$A212))</f>
        <v/>
      </c>
      <c r="H212" s="107">
        <f>IF(AND($C212="",$I212="",$J212=""),"",N($E212)+N($F212)+N($G212))</f>
        <v/>
      </c>
      <c r="I212" s="108">
        <f>IF($A212="","",IFERROR(1/(1/SUMIFS(Expenses!$F5:$F1004,Expenses!$B5:$B1004,"Cash Advance",Expenses!$J5:$J1004,$R212,Expenses!$E5:$E1004,$A212)),""))</f>
        <v/>
      </c>
      <c r="J212" s="108">
        <f>IF($A212="","",IFERROR(1/(1/SUMIFS(Expenses!$F5:$F1004,Expenses!$B5:$B1004,"Payroll Payout",Expenses!$J5:$J1004,$R212,Expenses!$E5:$E1004,$A212)),""))</f>
        <v/>
      </c>
      <c r="K212" s="109">
        <f>IF($H212="","",N($H212)-N($I212)-N($J212))</f>
        <v/>
      </c>
      <c r="L212" s="110">
        <f>IF($K212="","",IF($K212&gt;0.5,"TO PAY",IF($K212&lt;-0.5,"ADVANCE / OWES","SETTLED")))</f>
        <v/>
      </c>
      <c r="R212" s="111" t="n">
        <v>46447</v>
      </c>
    </row>
    <row r="213">
      <c r="A213" s="103">
        <f>IF(Setup!$A87="","",Setup!$A87)</f>
        <v/>
      </c>
      <c r="B213" s="104">
        <f>IF($A213="","",Setup!$B87)</f>
        <v/>
      </c>
      <c r="C213" s="105">
        <f>IF($A213="","",IF(COUNTIFS(Trips!$Z5:$Z1004,$R213,Trips!$D5:$D1004,$A213)+COUNTIFS(Trips!$Z5:$Z1004,$R213,Trips!$E5:$E1004,$A213)=0,"",COUNTIFS(Trips!$Z5:$Z1004,$R213,Trips!$D5:$D1004,$A213)+COUNTIFS(Trips!$Z5:$Z1004,$R213,Trips!$E5:$E1004,$A213)))</f>
        <v/>
      </c>
      <c r="D213" s="106">
        <f>IF($C213="","",SUMIFS(Trips!$K5:$K1004,Trips!$Z5:$Z1004,$R213,Trips!$D5:$D1004,$A213)+SUMIFS(Trips!$K5:$K1004,Trips!$Z5:$Z1004,$R213,Trips!$E5:$E1004,$A213))</f>
        <v/>
      </c>
      <c r="E213" s="107">
        <f>IF($C213="","",SUMIFS(Trips!$N5:$N1004,Trips!$Z5:$Z1004,$R213,Trips!$D5:$D1004,$A213)+SUMIFS(Trips!$O5:$O1004,Trips!$Z5:$Z1004,$R213,Trips!$E5:$E1004,$A213))</f>
        <v/>
      </c>
      <c r="F213" s="108">
        <f>IF($C213="","",SUMIFS(Trips!$P5:$P1004,Trips!$Z5:$Z1004,$R213,Trips!$D5:$D1004,$A213))</f>
        <v/>
      </c>
      <c r="G213" s="108">
        <f>IF($C213="","",SUMIFS(Trips!$Q5:$Q1004,Trips!$Z5:$Z1004,$R213,Trips!$D5:$D1004,$A213))</f>
        <v/>
      </c>
      <c r="H213" s="107">
        <f>IF(AND($C213="",$I213="",$J213=""),"",N($E213)+N($F213)+N($G213))</f>
        <v/>
      </c>
      <c r="I213" s="108">
        <f>IF($A213="","",IFERROR(1/(1/SUMIFS(Expenses!$F5:$F1004,Expenses!$B5:$B1004,"Cash Advance",Expenses!$J5:$J1004,$R213,Expenses!$E5:$E1004,$A213)),""))</f>
        <v/>
      </c>
      <c r="J213" s="108">
        <f>IF($A213="","",IFERROR(1/(1/SUMIFS(Expenses!$F5:$F1004,Expenses!$B5:$B1004,"Payroll Payout",Expenses!$J5:$J1004,$R213,Expenses!$E5:$E1004,$A213)),""))</f>
        <v/>
      </c>
      <c r="K213" s="109">
        <f>IF($H213="","",N($H213)-N($I213)-N($J213))</f>
        <v/>
      </c>
      <c r="L213" s="110">
        <f>IF($K213="","",IF($K213&gt;0.5,"TO PAY",IF($K213&lt;-0.5,"ADVANCE / OWES","SETTLED")))</f>
        <v/>
      </c>
      <c r="R213" s="111" t="n">
        <v>46447</v>
      </c>
    </row>
    <row r="214">
      <c r="A214" s="112" t="inlineStr">
        <is>
          <t>MONTH TOTAL</t>
        </is>
      </c>
      <c r="B214" s="113" t="n"/>
      <c r="C214" s="114">
        <f>IF(COUNT(C202:C213)=0,"",SUM(C202:C213))</f>
        <v/>
      </c>
      <c r="D214" s="115">
        <f>IF(COUNT(D202:D213)=0,"",SUM(D202:D213))</f>
        <v/>
      </c>
      <c r="E214" s="116">
        <f>IF(COUNT(E202:E213)=0,"",SUM(E202:E213))</f>
        <v/>
      </c>
      <c r="F214" s="116">
        <f>IF(COUNT(F202:F213)=0,"",SUM(F202:F213))</f>
        <v/>
      </c>
      <c r="G214" s="116">
        <f>IF(COUNT(G202:G213)=0,"",SUM(G202:G213))</f>
        <v/>
      </c>
      <c r="H214" s="116">
        <f>IF(COUNT(H202:H213)=0,"",SUM(H202:H213))</f>
        <v/>
      </c>
      <c r="I214" s="116">
        <f>IF(COUNT(I202:I213)=0,"",SUM(I202:I213))</f>
        <v/>
      </c>
      <c r="J214" s="116">
        <f>IF(COUNT(J202:J213)=0,"",SUM(J202:J213))</f>
        <v/>
      </c>
      <c r="K214" s="116">
        <f>IF(COUNT(K202:K213)=0,"",SUM(K202:K213))</f>
        <v/>
      </c>
      <c r="L214" s="117" t="n"/>
    </row>
    <row r="215" ht="24" customHeight="1">
      <c r="A215" s="102" t="inlineStr">
        <is>
          <t>APRIL 2027   ·   crew earnings &amp; settlement</t>
        </is>
      </c>
    </row>
    <row r="216">
      <c r="A216" s="103">
        <f>IF(Setup!$A76="","",Setup!$A76)</f>
        <v/>
      </c>
      <c r="B216" s="104">
        <f>IF($A216="","",Setup!$B76)</f>
        <v/>
      </c>
      <c r="C216" s="105">
        <f>IF($A216="","",IF(COUNTIFS(Trips!$Z5:$Z1004,$R216,Trips!$D5:$D1004,$A216)+COUNTIFS(Trips!$Z5:$Z1004,$R216,Trips!$E5:$E1004,$A216)=0,"",COUNTIFS(Trips!$Z5:$Z1004,$R216,Trips!$D5:$D1004,$A216)+COUNTIFS(Trips!$Z5:$Z1004,$R216,Trips!$E5:$E1004,$A216)))</f>
        <v/>
      </c>
      <c r="D216" s="106">
        <f>IF($C216="","",SUMIFS(Trips!$K5:$K1004,Trips!$Z5:$Z1004,$R216,Trips!$D5:$D1004,$A216)+SUMIFS(Trips!$K5:$K1004,Trips!$Z5:$Z1004,$R216,Trips!$E5:$E1004,$A216))</f>
        <v/>
      </c>
      <c r="E216" s="107">
        <f>IF($C216="","",SUMIFS(Trips!$N5:$N1004,Trips!$Z5:$Z1004,$R216,Trips!$D5:$D1004,$A216)+SUMIFS(Trips!$O5:$O1004,Trips!$Z5:$Z1004,$R216,Trips!$E5:$E1004,$A216))</f>
        <v/>
      </c>
      <c r="F216" s="108">
        <f>IF($C216="","",SUMIFS(Trips!$P5:$P1004,Trips!$Z5:$Z1004,$R216,Trips!$D5:$D1004,$A216))</f>
        <v/>
      </c>
      <c r="G216" s="108">
        <f>IF($C216="","",SUMIFS(Trips!$Q5:$Q1004,Trips!$Z5:$Z1004,$R216,Trips!$D5:$D1004,$A216))</f>
        <v/>
      </c>
      <c r="H216" s="107">
        <f>IF(AND($C216="",$I216="",$J216=""),"",N($E216)+N($F216)+N($G216))</f>
        <v/>
      </c>
      <c r="I216" s="108">
        <f>IF($A216="","",IFERROR(1/(1/SUMIFS(Expenses!$F5:$F1004,Expenses!$B5:$B1004,"Cash Advance",Expenses!$J5:$J1004,$R216,Expenses!$E5:$E1004,$A216)),""))</f>
        <v/>
      </c>
      <c r="J216" s="108">
        <f>IF($A216="","",IFERROR(1/(1/SUMIFS(Expenses!$F5:$F1004,Expenses!$B5:$B1004,"Payroll Payout",Expenses!$J5:$J1004,$R216,Expenses!$E5:$E1004,$A216)),""))</f>
        <v/>
      </c>
      <c r="K216" s="109">
        <f>IF($H216="","",N($H216)-N($I216)-N($J216))</f>
        <v/>
      </c>
      <c r="L216" s="110">
        <f>IF($K216="","",IF($K216&gt;0.5,"TO PAY",IF($K216&lt;-0.5,"ADVANCE / OWES","SETTLED")))</f>
        <v/>
      </c>
      <c r="R216" s="111" t="n">
        <v>46478</v>
      </c>
    </row>
    <row r="217">
      <c r="A217" s="103">
        <f>IF(Setup!$A77="","",Setup!$A77)</f>
        <v/>
      </c>
      <c r="B217" s="104">
        <f>IF($A217="","",Setup!$B77)</f>
        <v/>
      </c>
      <c r="C217" s="105">
        <f>IF($A217="","",IF(COUNTIFS(Trips!$Z5:$Z1004,$R217,Trips!$D5:$D1004,$A217)+COUNTIFS(Trips!$Z5:$Z1004,$R217,Trips!$E5:$E1004,$A217)=0,"",COUNTIFS(Trips!$Z5:$Z1004,$R217,Trips!$D5:$D1004,$A217)+COUNTIFS(Trips!$Z5:$Z1004,$R217,Trips!$E5:$E1004,$A217)))</f>
        <v/>
      </c>
      <c r="D217" s="106">
        <f>IF($C217="","",SUMIFS(Trips!$K5:$K1004,Trips!$Z5:$Z1004,$R217,Trips!$D5:$D1004,$A217)+SUMIFS(Trips!$K5:$K1004,Trips!$Z5:$Z1004,$R217,Trips!$E5:$E1004,$A217))</f>
        <v/>
      </c>
      <c r="E217" s="107">
        <f>IF($C217="","",SUMIFS(Trips!$N5:$N1004,Trips!$Z5:$Z1004,$R217,Trips!$D5:$D1004,$A217)+SUMIFS(Trips!$O5:$O1004,Trips!$Z5:$Z1004,$R217,Trips!$E5:$E1004,$A217))</f>
        <v/>
      </c>
      <c r="F217" s="108">
        <f>IF($C217="","",SUMIFS(Trips!$P5:$P1004,Trips!$Z5:$Z1004,$R217,Trips!$D5:$D1004,$A217))</f>
        <v/>
      </c>
      <c r="G217" s="108">
        <f>IF($C217="","",SUMIFS(Trips!$Q5:$Q1004,Trips!$Z5:$Z1004,$R217,Trips!$D5:$D1004,$A217))</f>
        <v/>
      </c>
      <c r="H217" s="107">
        <f>IF(AND($C217="",$I217="",$J217=""),"",N($E217)+N($F217)+N($G217))</f>
        <v/>
      </c>
      <c r="I217" s="108">
        <f>IF($A217="","",IFERROR(1/(1/SUMIFS(Expenses!$F5:$F1004,Expenses!$B5:$B1004,"Cash Advance",Expenses!$J5:$J1004,$R217,Expenses!$E5:$E1004,$A217)),""))</f>
        <v/>
      </c>
      <c r="J217" s="108">
        <f>IF($A217="","",IFERROR(1/(1/SUMIFS(Expenses!$F5:$F1004,Expenses!$B5:$B1004,"Payroll Payout",Expenses!$J5:$J1004,$R217,Expenses!$E5:$E1004,$A217)),""))</f>
        <v/>
      </c>
      <c r="K217" s="109">
        <f>IF($H217="","",N($H217)-N($I217)-N($J217))</f>
        <v/>
      </c>
      <c r="L217" s="110">
        <f>IF($K217="","",IF($K217&gt;0.5,"TO PAY",IF($K217&lt;-0.5,"ADVANCE / OWES","SETTLED")))</f>
        <v/>
      </c>
      <c r="R217" s="111" t="n">
        <v>46478</v>
      </c>
    </row>
    <row r="218">
      <c r="A218" s="103">
        <f>IF(Setup!$A78="","",Setup!$A78)</f>
        <v/>
      </c>
      <c r="B218" s="104">
        <f>IF($A218="","",Setup!$B78)</f>
        <v/>
      </c>
      <c r="C218" s="105">
        <f>IF($A218="","",IF(COUNTIFS(Trips!$Z5:$Z1004,$R218,Trips!$D5:$D1004,$A218)+COUNTIFS(Trips!$Z5:$Z1004,$R218,Trips!$E5:$E1004,$A218)=0,"",COUNTIFS(Trips!$Z5:$Z1004,$R218,Trips!$D5:$D1004,$A218)+COUNTIFS(Trips!$Z5:$Z1004,$R218,Trips!$E5:$E1004,$A218)))</f>
        <v/>
      </c>
      <c r="D218" s="106">
        <f>IF($C218="","",SUMIFS(Trips!$K5:$K1004,Trips!$Z5:$Z1004,$R218,Trips!$D5:$D1004,$A218)+SUMIFS(Trips!$K5:$K1004,Trips!$Z5:$Z1004,$R218,Trips!$E5:$E1004,$A218))</f>
        <v/>
      </c>
      <c r="E218" s="107">
        <f>IF($C218="","",SUMIFS(Trips!$N5:$N1004,Trips!$Z5:$Z1004,$R218,Trips!$D5:$D1004,$A218)+SUMIFS(Trips!$O5:$O1004,Trips!$Z5:$Z1004,$R218,Trips!$E5:$E1004,$A218))</f>
        <v/>
      </c>
      <c r="F218" s="108">
        <f>IF($C218="","",SUMIFS(Trips!$P5:$P1004,Trips!$Z5:$Z1004,$R218,Trips!$D5:$D1004,$A218))</f>
        <v/>
      </c>
      <c r="G218" s="108">
        <f>IF($C218="","",SUMIFS(Trips!$Q5:$Q1004,Trips!$Z5:$Z1004,$R218,Trips!$D5:$D1004,$A218))</f>
        <v/>
      </c>
      <c r="H218" s="107">
        <f>IF(AND($C218="",$I218="",$J218=""),"",N($E218)+N($F218)+N($G218))</f>
        <v/>
      </c>
      <c r="I218" s="108">
        <f>IF($A218="","",IFERROR(1/(1/SUMIFS(Expenses!$F5:$F1004,Expenses!$B5:$B1004,"Cash Advance",Expenses!$J5:$J1004,$R218,Expenses!$E5:$E1004,$A218)),""))</f>
        <v/>
      </c>
      <c r="J218" s="108">
        <f>IF($A218="","",IFERROR(1/(1/SUMIFS(Expenses!$F5:$F1004,Expenses!$B5:$B1004,"Payroll Payout",Expenses!$J5:$J1004,$R218,Expenses!$E5:$E1004,$A218)),""))</f>
        <v/>
      </c>
      <c r="K218" s="109">
        <f>IF($H218="","",N($H218)-N($I218)-N($J218))</f>
        <v/>
      </c>
      <c r="L218" s="110">
        <f>IF($K218="","",IF($K218&gt;0.5,"TO PAY",IF($K218&lt;-0.5,"ADVANCE / OWES","SETTLED")))</f>
        <v/>
      </c>
      <c r="R218" s="111" t="n">
        <v>46478</v>
      </c>
    </row>
    <row r="219">
      <c r="A219" s="103">
        <f>IF(Setup!$A79="","",Setup!$A79)</f>
        <v/>
      </c>
      <c r="B219" s="104">
        <f>IF($A219="","",Setup!$B79)</f>
        <v/>
      </c>
      <c r="C219" s="105">
        <f>IF($A219="","",IF(COUNTIFS(Trips!$Z5:$Z1004,$R219,Trips!$D5:$D1004,$A219)+COUNTIFS(Trips!$Z5:$Z1004,$R219,Trips!$E5:$E1004,$A219)=0,"",COUNTIFS(Trips!$Z5:$Z1004,$R219,Trips!$D5:$D1004,$A219)+COUNTIFS(Trips!$Z5:$Z1004,$R219,Trips!$E5:$E1004,$A219)))</f>
        <v/>
      </c>
      <c r="D219" s="106">
        <f>IF($C219="","",SUMIFS(Trips!$K5:$K1004,Trips!$Z5:$Z1004,$R219,Trips!$D5:$D1004,$A219)+SUMIFS(Trips!$K5:$K1004,Trips!$Z5:$Z1004,$R219,Trips!$E5:$E1004,$A219))</f>
        <v/>
      </c>
      <c r="E219" s="107">
        <f>IF($C219="","",SUMIFS(Trips!$N5:$N1004,Trips!$Z5:$Z1004,$R219,Trips!$D5:$D1004,$A219)+SUMIFS(Trips!$O5:$O1004,Trips!$Z5:$Z1004,$R219,Trips!$E5:$E1004,$A219))</f>
        <v/>
      </c>
      <c r="F219" s="108">
        <f>IF($C219="","",SUMIFS(Trips!$P5:$P1004,Trips!$Z5:$Z1004,$R219,Trips!$D5:$D1004,$A219))</f>
        <v/>
      </c>
      <c r="G219" s="108">
        <f>IF($C219="","",SUMIFS(Trips!$Q5:$Q1004,Trips!$Z5:$Z1004,$R219,Trips!$D5:$D1004,$A219))</f>
        <v/>
      </c>
      <c r="H219" s="107">
        <f>IF(AND($C219="",$I219="",$J219=""),"",N($E219)+N($F219)+N($G219))</f>
        <v/>
      </c>
      <c r="I219" s="108">
        <f>IF($A219="","",IFERROR(1/(1/SUMIFS(Expenses!$F5:$F1004,Expenses!$B5:$B1004,"Cash Advance",Expenses!$J5:$J1004,$R219,Expenses!$E5:$E1004,$A219)),""))</f>
        <v/>
      </c>
      <c r="J219" s="108">
        <f>IF($A219="","",IFERROR(1/(1/SUMIFS(Expenses!$F5:$F1004,Expenses!$B5:$B1004,"Payroll Payout",Expenses!$J5:$J1004,$R219,Expenses!$E5:$E1004,$A219)),""))</f>
        <v/>
      </c>
      <c r="K219" s="109">
        <f>IF($H219="","",N($H219)-N($I219)-N($J219))</f>
        <v/>
      </c>
      <c r="L219" s="110">
        <f>IF($K219="","",IF($K219&gt;0.5,"TO PAY",IF($K219&lt;-0.5,"ADVANCE / OWES","SETTLED")))</f>
        <v/>
      </c>
      <c r="R219" s="111" t="n">
        <v>46478</v>
      </c>
    </row>
    <row r="220">
      <c r="A220" s="103">
        <f>IF(Setup!$A80="","",Setup!$A80)</f>
        <v/>
      </c>
      <c r="B220" s="104">
        <f>IF($A220="","",Setup!$B80)</f>
        <v/>
      </c>
      <c r="C220" s="105">
        <f>IF($A220="","",IF(COUNTIFS(Trips!$Z5:$Z1004,$R220,Trips!$D5:$D1004,$A220)+COUNTIFS(Trips!$Z5:$Z1004,$R220,Trips!$E5:$E1004,$A220)=0,"",COUNTIFS(Trips!$Z5:$Z1004,$R220,Trips!$D5:$D1004,$A220)+COUNTIFS(Trips!$Z5:$Z1004,$R220,Trips!$E5:$E1004,$A220)))</f>
        <v/>
      </c>
      <c r="D220" s="106">
        <f>IF($C220="","",SUMIFS(Trips!$K5:$K1004,Trips!$Z5:$Z1004,$R220,Trips!$D5:$D1004,$A220)+SUMIFS(Trips!$K5:$K1004,Trips!$Z5:$Z1004,$R220,Trips!$E5:$E1004,$A220))</f>
        <v/>
      </c>
      <c r="E220" s="107">
        <f>IF($C220="","",SUMIFS(Trips!$N5:$N1004,Trips!$Z5:$Z1004,$R220,Trips!$D5:$D1004,$A220)+SUMIFS(Trips!$O5:$O1004,Trips!$Z5:$Z1004,$R220,Trips!$E5:$E1004,$A220))</f>
        <v/>
      </c>
      <c r="F220" s="108">
        <f>IF($C220="","",SUMIFS(Trips!$P5:$P1004,Trips!$Z5:$Z1004,$R220,Trips!$D5:$D1004,$A220))</f>
        <v/>
      </c>
      <c r="G220" s="108">
        <f>IF($C220="","",SUMIFS(Trips!$Q5:$Q1004,Trips!$Z5:$Z1004,$R220,Trips!$D5:$D1004,$A220))</f>
        <v/>
      </c>
      <c r="H220" s="107">
        <f>IF(AND($C220="",$I220="",$J220=""),"",N($E220)+N($F220)+N($G220))</f>
        <v/>
      </c>
      <c r="I220" s="108">
        <f>IF($A220="","",IFERROR(1/(1/SUMIFS(Expenses!$F5:$F1004,Expenses!$B5:$B1004,"Cash Advance",Expenses!$J5:$J1004,$R220,Expenses!$E5:$E1004,$A220)),""))</f>
        <v/>
      </c>
      <c r="J220" s="108">
        <f>IF($A220="","",IFERROR(1/(1/SUMIFS(Expenses!$F5:$F1004,Expenses!$B5:$B1004,"Payroll Payout",Expenses!$J5:$J1004,$R220,Expenses!$E5:$E1004,$A220)),""))</f>
        <v/>
      </c>
      <c r="K220" s="109">
        <f>IF($H220="","",N($H220)-N($I220)-N($J220))</f>
        <v/>
      </c>
      <c r="L220" s="110">
        <f>IF($K220="","",IF($K220&gt;0.5,"TO PAY",IF($K220&lt;-0.5,"ADVANCE / OWES","SETTLED")))</f>
        <v/>
      </c>
      <c r="R220" s="111" t="n">
        <v>46478</v>
      </c>
    </row>
    <row r="221">
      <c r="A221" s="103">
        <f>IF(Setup!$A81="","",Setup!$A81)</f>
        <v/>
      </c>
      <c r="B221" s="104">
        <f>IF($A221="","",Setup!$B81)</f>
        <v/>
      </c>
      <c r="C221" s="105">
        <f>IF($A221="","",IF(COUNTIFS(Trips!$Z5:$Z1004,$R221,Trips!$D5:$D1004,$A221)+COUNTIFS(Trips!$Z5:$Z1004,$R221,Trips!$E5:$E1004,$A221)=0,"",COUNTIFS(Trips!$Z5:$Z1004,$R221,Trips!$D5:$D1004,$A221)+COUNTIFS(Trips!$Z5:$Z1004,$R221,Trips!$E5:$E1004,$A221)))</f>
        <v/>
      </c>
      <c r="D221" s="106">
        <f>IF($C221="","",SUMIFS(Trips!$K5:$K1004,Trips!$Z5:$Z1004,$R221,Trips!$D5:$D1004,$A221)+SUMIFS(Trips!$K5:$K1004,Trips!$Z5:$Z1004,$R221,Trips!$E5:$E1004,$A221))</f>
        <v/>
      </c>
      <c r="E221" s="107">
        <f>IF($C221="","",SUMIFS(Trips!$N5:$N1004,Trips!$Z5:$Z1004,$R221,Trips!$D5:$D1004,$A221)+SUMIFS(Trips!$O5:$O1004,Trips!$Z5:$Z1004,$R221,Trips!$E5:$E1004,$A221))</f>
        <v/>
      </c>
      <c r="F221" s="108">
        <f>IF($C221="","",SUMIFS(Trips!$P5:$P1004,Trips!$Z5:$Z1004,$R221,Trips!$D5:$D1004,$A221))</f>
        <v/>
      </c>
      <c r="G221" s="108">
        <f>IF($C221="","",SUMIFS(Trips!$Q5:$Q1004,Trips!$Z5:$Z1004,$R221,Trips!$D5:$D1004,$A221))</f>
        <v/>
      </c>
      <c r="H221" s="107">
        <f>IF(AND($C221="",$I221="",$J221=""),"",N($E221)+N($F221)+N($G221))</f>
        <v/>
      </c>
      <c r="I221" s="108">
        <f>IF($A221="","",IFERROR(1/(1/SUMIFS(Expenses!$F5:$F1004,Expenses!$B5:$B1004,"Cash Advance",Expenses!$J5:$J1004,$R221,Expenses!$E5:$E1004,$A221)),""))</f>
        <v/>
      </c>
      <c r="J221" s="108">
        <f>IF($A221="","",IFERROR(1/(1/SUMIFS(Expenses!$F5:$F1004,Expenses!$B5:$B1004,"Payroll Payout",Expenses!$J5:$J1004,$R221,Expenses!$E5:$E1004,$A221)),""))</f>
        <v/>
      </c>
      <c r="K221" s="109">
        <f>IF($H221="","",N($H221)-N($I221)-N($J221))</f>
        <v/>
      </c>
      <c r="L221" s="110">
        <f>IF($K221="","",IF($K221&gt;0.5,"TO PAY",IF($K221&lt;-0.5,"ADVANCE / OWES","SETTLED")))</f>
        <v/>
      </c>
      <c r="R221" s="111" t="n">
        <v>46478</v>
      </c>
    </row>
    <row r="222">
      <c r="A222" s="103">
        <f>IF(Setup!$A82="","",Setup!$A82)</f>
        <v/>
      </c>
      <c r="B222" s="104">
        <f>IF($A222="","",Setup!$B82)</f>
        <v/>
      </c>
      <c r="C222" s="105">
        <f>IF($A222="","",IF(COUNTIFS(Trips!$Z5:$Z1004,$R222,Trips!$D5:$D1004,$A222)+COUNTIFS(Trips!$Z5:$Z1004,$R222,Trips!$E5:$E1004,$A222)=0,"",COUNTIFS(Trips!$Z5:$Z1004,$R222,Trips!$D5:$D1004,$A222)+COUNTIFS(Trips!$Z5:$Z1004,$R222,Trips!$E5:$E1004,$A222)))</f>
        <v/>
      </c>
      <c r="D222" s="106">
        <f>IF($C222="","",SUMIFS(Trips!$K5:$K1004,Trips!$Z5:$Z1004,$R222,Trips!$D5:$D1004,$A222)+SUMIFS(Trips!$K5:$K1004,Trips!$Z5:$Z1004,$R222,Trips!$E5:$E1004,$A222))</f>
        <v/>
      </c>
      <c r="E222" s="107">
        <f>IF($C222="","",SUMIFS(Trips!$N5:$N1004,Trips!$Z5:$Z1004,$R222,Trips!$D5:$D1004,$A222)+SUMIFS(Trips!$O5:$O1004,Trips!$Z5:$Z1004,$R222,Trips!$E5:$E1004,$A222))</f>
        <v/>
      </c>
      <c r="F222" s="108">
        <f>IF($C222="","",SUMIFS(Trips!$P5:$P1004,Trips!$Z5:$Z1004,$R222,Trips!$D5:$D1004,$A222))</f>
        <v/>
      </c>
      <c r="G222" s="108">
        <f>IF($C222="","",SUMIFS(Trips!$Q5:$Q1004,Trips!$Z5:$Z1004,$R222,Trips!$D5:$D1004,$A222))</f>
        <v/>
      </c>
      <c r="H222" s="107">
        <f>IF(AND($C222="",$I222="",$J222=""),"",N($E222)+N($F222)+N($G222))</f>
        <v/>
      </c>
      <c r="I222" s="108">
        <f>IF($A222="","",IFERROR(1/(1/SUMIFS(Expenses!$F5:$F1004,Expenses!$B5:$B1004,"Cash Advance",Expenses!$J5:$J1004,$R222,Expenses!$E5:$E1004,$A222)),""))</f>
        <v/>
      </c>
      <c r="J222" s="108">
        <f>IF($A222="","",IFERROR(1/(1/SUMIFS(Expenses!$F5:$F1004,Expenses!$B5:$B1004,"Payroll Payout",Expenses!$J5:$J1004,$R222,Expenses!$E5:$E1004,$A222)),""))</f>
        <v/>
      </c>
      <c r="K222" s="109">
        <f>IF($H222="","",N($H222)-N($I222)-N($J222))</f>
        <v/>
      </c>
      <c r="L222" s="110">
        <f>IF($K222="","",IF($K222&gt;0.5,"TO PAY",IF($K222&lt;-0.5,"ADVANCE / OWES","SETTLED")))</f>
        <v/>
      </c>
      <c r="R222" s="111" t="n">
        <v>46478</v>
      </c>
    </row>
    <row r="223">
      <c r="A223" s="103">
        <f>IF(Setup!$A83="","",Setup!$A83)</f>
        <v/>
      </c>
      <c r="B223" s="104">
        <f>IF($A223="","",Setup!$B83)</f>
        <v/>
      </c>
      <c r="C223" s="105">
        <f>IF($A223="","",IF(COUNTIFS(Trips!$Z5:$Z1004,$R223,Trips!$D5:$D1004,$A223)+COUNTIFS(Trips!$Z5:$Z1004,$R223,Trips!$E5:$E1004,$A223)=0,"",COUNTIFS(Trips!$Z5:$Z1004,$R223,Trips!$D5:$D1004,$A223)+COUNTIFS(Trips!$Z5:$Z1004,$R223,Trips!$E5:$E1004,$A223)))</f>
        <v/>
      </c>
      <c r="D223" s="106">
        <f>IF($C223="","",SUMIFS(Trips!$K5:$K1004,Trips!$Z5:$Z1004,$R223,Trips!$D5:$D1004,$A223)+SUMIFS(Trips!$K5:$K1004,Trips!$Z5:$Z1004,$R223,Trips!$E5:$E1004,$A223))</f>
        <v/>
      </c>
      <c r="E223" s="107">
        <f>IF($C223="","",SUMIFS(Trips!$N5:$N1004,Trips!$Z5:$Z1004,$R223,Trips!$D5:$D1004,$A223)+SUMIFS(Trips!$O5:$O1004,Trips!$Z5:$Z1004,$R223,Trips!$E5:$E1004,$A223))</f>
        <v/>
      </c>
      <c r="F223" s="108">
        <f>IF($C223="","",SUMIFS(Trips!$P5:$P1004,Trips!$Z5:$Z1004,$R223,Trips!$D5:$D1004,$A223))</f>
        <v/>
      </c>
      <c r="G223" s="108">
        <f>IF($C223="","",SUMIFS(Trips!$Q5:$Q1004,Trips!$Z5:$Z1004,$R223,Trips!$D5:$D1004,$A223))</f>
        <v/>
      </c>
      <c r="H223" s="107">
        <f>IF(AND($C223="",$I223="",$J223=""),"",N($E223)+N($F223)+N($G223))</f>
        <v/>
      </c>
      <c r="I223" s="108">
        <f>IF($A223="","",IFERROR(1/(1/SUMIFS(Expenses!$F5:$F1004,Expenses!$B5:$B1004,"Cash Advance",Expenses!$J5:$J1004,$R223,Expenses!$E5:$E1004,$A223)),""))</f>
        <v/>
      </c>
      <c r="J223" s="108">
        <f>IF($A223="","",IFERROR(1/(1/SUMIFS(Expenses!$F5:$F1004,Expenses!$B5:$B1004,"Payroll Payout",Expenses!$J5:$J1004,$R223,Expenses!$E5:$E1004,$A223)),""))</f>
        <v/>
      </c>
      <c r="K223" s="109">
        <f>IF($H223="","",N($H223)-N($I223)-N($J223))</f>
        <v/>
      </c>
      <c r="L223" s="110">
        <f>IF($K223="","",IF($K223&gt;0.5,"TO PAY",IF($K223&lt;-0.5,"ADVANCE / OWES","SETTLED")))</f>
        <v/>
      </c>
      <c r="R223" s="111" t="n">
        <v>46478</v>
      </c>
    </row>
    <row r="224">
      <c r="A224" s="103">
        <f>IF(Setup!$A84="","",Setup!$A84)</f>
        <v/>
      </c>
      <c r="B224" s="104">
        <f>IF($A224="","",Setup!$B84)</f>
        <v/>
      </c>
      <c r="C224" s="105">
        <f>IF($A224="","",IF(COUNTIFS(Trips!$Z5:$Z1004,$R224,Trips!$D5:$D1004,$A224)+COUNTIFS(Trips!$Z5:$Z1004,$R224,Trips!$E5:$E1004,$A224)=0,"",COUNTIFS(Trips!$Z5:$Z1004,$R224,Trips!$D5:$D1004,$A224)+COUNTIFS(Trips!$Z5:$Z1004,$R224,Trips!$E5:$E1004,$A224)))</f>
        <v/>
      </c>
      <c r="D224" s="106">
        <f>IF($C224="","",SUMIFS(Trips!$K5:$K1004,Trips!$Z5:$Z1004,$R224,Trips!$D5:$D1004,$A224)+SUMIFS(Trips!$K5:$K1004,Trips!$Z5:$Z1004,$R224,Trips!$E5:$E1004,$A224))</f>
        <v/>
      </c>
      <c r="E224" s="107">
        <f>IF($C224="","",SUMIFS(Trips!$N5:$N1004,Trips!$Z5:$Z1004,$R224,Trips!$D5:$D1004,$A224)+SUMIFS(Trips!$O5:$O1004,Trips!$Z5:$Z1004,$R224,Trips!$E5:$E1004,$A224))</f>
        <v/>
      </c>
      <c r="F224" s="108">
        <f>IF($C224="","",SUMIFS(Trips!$P5:$P1004,Trips!$Z5:$Z1004,$R224,Trips!$D5:$D1004,$A224))</f>
        <v/>
      </c>
      <c r="G224" s="108">
        <f>IF($C224="","",SUMIFS(Trips!$Q5:$Q1004,Trips!$Z5:$Z1004,$R224,Trips!$D5:$D1004,$A224))</f>
        <v/>
      </c>
      <c r="H224" s="107">
        <f>IF(AND($C224="",$I224="",$J224=""),"",N($E224)+N($F224)+N($G224))</f>
        <v/>
      </c>
      <c r="I224" s="108">
        <f>IF($A224="","",IFERROR(1/(1/SUMIFS(Expenses!$F5:$F1004,Expenses!$B5:$B1004,"Cash Advance",Expenses!$J5:$J1004,$R224,Expenses!$E5:$E1004,$A224)),""))</f>
        <v/>
      </c>
      <c r="J224" s="108">
        <f>IF($A224="","",IFERROR(1/(1/SUMIFS(Expenses!$F5:$F1004,Expenses!$B5:$B1004,"Payroll Payout",Expenses!$J5:$J1004,$R224,Expenses!$E5:$E1004,$A224)),""))</f>
        <v/>
      </c>
      <c r="K224" s="109">
        <f>IF($H224="","",N($H224)-N($I224)-N($J224))</f>
        <v/>
      </c>
      <c r="L224" s="110">
        <f>IF($K224="","",IF($K224&gt;0.5,"TO PAY",IF($K224&lt;-0.5,"ADVANCE / OWES","SETTLED")))</f>
        <v/>
      </c>
      <c r="R224" s="111" t="n">
        <v>46478</v>
      </c>
    </row>
    <row r="225">
      <c r="A225" s="103">
        <f>IF(Setup!$A85="","",Setup!$A85)</f>
        <v/>
      </c>
      <c r="B225" s="104">
        <f>IF($A225="","",Setup!$B85)</f>
        <v/>
      </c>
      <c r="C225" s="105">
        <f>IF($A225="","",IF(COUNTIFS(Trips!$Z5:$Z1004,$R225,Trips!$D5:$D1004,$A225)+COUNTIFS(Trips!$Z5:$Z1004,$R225,Trips!$E5:$E1004,$A225)=0,"",COUNTIFS(Trips!$Z5:$Z1004,$R225,Trips!$D5:$D1004,$A225)+COUNTIFS(Trips!$Z5:$Z1004,$R225,Trips!$E5:$E1004,$A225)))</f>
        <v/>
      </c>
      <c r="D225" s="106">
        <f>IF($C225="","",SUMIFS(Trips!$K5:$K1004,Trips!$Z5:$Z1004,$R225,Trips!$D5:$D1004,$A225)+SUMIFS(Trips!$K5:$K1004,Trips!$Z5:$Z1004,$R225,Trips!$E5:$E1004,$A225))</f>
        <v/>
      </c>
      <c r="E225" s="107">
        <f>IF($C225="","",SUMIFS(Trips!$N5:$N1004,Trips!$Z5:$Z1004,$R225,Trips!$D5:$D1004,$A225)+SUMIFS(Trips!$O5:$O1004,Trips!$Z5:$Z1004,$R225,Trips!$E5:$E1004,$A225))</f>
        <v/>
      </c>
      <c r="F225" s="108">
        <f>IF($C225="","",SUMIFS(Trips!$P5:$P1004,Trips!$Z5:$Z1004,$R225,Trips!$D5:$D1004,$A225))</f>
        <v/>
      </c>
      <c r="G225" s="108">
        <f>IF($C225="","",SUMIFS(Trips!$Q5:$Q1004,Trips!$Z5:$Z1004,$R225,Trips!$D5:$D1004,$A225))</f>
        <v/>
      </c>
      <c r="H225" s="107">
        <f>IF(AND($C225="",$I225="",$J225=""),"",N($E225)+N($F225)+N($G225))</f>
        <v/>
      </c>
      <c r="I225" s="108">
        <f>IF($A225="","",IFERROR(1/(1/SUMIFS(Expenses!$F5:$F1004,Expenses!$B5:$B1004,"Cash Advance",Expenses!$J5:$J1004,$R225,Expenses!$E5:$E1004,$A225)),""))</f>
        <v/>
      </c>
      <c r="J225" s="108">
        <f>IF($A225="","",IFERROR(1/(1/SUMIFS(Expenses!$F5:$F1004,Expenses!$B5:$B1004,"Payroll Payout",Expenses!$J5:$J1004,$R225,Expenses!$E5:$E1004,$A225)),""))</f>
        <v/>
      </c>
      <c r="K225" s="109">
        <f>IF($H225="","",N($H225)-N($I225)-N($J225))</f>
        <v/>
      </c>
      <c r="L225" s="110">
        <f>IF($K225="","",IF($K225&gt;0.5,"TO PAY",IF($K225&lt;-0.5,"ADVANCE / OWES","SETTLED")))</f>
        <v/>
      </c>
      <c r="R225" s="111" t="n">
        <v>46478</v>
      </c>
    </row>
    <row r="226">
      <c r="A226" s="103">
        <f>IF(Setup!$A86="","",Setup!$A86)</f>
        <v/>
      </c>
      <c r="B226" s="104">
        <f>IF($A226="","",Setup!$B86)</f>
        <v/>
      </c>
      <c r="C226" s="105">
        <f>IF($A226="","",IF(COUNTIFS(Trips!$Z5:$Z1004,$R226,Trips!$D5:$D1004,$A226)+COUNTIFS(Trips!$Z5:$Z1004,$R226,Trips!$E5:$E1004,$A226)=0,"",COUNTIFS(Trips!$Z5:$Z1004,$R226,Trips!$D5:$D1004,$A226)+COUNTIFS(Trips!$Z5:$Z1004,$R226,Trips!$E5:$E1004,$A226)))</f>
        <v/>
      </c>
      <c r="D226" s="106">
        <f>IF($C226="","",SUMIFS(Trips!$K5:$K1004,Trips!$Z5:$Z1004,$R226,Trips!$D5:$D1004,$A226)+SUMIFS(Trips!$K5:$K1004,Trips!$Z5:$Z1004,$R226,Trips!$E5:$E1004,$A226))</f>
        <v/>
      </c>
      <c r="E226" s="107">
        <f>IF($C226="","",SUMIFS(Trips!$N5:$N1004,Trips!$Z5:$Z1004,$R226,Trips!$D5:$D1004,$A226)+SUMIFS(Trips!$O5:$O1004,Trips!$Z5:$Z1004,$R226,Trips!$E5:$E1004,$A226))</f>
        <v/>
      </c>
      <c r="F226" s="108">
        <f>IF($C226="","",SUMIFS(Trips!$P5:$P1004,Trips!$Z5:$Z1004,$R226,Trips!$D5:$D1004,$A226))</f>
        <v/>
      </c>
      <c r="G226" s="108">
        <f>IF($C226="","",SUMIFS(Trips!$Q5:$Q1004,Trips!$Z5:$Z1004,$R226,Trips!$D5:$D1004,$A226))</f>
        <v/>
      </c>
      <c r="H226" s="107">
        <f>IF(AND($C226="",$I226="",$J226=""),"",N($E226)+N($F226)+N($G226))</f>
        <v/>
      </c>
      <c r="I226" s="108">
        <f>IF($A226="","",IFERROR(1/(1/SUMIFS(Expenses!$F5:$F1004,Expenses!$B5:$B1004,"Cash Advance",Expenses!$J5:$J1004,$R226,Expenses!$E5:$E1004,$A226)),""))</f>
        <v/>
      </c>
      <c r="J226" s="108">
        <f>IF($A226="","",IFERROR(1/(1/SUMIFS(Expenses!$F5:$F1004,Expenses!$B5:$B1004,"Payroll Payout",Expenses!$J5:$J1004,$R226,Expenses!$E5:$E1004,$A226)),""))</f>
        <v/>
      </c>
      <c r="K226" s="109">
        <f>IF($H226="","",N($H226)-N($I226)-N($J226))</f>
        <v/>
      </c>
      <c r="L226" s="110">
        <f>IF($K226="","",IF($K226&gt;0.5,"TO PAY",IF($K226&lt;-0.5,"ADVANCE / OWES","SETTLED")))</f>
        <v/>
      </c>
      <c r="R226" s="111" t="n">
        <v>46478</v>
      </c>
    </row>
    <row r="227">
      <c r="A227" s="103">
        <f>IF(Setup!$A87="","",Setup!$A87)</f>
        <v/>
      </c>
      <c r="B227" s="104">
        <f>IF($A227="","",Setup!$B87)</f>
        <v/>
      </c>
      <c r="C227" s="105">
        <f>IF($A227="","",IF(COUNTIFS(Trips!$Z5:$Z1004,$R227,Trips!$D5:$D1004,$A227)+COUNTIFS(Trips!$Z5:$Z1004,$R227,Trips!$E5:$E1004,$A227)=0,"",COUNTIFS(Trips!$Z5:$Z1004,$R227,Trips!$D5:$D1004,$A227)+COUNTIFS(Trips!$Z5:$Z1004,$R227,Trips!$E5:$E1004,$A227)))</f>
        <v/>
      </c>
      <c r="D227" s="106">
        <f>IF($C227="","",SUMIFS(Trips!$K5:$K1004,Trips!$Z5:$Z1004,$R227,Trips!$D5:$D1004,$A227)+SUMIFS(Trips!$K5:$K1004,Trips!$Z5:$Z1004,$R227,Trips!$E5:$E1004,$A227))</f>
        <v/>
      </c>
      <c r="E227" s="107">
        <f>IF($C227="","",SUMIFS(Trips!$N5:$N1004,Trips!$Z5:$Z1004,$R227,Trips!$D5:$D1004,$A227)+SUMIFS(Trips!$O5:$O1004,Trips!$Z5:$Z1004,$R227,Trips!$E5:$E1004,$A227))</f>
        <v/>
      </c>
      <c r="F227" s="108">
        <f>IF($C227="","",SUMIFS(Trips!$P5:$P1004,Trips!$Z5:$Z1004,$R227,Trips!$D5:$D1004,$A227))</f>
        <v/>
      </c>
      <c r="G227" s="108">
        <f>IF($C227="","",SUMIFS(Trips!$Q5:$Q1004,Trips!$Z5:$Z1004,$R227,Trips!$D5:$D1004,$A227))</f>
        <v/>
      </c>
      <c r="H227" s="107">
        <f>IF(AND($C227="",$I227="",$J227=""),"",N($E227)+N($F227)+N($G227))</f>
        <v/>
      </c>
      <c r="I227" s="108">
        <f>IF($A227="","",IFERROR(1/(1/SUMIFS(Expenses!$F5:$F1004,Expenses!$B5:$B1004,"Cash Advance",Expenses!$J5:$J1004,$R227,Expenses!$E5:$E1004,$A227)),""))</f>
        <v/>
      </c>
      <c r="J227" s="108">
        <f>IF($A227="","",IFERROR(1/(1/SUMIFS(Expenses!$F5:$F1004,Expenses!$B5:$B1004,"Payroll Payout",Expenses!$J5:$J1004,$R227,Expenses!$E5:$E1004,$A227)),""))</f>
        <v/>
      </c>
      <c r="K227" s="109">
        <f>IF($H227="","",N($H227)-N($I227)-N($J227))</f>
        <v/>
      </c>
      <c r="L227" s="110">
        <f>IF($K227="","",IF($K227&gt;0.5,"TO PAY",IF($K227&lt;-0.5,"ADVANCE / OWES","SETTLED")))</f>
        <v/>
      </c>
      <c r="R227" s="111" t="n">
        <v>46478</v>
      </c>
    </row>
    <row r="228">
      <c r="A228" s="112" t="inlineStr">
        <is>
          <t>MONTH TOTAL</t>
        </is>
      </c>
      <c r="B228" s="113" t="n"/>
      <c r="C228" s="114">
        <f>IF(COUNT(C216:C227)=0,"",SUM(C216:C227))</f>
        <v/>
      </c>
      <c r="D228" s="115">
        <f>IF(COUNT(D216:D227)=0,"",SUM(D216:D227))</f>
        <v/>
      </c>
      <c r="E228" s="116">
        <f>IF(COUNT(E216:E227)=0,"",SUM(E216:E227))</f>
        <v/>
      </c>
      <c r="F228" s="116">
        <f>IF(COUNT(F216:F227)=0,"",SUM(F216:F227))</f>
        <v/>
      </c>
      <c r="G228" s="116">
        <f>IF(COUNT(G216:G227)=0,"",SUM(G216:G227))</f>
        <v/>
      </c>
      <c r="H228" s="116">
        <f>IF(COUNT(H216:H227)=0,"",SUM(H216:H227))</f>
        <v/>
      </c>
      <c r="I228" s="116">
        <f>IF(COUNT(I216:I227)=0,"",SUM(I216:I227))</f>
        <v/>
      </c>
      <c r="J228" s="116">
        <f>IF(COUNT(J216:J227)=0,"",SUM(J216:J227))</f>
        <v/>
      </c>
      <c r="K228" s="116">
        <f>IF(COUNT(K216:K227)=0,"",SUM(K216:K227))</f>
        <v/>
      </c>
      <c r="L228" s="117" t="n"/>
    </row>
    <row r="229" ht="24" customHeight="1">
      <c r="A229" s="102" t="inlineStr">
        <is>
          <t>MAY 2027   ·   crew earnings &amp; settlement</t>
        </is>
      </c>
    </row>
    <row r="230">
      <c r="A230" s="103">
        <f>IF(Setup!$A76="","",Setup!$A76)</f>
        <v/>
      </c>
      <c r="B230" s="104">
        <f>IF($A230="","",Setup!$B76)</f>
        <v/>
      </c>
      <c r="C230" s="105">
        <f>IF($A230="","",IF(COUNTIFS(Trips!$Z5:$Z1004,$R230,Trips!$D5:$D1004,$A230)+COUNTIFS(Trips!$Z5:$Z1004,$R230,Trips!$E5:$E1004,$A230)=0,"",COUNTIFS(Trips!$Z5:$Z1004,$R230,Trips!$D5:$D1004,$A230)+COUNTIFS(Trips!$Z5:$Z1004,$R230,Trips!$E5:$E1004,$A230)))</f>
        <v/>
      </c>
      <c r="D230" s="106">
        <f>IF($C230="","",SUMIFS(Trips!$K5:$K1004,Trips!$Z5:$Z1004,$R230,Trips!$D5:$D1004,$A230)+SUMIFS(Trips!$K5:$K1004,Trips!$Z5:$Z1004,$R230,Trips!$E5:$E1004,$A230))</f>
        <v/>
      </c>
      <c r="E230" s="107">
        <f>IF($C230="","",SUMIFS(Trips!$N5:$N1004,Trips!$Z5:$Z1004,$R230,Trips!$D5:$D1004,$A230)+SUMIFS(Trips!$O5:$O1004,Trips!$Z5:$Z1004,$R230,Trips!$E5:$E1004,$A230))</f>
        <v/>
      </c>
      <c r="F230" s="108">
        <f>IF($C230="","",SUMIFS(Trips!$P5:$P1004,Trips!$Z5:$Z1004,$R230,Trips!$D5:$D1004,$A230))</f>
        <v/>
      </c>
      <c r="G230" s="108">
        <f>IF($C230="","",SUMIFS(Trips!$Q5:$Q1004,Trips!$Z5:$Z1004,$R230,Trips!$D5:$D1004,$A230))</f>
        <v/>
      </c>
      <c r="H230" s="107">
        <f>IF(AND($C230="",$I230="",$J230=""),"",N($E230)+N($F230)+N($G230))</f>
        <v/>
      </c>
      <c r="I230" s="108">
        <f>IF($A230="","",IFERROR(1/(1/SUMIFS(Expenses!$F5:$F1004,Expenses!$B5:$B1004,"Cash Advance",Expenses!$J5:$J1004,$R230,Expenses!$E5:$E1004,$A230)),""))</f>
        <v/>
      </c>
      <c r="J230" s="108">
        <f>IF($A230="","",IFERROR(1/(1/SUMIFS(Expenses!$F5:$F1004,Expenses!$B5:$B1004,"Payroll Payout",Expenses!$J5:$J1004,$R230,Expenses!$E5:$E1004,$A230)),""))</f>
        <v/>
      </c>
      <c r="K230" s="109">
        <f>IF($H230="","",N($H230)-N($I230)-N($J230))</f>
        <v/>
      </c>
      <c r="L230" s="110">
        <f>IF($K230="","",IF($K230&gt;0.5,"TO PAY",IF($K230&lt;-0.5,"ADVANCE / OWES","SETTLED")))</f>
        <v/>
      </c>
      <c r="R230" s="111" t="n">
        <v>46508</v>
      </c>
    </row>
    <row r="231">
      <c r="A231" s="103">
        <f>IF(Setup!$A77="","",Setup!$A77)</f>
        <v/>
      </c>
      <c r="B231" s="104">
        <f>IF($A231="","",Setup!$B77)</f>
        <v/>
      </c>
      <c r="C231" s="105">
        <f>IF($A231="","",IF(COUNTIFS(Trips!$Z5:$Z1004,$R231,Trips!$D5:$D1004,$A231)+COUNTIFS(Trips!$Z5:$Z1004,$R231,Trips!$E5:$E1004,$A231)=0,"",COUNTIFS(Trips!$Z5:$Z1004,$R231,Trips!$D5:$D1004,$A231)+COUNTIFS(Trips!$Z5:$Z1004,$R231,Trips!$E5:$E1004,$A231)))</f>
        <v/>
      </c>
      <c r="D231" s="106">
        <f>IF($C231="","",SUMIFS(Trips!$K5:$K1004,Trips!$Z5:$Z1004,$R231,Trips!$D5:$D1004,$A231)+SUMIFS(Trips!$K5:$K1004,Trips!$Z5:$Z1004,$R231,Trips!$E5:$E1004,$A231))</f>
        <v/>
      </c>
      <c r="E231" s="107">
        <f>IF($C231="","",SUMIFS(Trips!$N5:$N1004,Trips!$Z5:$Z1004,$R231,Trips!$D5:$D1004,$A231)+SUMIFS(Trips!$O5:$O1004,Trips!$Z5:$Z1004,$R231,Trips!$E5:$E1004,$A231))</f>
        <v/>
      </c>
      <c r="F231" s="108">
        <f>IF($C231="","",SUMIFS(Trips!$P5:$P1004,Trips!$Z5:$Z1004,$R231,Trips!$D5:$D1004,$A231))</f>
        <v/>
      </c>
      <c r="G231" s="108">
        <f>IF($C231="","",SUMIFS(Trips!$Q5:$Q1004,Trips!$Z5:$Z1004,$R231,Trips!$D5:$D1004,$A231))</f>
        <v/>
      </c>
      <c r="H231" s="107">
        <f>IF(AND($C231="",$I231="",$J231=""),"",N($E231)+N($F231)+N($G231))</f>
        <v/>
      </c>
      <c r="I231" s="108">
        <f>IF($A231="","",IFERROR(1/(1/SUMIFS(Expenses!$F5:$F1004,Expenses!$B5:$B1004,"Cash Advance",Expenses!$J5:$J1004,$R231,Expenses!$E5:$E1004,$A231)),""))</f>
        <v/>
      </c>
      <c r="J231" s="108">
        <f>IF($A231="","",IFERROR(1/(1/SUMIFS(Expenses!$F5:$F1004,Expenses!$B5:$B1004,"Payroll Payout",Expenses!$J5:$J1004,$R231,Expenses!$E5:$E1004,$A231)),""))</f>
        <v/>
      </c>
      <c r="K231" s="109">
        <f>IF($H231="","",N($H231)-N($I231)-N($J231))</f>
        <v/>
      </c>
      <c r="L231" s="110">
        <f>IF($K231="","",IF($K231&gt;0.5,"TO PAY",IF($K231&lt;-0.5,"ADVANCE / OWES","SETTLED")))</f>
        <v/>
      </c>
      <c r="R231" s="111" t="n">
        <v>46508</v>
      </c>
    </row>
    <row r="232">
      <c r="A232" s="103">
        <f>IF(Setup!$A78="","",Setup!$A78)</f>
        <v/>
      </c>
      <c r="B232" s="104">
        <f>IF($A232="","",Setup!$B78)</f>
        <v/>
      </c>
      <c r="C232" s="105">
        <f>IF($A232="","",IF(COUNTIFS(Trips!$Z5:$Z1004,$R232,Trips!$D5:$D1004,$A232)+COUNTIFS(Trips!$Z5:$Z1004,$R232,Trips!$E5:$E1004,$A232)=0,"",COUNTIFS(Trips!$Z5:$Z1004,$R232,Trips!$D5:$D1004,$A232)+COUNTIFS(Trips!$Z5:$Z1004,$R232,Trips!$E5:$E1004,$A232)))</f>
        <v/>
      </c>
      <c r="D232" s="106">
        <f>IF($C232="","",SUMIFS(Trips!$K5:$K1004,Trips!$Z5:$Z1004,$R232,Trips!$D5:$D1004,$A232)+SUMIFS(Trips!$K5:$K1004,Trips!$Z5:$Z1004,$R232,Trips!$E5:$E1004,$A232))</f>
        <v/>
      </c>
      <c r="E232" s="107">
        <f>IF($C232="","",SUMIFS(Trips!$N5:$N1004,Trips!$Z5:$Z1004,$R232,Trips!$D5:$D1004,$A232)+SUMIFS(Trips!$O5:$O1004,Trips!$Z5:$Z1004,$R232,Trips!$E5:$E1004,$A232))</f>
        <v/>
      </c>
      <c r="F232" s="108">
        <f>IF($C232="","",SUMIFS(Trips!$P5:$P1004,Trips!$Z5:$Z1004,$R232,Trips!$D5:$D1004,$A232))</f>
        <v/>
      </c>
      <c r="G232" s="108">
        <f>IF($C232="","",SUMIFS(Trips!$Q5:$Q1004,Trips!$Z5:$Z1004,$R232,Trips!$D5:$D1004,$A232))</f>
        <v/>
      </c>
      <c r="H232" s="107">
        <f>IF(AND($C232="",$I232="",$J232=""),"",N($E232)+N($F232)+N($G232))</f>
        <v/>
      </c>
      <c r="I232" s="108">
        <f>IF($A232="","",IFERROR(1/(1/SUMIFS(Expenses!$F5:$F1004,Expenses!$B5:$B1004,"Cash Advance",Expenses!$J5:$J1004,$R232,Expenses!$E5:$E1004,$A232)),""))</f>
        <v/>
      </c>
      <c r="J232" s="108">
        <f>IF($A232="","",IFERROR(1/(1/SUMIFS(Expenses!$F5:$F1004,Expenses!$B5:$B1004,"Payroll Payout",Expenses!$J5:$J1004,$R232,Expenses!$E5:$E1004,$A232)),""))</f>
        <v/>
      </c>
      <c r="K232" s="109">
        <f>IF($H232="","",N($H232)-N($I232)-N($J232))</f>
        <v/>
      </c>
      <c r="L232" s="110">
        <f>IF($K232="","",IF($K232&gt;0.5,"TO PAY",IF($K232&lt;-0.5,"ADVANCE / OWES","SETTLED")))</f>
        <v/>
      </c>
      <c r="R232" s="111" t="n">
        <v>46508</v>
      </c>
    </row>
    <row r="233">
      <c r="A233" s="103">
        <f>IF(Setup!$A79="","",Setup!$A79)</f>
        <v/>
      </c>
      <c r="B233" s="104">
        <f>IF($A233="","",Setup!$B79)</f>
        <v/>
      </c>
      <c r="C233" s="105">
        <f>IF($A233="","",IF(COUNTIFS(Trips!$Z5:$Z1004,$R233,Trips!$D5:$D1004,$A233)+COUNTIFS(Trips!$Z5:$Z1004,$R233,Trips!$E5:$E1004,$A233)=0,"",COUNTIFS(Trips!$Z5:$Z1004,$R233,Trips!$D5:$D1004,$A233)+COUNTIFS(Trips!$Z5:$Z1004,$R233,Trips!$E5:$E1004,$A233)))</f>
        <v/>
      </c>
      <c r="D233" s="106">
        <f>IF($C233="","",SUMIFS(Trips!$K5:$K1004,Trips!$Z5:$Z1004,$R233,Trips!$D5:$D1004,$A233)+SUMIFS(Trips!$K5:$K1004,Trips!$Z5:$Z1004,$R233,Trips!$E5:$E1004,$A233))</f>
        <v/>
      </c>
      <c r="E233" s="107">
        <f>IF($C233="","",SUMIFS(Trips!$N5:$N1004,Trips!$Z5:$Z1004,$R233,Trips!$D5:$D1004,$A233)+SUMIFS(Trips!$O5:$O1004,Trips!$Z5:$Z1004,$R233,Trips!$E5:$E1004,$A233))</f>
        <v/>
      </c>
      <c r="F233" s="108">
        <f>IF($C233="","",SUMIFS(Trips!$P5:$P1004,Trips!$Z5:$Z1004,$R233,Trips!$D5:$D1004,$A233))</f>
        <v/>
      </c>
      <c r="G233" s="108">
        <f>IF($C233="","",SUMIFS(Trips!$Q5:$Q1004,Trips!$Z5:$Z1004,$R233,Trips!$D5:$D1004,$A233))</f>
        <v/>
      </c>
      <c r="H233" s="107">
        <f>IF(AND($C233="",$I233="",$J233=""),"",N($E233)+N($F233)+N($G233))</f>
        <v/>
      </c>
      <c r="I233" s="108">
        <f>IF($A233="","",IFERROR(1/(1/SUMIFS(Expenses!$F5:$F1004,Expenses!$B5:$B1004,"Cash Advance",Expenses!$J5:$J1004,$R233,Expenses!$E5:$E1004,$A233)),""))</f>
        <v/>
      </c>
      <c r="J233" s="108">
        <f>IF($A233="","",IFERROR(1/(1/SUMIFS(Expenses!$F5:$F1004,Expenses!$B5:$B1004,"Payroll Payout",Expenses!$J5:$J1004,$R233,Expenses!$E5:$E1004,$A233)),""))</f>
        <v/>
      </c>
      <c r="K233" s="109">
        <f>IF($H233="","",N($H233)-N($I233)-N($J233))</f>
        <v/>
      </c>
      <c r="L233" s="110">
        <f>IF($K233="","",IF($K233&gt;0.5,"TO PAY",IF($K233&lt;-0.5,"ADVANCE / OWES","SETTLED")))</f>
        <v/>
      </c>
      <c r="R233" s="111" t="n">
        <v>46508</v>
      </c>
    </row>
    <row r="234">
      <c r="A234" s="103">
        <f>IF(Setup!$A80="","",Setup!$A80)</f>
        <v/>
      </c>
      <c r="B234" s="104">
        <f>IF($A234="","",Setup!$B80)</f>
        <v/>
      </c>
      <c r="C234" s="105">
        <f>IF($A234="","",IF(COUNTIFS(Trips!$Z5:$Z1004,$R234,Trips!$D5:$D1004,$A234)+COUNTIFS(Trips!$Z5:$Z1004,$R234,Trips!$E5:$E1004,$A234)=0,"",COUNTIFS(Trips!$Z5:$Z1004,$R234,Trips!$D5:$D1004,$A234)+COUNTIFS(Trips!$Z5:$Z1004,$R234,Trips!$E5:$E1004,$A234)))</f>
        <v/>
      </c>
      <c r="D234" s="106">
        <f>IF($C234="","",SUMIFS(Trips!$K5:$K1004,Trips!$Z5:$Z1004,$R234,Trips!$D5:$D1004,$A234)+SUMIFS(Trips!$K5:$K1004,Trips!$Z5:$Z1004,$R234,Trips!$E5:$E1004,$A234))</f>
        <v/>
      </c>
      <c r="E234" s="107">
        <f>IF($C234="","",SUMIFS(Trips!$N5:$N1004,Trips!$Z5:$Z1004,$R234,Trips!$D5:$D1004,$A234)+SUMIFS(Trips!$O5:$O1004,Trips!$Z5:$Z1004,$R234,Trips!$E5:$E1004,$A234))</f>
        <v/>
      </c>
      <c r="F234" s="108">
        <f>IF($C234="","",SUMIFS(Trips!$P5:$P1004,Trips!$Z5:$Z1004,$R234,Trips!$D5:$D1004,$A234))</f>
        <v/>
      </c>
      <c r="G234" s="108">
        <f>IF($C234="","",SUMIFS(Trips!$Q5:$Q1004,Trips!$Z5:$Z1004,$R234,Trips!$D5:$D1004,$A234))</f>
        <v/>
      </c>
      <c r="H234" s="107">
        <f>IF(AND($C234="",$I234="",$J234=""),"",N($E234)+N($F234)+N($G234))</f>
        <v/>
      </c>
      <c r="I234" s="108">
        <f>IF($A234="","",IFERROR(1/(1/SUMIFS(Expenses!$F5:$F1004,Expenses!$B5:$B1004,"Cash Advance",Expenses!$J5:$J1004,$R234,Expenses!$E5:$E1004,$A234)),""))</f>
        <v/>
      </c>
      <c r="J234" s="108">
        <f>IF($A234="","",IFERROR(1/(1/SUMIFS(Expenses!$F5:$F1004,Expenses!$B5:$B1004,"Payroll Payout",Expenses!$J5:$J1004,$R234,Expenses!$E5:$E1004,$A234)),""))</f>
        <v/>
      </c>
      <c r="K234" s="109">
        <f>IF($H234="","",N($H234)-N($I234)-N($J234))</f>
        <v/>
      </c>
      <c r="L234" s="110">
        <f>IF($K234="","",IF($K234&gt;0.5,"TO PAY",IF($K234&lt;-0.5,"ADVANCE / OWES","SETTLED")))</f>
        <v/>
      </c>
      <c r="R234" s="111" t="n">
        <v>46508</v>
      </c>
    </row>
    <row r="235">
      <c r="A235" s="103">
        <f>IF(Setup!$A81="","",Setup!$A81)</f>
        <v/>
      </c>
      <c r="B235" s="104">
        <f>IF($A235="","",Setup!$B81)</f>
        <v/>
      </c>
      <c r="C235" s="105">
        <f>IF($A235="","",IF(COUNTIFS(Trips!$Z5:$Z1004,$R235,Trips!$D5:$D1004,$A235)+COUNTIFS(Trips!$Z5:$Z1004,$R235,Trips!$E5:$E1004,$A235)=0,"",COUNTIFS(Trips!$Z5:$Z1004,$R235,Trips!$D5:$D1004,$A235)+COUNTIFS(Trips!$Z5:$Z1004,$R235,Trips!$E5:$E1004,$A235)))</f>
        <v/>
      </c>
      <c r="D235" s="106">
        <f>IF($C235="","",SUMIFS(Trips!$K5:$K1004,Trips!$Z5:$Z1004,$R235,Trips!$D5:$D1004,$A235)+SUMIFS(Trips!$K5:$K1004,Trips!$Z5:$Z1004,$R235,Trips!$E5:$E1004,$A235))</f>
        <v/>
      </c>
      <c r="E235" s="107">
        <f>IF($C235="","",SUMIFS(Trips!$N5:$N1004,Trips!$Z5:$Z1004,$R235,Trips!$D5:$D1004,$A235)+SUMIFS(Trips!$O5:$O1004,Trips!$Z5:$Z1004,$R235,Trips!$E5:$E1004,$A235))</f>
        <v/>
      </c>
      <c r="F235" s="108">
        <f>IF($C235="","",SUMIFS(Trips!$P5:$P1004,Trips!$Z5:$Z1004,$R235,Trips!$D5:$D1004,$A235))</f>
        <v/>
      </c>
      <c r="G235" s="108">
        <f>IF($C235="","",SUMIFS(Trips!$Q5:$Q1004,Trips!$Z5:$Z1004,$R235,Trips!$D5:$D1004,$A235))</f>
        <v/>
      </c>
      <c r="H235" s="107">
        <f>IF(AND($C235="",$I235="",$J235=""),"",N($E235)+N($F235)+N($G235))</f>
        <v/>
      </c>
      <c r="I235" s="108">
        <f>IF($A235="","",IFERROR(1/(1/SUMIFS(Expenses!$F5:$F1004,Expenses!$B5:$B1004,"Cash Advance",Expenses!$J5:$J1004,$R235,Expenses!$E5:$E1004,$A235)),""))</f>
        <v/>
      </c>
      <c r="J235" s="108">
        <f>IF($A235="","",IFERROR(1/(1/SUMIFS(Expenses!$F5:$F1004,Expenses!$B5:$B1004,"Payroll Payout",Expenses!$J5:$J1004,$R235,Expenses!$E5:$E1004,$A235)),""))</f>
        <v/>
      </c>
      <c r="K235" s="109">
        <f>IF($H235="","",N($H235)-N($I235)-N($J235))</f>
        <v/>
      </c>
      <c r="L235" s="110">
        <f>IF($K235="","",IF($K235&gt;0.5,"TO PAY",IF($K235&lt;-0.5,"ADVANCE / OWES","SETTLED")))</f>
        <v/>
      </c>
      <c r="R235" s="111" t="n">
        <v>46508</v>
      </c>
    </row>
    <row r="236">
      <c r="A236" s="103">
        <f>IF(Setup!$A82="","",Setup!$A82)</f>
        <v/>
      </c>
      <c r="B236" s="104">
        <f>IF($A236="","",Setup!$B82)</f>
        <v/>
      </c>
      <c r="C236" s="105">
        <f>IF($A236="","",IF(COUNTIFS(Trips!$Z5:$Z1004,$R236,Trips!$D5:$D1004,$A236)+COUNTIFS(Trips!$Z5:$Z1004,$R236,Trips!$E5:$E1004,$A236)=0,"",COUNTIFS(Trips!$Z5:$Z1004,$R236,Trips!$D5:$D1004,$A236)+COUNTIFS(Trips!$Z5:$Z1004,$R236,Trips!$E5:$E1004,$A236)))</f>
        <v/>
      </c>
      <c r="D236" s="106">
        <f>IF($C236="","",SUMIFS(Trips!$K5:$K1004,Trips!$Z5:$Z1004,$R236,Trips!$D5:$D1004,$A236)+SUMIFS(Trips!$K5:$K1004,Trips!$Z5:$Z1004,$R236,Trips!$E5:$E1004,$A236))</f>
        <v/>
      </c>
      <c r="E236" s="107">
        <f>IF($C236="","",SUMIFS(Trips!$N5:$N1004,Trips!$Z5:$Z1004,$R236,Trips!$D5:$D1004,$A236)+SUMIFS(Trips!$O5:$O1004,Trips!$Z5:$Z1004,$R236,Trips!$E5:$E1004,$A236))</f>
        <v/>
      </c>
      <c r="F236" s="108">
        <f>IF($C236="","",SUMIFS(Trips!$P5:$P1004,Trips!$Z5:$Z1004,$R236,Trips!$D5:$D1004,$A236))</f>
        <v/>
      </c>
      <c r="G236" s="108">
        <f>IF($C236="","",SUMIFS(Trips!$Q5:$Q1004,Trips!$Z5:$Z1004,$R236,Trips!$D5:$D1004,$A236))</f>
        <v/>
      </c>
      <c r="H236" s="107">
        <f>IF(AND($C236="",$I236="",$J236=""),"",N($E236)+N($F236)+N($G236))</f>
        <v/>
      </c>
      <c r="I236" s="108">
        <f>IF($A236="","",IFERROR(1/(1/SUMIFS(Expenses!$F5:$F1004,Expenses!$B5:$B1004,"Cash Advance",Expenses!$J5:$J1004,$R236,Expenses!$E5:$E1004,$A236)),""))</f>
        <v/>
      </c>
      <c r="J236" s="108">
        <f>IF($A236="","",IFERROR(1/(1/SUMIFS(Expenses!$F5:$F1004,Expenses!$B5:$B1004,"Payroll Payout",Expenses!$J5:$J1004,$R236,Expenses!$E5:$E1004,$A236)),""))</f>
        <v/>
      </c>
      <c r="K236" s="109">
        <f>IF($H236="","",N($H236)-N($I236)-N($J236))</f>
        <v/>
      </c>
      <c r="L236" s="110">
        <f>IF($K236="","",IF($K236&gt;0.5,"TO PAY",IF($K236&lt;-0.5,"ADVANCE / OWES","SETTLED")))</f>
        <v/>
      </c>
      <c r="R236" s="111" t="n">
        <v>46508</v>
      </c>
    </row>
    <row r="237">
      <c r="A237" s="103">
        <f>IF(Setup!$A83="","",Setup!$A83)</f>
        <v/>
      </c>
      <c r="B237" s="104">
        <f>IF($A237="","",Setup!$B83)</f>
        <v/>
      </c>
      <c r="C237" s="105">
        <f>IF($A237="","",IF(COUNTIFS(Trips!$Z5:$Z1004,$R237,Trips!$D5:$D1004,$A237)+COUNTIFS(Trips!$Z5:$Z1004,$R237,Trips!$E5:$E1004,$A237)=0,"",COUNTIFS(Trips!$Z5:$Z1004,$R237,Trips!$D5:$D1004,$A237)+COUNTIFS(Trips!$Z5:$Z1004,$R237,Trips!$E5:$E1004,$A237)))</f>
        <v/>
      </c>
      <c r="D237" s="106">
        <f>IF($C237="","",SUMIFS(Trips!$K5:$K1004,Trips!$Z5:$Z1004,$R237,Trips!$D5:$D1004,$A237)+SUMIFS(Trips!$K5:$K1004,Trips!$Z5:$Z1004,$R237,Trips!$E5:$E1004,$A237))</f>
        <v/>
      </c>
      <c r="E237" s="107">
        <f>IF($C237="","",SUMIFS(Trips!$N5:$N1004,Trips!$Z5:$Z1004,$R237,Trips!$D5:$D1004,$A237)+SUMIFS(Trips!$O5:$O1004,Trips!$Z5:$Z1004,$R237,Trips!$E5:$E1004,$A237))</f>
        <v/>
      </c>
      <c r="F237" s="108">
        <f>IF($C237="","",SUMIFS(Trips!$P5:$P1004,Trips!$Z5:$Z1004,$R237,Trips!$D5:$D1004,$A237))</f>
        <v/>
      </c>
      <c r="G237" s="108">
        <f>IF($C237="","",SUMIFS(Trips!$Q5:$Q1004,Trips!$Z5:$Z1004,$R237,Trips!$D5:$D1004,$A237))</f>
        <v/>
      </c>
      <c r="H237" s="107">
        <f>IF(AND($C237="",$I237="",$J237=""),"",N($E237)+N($F237)+N($G237))</f>
        <v/>
      </c>
      <c r="I237" s="108">
        <f>IF($A237="","",IFERROR(1/(1/SUMIFS(Expenses!$F5:$F1004,Expenses!$B5:$B1004,"Cash Advance",Expenses!$J5:$J1004,$R237,Expenses!$E5:$E1004,$A237)),""))</f>
        <v/>
      </c>
      <c r="J237" s="108">
        <f>IF($A237="","",IFERROR(1/(1/SUMIFS(Expenses!$F5:$F1004,Expenses!$B5:$B1004,"Payroll Payout",Expenses!$J5:$J1004,$R237,Expenses!$E5:$E1004,$A237)),""))</f>
        <v/>
      </c>
      <c r="K237" s="109">
        <f>IF($H237="","",N($H237)-N($I237)-N($J237))</f>
        <v/>
      </c>
      <c r="L237" s="110">
        <f>IF($K237="","",IF($K237&gt;0.5,"TO PAY",IF($K237&lt;-0.5,"ADVANCE / OWES","SETTLED")))</f>
        <v/>
      </c>
      <c r="R237" s="111" t="n">
        <v>46508</v>
      </c>
    </row>
    <row r="238">
      <c r="A238" s="103">
        <f>IF(Setup!$A84="","",Setup!$A84)</f>
        <v/>
      </c>
      <c r="B238" s="104">
        <f>IF($A238="","",Setup!$B84)</f>
        <v/>
      </c>
      <c r="C238" s="105">
        <f>IF($A238="","",IF(COUNTIFS(Trips!$Z5:$Z1004,$R238,Trips!$D5:$D1004,$A238)+COUNTIFS(Trips!$Z5:$Z1004,$R238,Trips!$E5:$E1004,$A238)=0,"",COUNTIFS(Trips!$Z5:$Z1004,$R238,Trips!$D5:$D1004,$A238)+COUNTIFS(Trips!$Z5:$Z1004,$R238,Trips!$E5:$E1004,$A238)))</f>
        <v/>
      </c>
      <c r="D238" s="106">
        <f>IF($C238="","",SUMIFS(Trips!$K5:$K1004,Trips!$Z5:$Z1004,$R238,Trips!$D5:$D1004,$A238)+SUMIFS(Trips!$K5:$K1004,Trips!$Z5:$Z1004,$R238,Trips!$E5:$E1004,$A238))</f>
        <v/>
      </c>
      <c r="E238" s="107">
        <f>IF($C238="","",SUMIFS(Trips!$N5:$N1004,Trips!$Z5:$Z1004,$R238,Trips!$D5:$D1004,$A238)+SUMIFS(Trips!$O5:$O1004,Trips!$Z5:$Z1004,$R238,Trips!$E5:$E1004,$A238))</f>
        <v/>
      </c>
      <c r="F238" s="108">
        <f>IF($C238="","",SUMIFS(Trips!$P5:$P1004,Trips!$Z5:$Z1004,$R238,Trips!$D5:$D1004,$A238))</f>
        <v/>
      </c>
      <c r="G238" s="108">
        <f>IF($C238="","",SUMIFS(Trips!$Q5:$Q1004,Trips!$Z5:$Z1004,$R238,Trips!$D5:$D1004,$A238))</f>
        <v/>
      </c>
      <c r="H238" s="107">
        <f>IF(AND($C238="",$I238="",$J238=""),"",N($E238)+N($F238)+N($G238))</f>
        <v/>
      </c>
      <c r="I238" s="108">
        <f>IF($A238="","",IFERROR(1/(1/SUMIFS(Expenses!$F5:$F1004,Expenses!$B5:$B1004,"Cash Advance",Expenses!$J5:$J1004,$R238,Expenses!$E5:$E1004,$A238)),""))</f>
        <v/>
      </c>
      <c r="J238" s="108">
        <f>IF($A238="","",IFERROR(1/(1/SUMIFS(Expenses!$F5:$F1004,Expenses!$B5:$B1004,"Payroll Payout",Expenses!$J5:$J1004,$R238,Expenses!$E5:$E1004,$A238)),""))</f>
        <v/>
      </c>
      <c r="K238" s="109">
        <f>IF($H238="","",N($H238)-N($I238)-N($J238))</f>
        <v/>
      </c>
      <c r="L238" s="110">
        <f>IF($K238="","",IF($K238&gt;0.5,"TO PAY",IF($K238&lt;-0.5,"ADVANCE / OWES","SETTLED")))</f>
        <v/>
      </c>
      <c r="R238" s="111" t="n">
        <v>46508</v>
      </c>
    </row>
    <row r="239">
      <c r="A239" s="103">
        <f>IF(Setup!$A85="","",Setup!$A85)</f>
        <v/>
      </c>
      <c r="B239" s="104">
        <f>IF($A239="","",Setup!$B85)</f>
        <v/>
      </c>
      <c r="C239" s="105">
        <f>IF($A239="","",IF(COUNTIFS(Trips!$Z5:$Z1004,$R239,Trips!$D5:$D1004,$A239)+COUNTIFS(Trips!$Z5:$Z1004,$R239,Trips!$E5:$E1004,$A239)=0,"",COUNTIFS(Trips!$Z5:$Z1004,$R239,Trips!$D5:$D1004,$A239)+COUNTIFS(Trips!$Z5:$Z1004,$R239,Trips!$E5:$E1004,$A239)))</f>
        <v/>
      </c>
      <c r="D239" s="106">
        <f>IF($C239="","",SUMIFS(Trips!$K5:$K1004,Trips!$Z5:$Z1004,$R239,Trips!$D5:$D1004,$A239)+SUMIFS(Trips!$K5:$K1004,Trips!$Z5:$Z1004,$R239,Trips!$E5:$E1004,$A239))</f>
        <v/>
      </c>
      <c r="E239" s="107">
        <f>IF($C239="","",SUMIFS(Trips!$N5:$N1004,Trips!$Z5:$Z1004,$R239,Trips!$D5:$D1004,$A239)+SUMIFS(Trips!$O5:$O1004,Trips!$Z5:$Z1004,$R239,Trips!$E5:$E1004,$A239))</f>
        <v/>
      </c>
      <c r="F239" s="108">
        <f>IF($C239="","",SUMIFS(Trips!$P5:$P1004,Trips!$Z5:$Z1004,$R239,Trips!$D5:$D1004,$A239))</f>
        <v/>
      </c>
      <c r="G239" s="108">
        <f>IF($C239="","",SUMIFS(Trips!$Q5:$Q1004,Trips!$Z5:$Z1004,$R239,Trips!$D5:$D1004,$A239))</f>
        <v/>
      </c>
      <c r="H239" s="107">
        <f>IF(AND($C239="",$I239="",$J239=""),"",N($E239)+N($F239)+N($G239))</f>
        <v/>
      </c>
      <c r="I239" s="108">
        <f>IF($A239="","",IFERROR(1/(1/SUMIFS(Expenses!$F5:$F1004,Expenses!$B5:$B1004,"Cash Advance",Expenses!$J5:$J1004,$R239,Expenses!$E5:$E1004,$A239)),""))</f>
        <v/>
      </c>
      <c r="J239" s="108">
        <f>IF($A239="","",IFERROR(1/(1/SUMIFS(Expenses!$F5:$F1004,Expenses!$B5:$B1004,"Payroll Payout",Expenses!$J5:$J1004,$R239,Expenses!$E5:$E1004,$A239)),""))</f>
        <v/>
      </c>
      <c r="K239" s="109">
        <f>IF($H239="","",N($H239)-N($I239)-N($J239))</f>
        <v/>
      </c>
      <c r="L239" s="110">
        <f>IF($K239="","",IF($K239&gt;0.5,"TO PAY",IF($K239&lt;-0.5,"ADVANCE / OWES","SETTLED")))</f>
        <v/>
      </c>
      <c r="R239" s="111" t="n">
        <v>46508</v>
      </c>
    </row>
    <row r="240">
      <c r="A240" s="103">
        <f>IF(Setup!$A86="","",Setup!$A86)</f>
        <v/>
      </c>
      <c r="B240" s="104">
        <f>IF($A240="","",Setup!$B86)</f>
        <v/>
      </c>
      <c r="C240" s="105">
        <f>IF($A240="","",IF(COUNTIFS(Trips!$Z5:$Z1004,$R240,Trips!$D5:$D1004,$A240)+COUNTIFS(Trips!$Z5:$Z1004,$R240,Trips!$E5:$E1004,$A240)=0,"",COUNTIFS(Trips!$Z5:$Z1004,$R240,Trips!$D5:$D1004,$A240)+COUNTIFS(Trips!$Z5:$Z1004,$R240,Trips!$E5:$E1004,$A240)))</f>
        <v/>
      </c>
      <c r="D240" s="106">
        <f>IF($C240="","",SUMIFS(Trips!$K5:$K1004,Trips!$Z5:$Z1004,$R240,Trips!$D5:$D1004,$A240)+SUMIFS(Trips!$K5:$K1004,Trips!$Z5:$Z1004,$R240,Trips!$E5:$E1004,$A240))</f>
        <v/>
      </c>
      <c r="E240" s="107">
        <f>IF($C240="","",SUMIFS(Trips!$N5:$N1004,Trips!$Z5:$Z1004,$R240,Trips!$D5:$D1004,$A240)+SUMIFS(Trips!$O5:$O1004,Trips!$Z5:$Z1004,$R240,Trips!$E5:$E1004,$A240))</f>
        <v/>
      </c>
      <c r="F240" s="108">
        <f>IF($C240="","",SUMIFS(Trips!$P5:$P1004,Trips!$Z5:$Z1004,$R240,Trips!$D5:$D1004,$A240))</f>
        <v/>
      </c>
      <c r="G240" s="108">
        <f>IF($C240="","",SUMIFS(Trips!$Q5:$Q1004,Trips!$Z5:$Z1004,$R240,Trips!$D5:$D1004,$A240))</f>
        <v/>
      </c>
      <c r="H240" s="107">
        <f>IF(AND($C240="",$I240="",$J240=""),"",N($E240)+N($F240)+N($G240))</f>
        <v/>
      </c>
      <c r="I240" s="108">
        <f>IF($A240="","",IFERROR(1/(1/SUMIFS(Expenses!$F5:$F1004,Expenses!$B5:$B1004,"Cash Advance",Expenses!$J5:$J1004,$R240,Expenses!$E5:$E1004,$A240)),""))</f>
        <v/>
      </c>
      <c r="J240" s="108">
        <f>IF($A240="","",IFERROR(1/(1/SUMIFS(Expenses!$F5:$F1004,Expenses!$B5:$B1004,"Payroll Payout",Expenses!$J5:$J1004,$R240,Expenses!$E5:$E1004,$A240)),""))</f>
        <v/>
      </c>
      <c r="K240" s="109">
        <f>IF($H240="","",N($H240)-N($I240)-N($J240))</f>
        <v/>
      </c>
      <c r="L240" s="110">
        <f>IF($K240="","",IF($K240&gt;0.5,"TO PAY",IF($K240&lt;-0.5,"ADVANCE / OWES","SETTLED")))</f>
        <v/>
      </c>
      <c r="R240" s="111" t="n">
        <v>46508</v>
      </c>
    </row>
    <row r="241">
      <c r="A241" s="103">
        <f>IF(Setup!$A87="","",Setup!$A87)</f>
        <v/>
      </c>
      <c r="B241" s="104">
        <f>IF($A241="","",Setup!$B87)</f>
        <v/>
      </c>
      <c r="C241" s="105">
        <f>IF($A241="","",IF(COUNTIFS(Trips!$Z5:$Z1004,$R241,Trips!$D5:$D1004,$A241)+COUNTIFS(Trips!$Z5:$Z1004,$R241,Trips!$E5:$E1004,$A241)=0,"",COUNTIFS(Trips!$Z5:$Z1004,$R241,Trips!$D5:$D1004,$A241)+COUNTIFS(Trips!$Z5:$Z1004,$R241,Trips!$E5:$E1004,$A241)))</f>
        <v/>
      </c>
      <c r="D241" s="106">
        <f>IF($C241="","",SUMIFS(Trips!$K5:$K1004,Trips!$Z5:$Z1004,$R241,Trips!$D5:$D1004,$A241)+SUMIFS(Trips!$K5:$K1004,Trips!$Z5:$Z1004,$R241,Trips!$E5:$E1004,$A241))</f>
        <v/>
      </c>
      <c r="E241" s="107">
        <f>IF($C241="","",SUMIFS(Trips!$N5:$N1004,Trips!$Z5:$Z1004,$R241,Trips!$D5:$D1004,$A241)+SUMIFS(Trips!$O5:$O1004,Trips!$Z5:$Z1004,$R241,Trips!$E5:$E1004,$A241))</f>
        <v/>
      </c>
      <c r="F241" s="108">
        <f>IF($C241="","",SUMIFS(Trips!$P5:$P1004,Trips!$Z5:$Z1004,$R241,Trips!$D5:$D1004,$A241))</f>
        <v/>
      </c>
      <c r="G241" s="108">
        <f>IF($C241="","",SUMIFS(Trips!$Q5:$Q1004,Trips!$Z5:$Z1004,$R241,Trips!$D5:$D1004,$A241))</f>
        <v/>
      </c>
      <c r="H241" s="107">
        <f>IF(AND($C241="",$I241="",$J241=""),"",N($E241)+N($F241)+N($G241))</f>
        <v/>
      </c>
      <c r="I241" s="108">
        <f>IF($A241="","",IFERROR(1/(1/SUMIFS(Expenses!$F5:$F1004,Expenses!$B5:$B1004,"Cash Advance",Expenses!$J5:$J1004,$R241,Expenses!$E5:$E1004,$A241)),""))</f>
        <v/>
      </c>
      <c r="J241" s="108">
        <f>IF($A241="","",IFERROR(1/(1/SUMIFS(Expenses!$F5:$F1004,Expenses!$B5:$B1004,"Payroll Payout",Expenses!$J5:$J1004,$R241,Expenses!$E5:$E1004,$A241)),""))</f>
        <v/>
      </c>
      <c r="K241" s="109">
        <f>IF($H241="","",N($H241)-N($I241)-N($J241))</f>
        <v/>
      </c>
      <c r="L241" s="110">
        <f>IF($K241="","",IF($K241&gt;0.5,"TO PAY",IF($K241&lt;-0.5,"ADVANCE / OWES","SETTLED")))</f>
        <v/>
      </c>
      <c r="R241" s="111" t="n">
        <v>46508</v>
      </c>
    </row>
    <row r="242">
      <c r="A242" s="112" t="inlineStr">
        <is>
          <t>MONTH TOTAL</t>
        </is>
      </c>
      <c r="B242" s="113" t="n"/>
      <c r="C242" s="114">
        <f>IF(COUNT(C230:C241)=0,"",SUM(C230:C241))</f>
        <v/>
      </c>
      <c r="D242" s="115">
        <f>IF(COUNT(D230:D241)=0,"",SUM(D230:D241))</f>
        <v/>
      </c>
      <c r="E242" s="116">
        <f>IF(COUNT(E230:E241)=0,"",SUM(E230:E241))</f>
        <v/>
      </c>
      <c r="F242" s="116">
        <f>IF(COUNT(F230:F241)=0,"",SUM(F230:F241))</f>
        <v/>
      </c>
      <c r="G242" s="116">
        <f>IF(COUNT(G230:G241)=0,"",SUM(G230:G241))</f>
        <v/>
      </c>
      <c r="H242" s="116">
        <f>IF(COUNT(H230:H241)=0,"",SUM(H230:H241))</f>
        <v/>
      </c>
      <c r="I242" s="116">
        <f>IF(COUNT(I230:I241)=0,"",SUM(I230:I241))</f>
        <v/>
      </c>
      <c r="J242" s="116">
        <f>IF(COUNT(J230:J241)=0,"",SUM(J230:J241))</f>
        <v/>
      </c>
      <c r="K242" s="116">
        <f>IF(COUNT(K230:K241)=0,"",SUM(K230:K241))</f>
        <v/>
      </c>
      <c r="L242" s="117" t="n"/>
    </row>
    <row r="243" ht="24" customHeight="1">
      <c r="A243" s="102" t="inlineStr">
        <is>
          <t>JUNE 2027   ·   crew earnings &amp; settlement</t>
        </is>
      </c>
    </row>
    <row r="244">
      <c r="A244" s="103">
        <f>IF(Setup!$A76="","",Setup!$A76)</f>
        <v/>
      </c>
      <c r="B244" s="104">
        <f>IF($A244="","",Setup!$B76)</f>
        <v/>
      </c>
      <c r="C244" s="105">
        <f>IF($A244="","",IF(COUNTIFS(Trips!$Z5:$Z1004,$R244,Trips!$D5:$D1004,$A244)+COUNTIFS(Trips!$Z5:$Z1004,$R244,Trips!$E5:$E1004,$A244)=0,"",COUNTIFS(Trips!$Z5:$Z1004,$R244,Trips!$D5:$D1004,$A244)+COUNTIFS(Trips!$Z5:$Z1004,$R244,Trips!$E5:$E1004,$A244)))</f>
        <v/>
      </c>
      <c r="D244" s="106">
        <f>IF($C244="","",SUMIFS(Trips!$K5:$K1004,Trips!$Z5:$Z1004,$R244,Trips!$D5:$D1004,$A244)+SUMIFS(Trips!$K5:$K1004,Trips!$Z5:$Z1004,$R244,Trips!$E5:$E1004,$A244))</f>
        <v/>
      </c>
      <c r="E244" s="107">
        <f>IF($C244="","",SUMIFS(Trips!$N5:$N1004,Trips!$Z5:$Z1004,$R244,Trips!$D5:$D1004,$A244)+SUMIFS(Trips!$O5:$O1004,Trips!$Z5:$Z1004,$R244,Trips!$E5:$E1004,$A244))</f>
        <v/>
      </c>
      <c r="F244" s="108">
        <f>IF($C244="","",SUMIFS(Trips!$P5:$P1004,Trips!$Z5:$Z1004,$R244,Trips!$D5:$D1004,$A244))</f>
        <v/>
      </c>
      <c r="G244" s="108">
        <f>IF($C244="","",SUMIFS(Trips!$Q5:$Q1004,Trips!$Z5:$Z1004,$R244,Trips!$D5:$D1004,$A244))</f>
        <v/>
      </c>
      <c r="H244" s="107">
        <f>IF(AND($C244="",$I244="",$J244=""),"",N($E244)+N($F244)+N($G244))</f>
        <v/>
      </c>
      <c r="I244" s="108">
        <f>IF($A244="","",IFERROR(1/(1/SUMIFS(Expenses!$F5:$F1004,Expenses!$B5:$B1004,"Cash Advance",Expenses!$J5:$J1004,$R244,Expenses!$E5:$E1004,$A244)),""))</f>
        <v/>
      </c>
      <c r="J244" s="108">
        <f>IF($A244="","",IFERROR(1/(1/SUMIFS(Expenses!$F5:$F1004,Expenses!$B5:$B1004,"Payroll Payout",Expenses!$J5:$J1004,$R244,Expenses!$E5:$E1004,$A244)),""))</f>
        <v/>
      </c>
      <c r="K244" s="109">
        <f>IF($H244="","",N($H244)-N($I244)-N($J244))</f>
        <v/>
      </c>
      <c r="L244" s="110">
        <f>IF($K244="","",IF($K244&gt;0.5,"TO PAY",IF($K244&lt;-0.5,"ADVANCE / OWES","SETTLED")))</f>
        <v/>
      </c>
      <c r="R244" s="111" t="n">
        <v>46539</v>
      </c>
    </row>
    <row r="245">
      <c r="A245" s="103">
        <f>IF(Setup!$A77="","",Setup!$A77)</f>
        <v/>
      </c>
      <c r="B245" s="104">
        <f>IF($A245="","",Setup!$B77)</f>
        <v/>
      </c>
      <c r="C245" s="105">
        <f>IF($A245="","",IF(COUNTIFS(Trips!$Z5:$Z1004,$R245,Trips!$D5:$D1004,$A245)+COUNTIFS(Trips!$Z5:$Z1004,$R245,Trips!$E5:$E1004,$A245)=0,"",COUNTIFS(Trips!$Z5:$Z1004,$R245,Trips!$D5:$D1004,$A245)+COUNTIFS(Trips!$Z5:$Z1004,$R245,Trips!$E5:$E1004,$A245)))</f>
        <v/>
      </c>
      <c r="D245" s="106">
        <f>IF($C245="","",SUMIFS(Trips!$K5:$K1004,Trips!$Z5:$Z1004,$R245,Trips!$D5:$D1004,$A245)+SUMIFS(Trips!$K5:$K1004,Trips!$Z5:$Z1004,$R245,Trips!$E5:$E1004,$A245))</f>
        <v/>
      </c>
      <c r="E245" s="107">
        <f>IF($C245="","",SUMIFS(Trips!$N5:$N1004,Trips!$Z5:$Z1004,$R245,Trips!$D5:$D1004,$A245)+SUMIFS(Trips!$O5:$O1004,Trips!$Z5:$Z1004,$R245,Trips!$E5:$E1004,$A245))</f>
        <v/>
      </c>
      <c r="F245" s="108">
        <f>IF($C245="","",SUMIFS(Trips!$P5:$P1004,Trips!$Z5:$Z1004,$R245,Trips!$D5:$D1004,$A245))</f>
        <v/>
      </c>
      <c r="G245" s="108">
        <f>IF($C245="","",SUMIFS(Trips!$Q5:$Q1004,Trips!$Z5:$Z1004,$R245,Trips!$D5:$D1004,$A245))</f>
        <v/>
      </c>
      <c r="H245" s="107">
        <f>IF(AND($C245="",$I245="",$J245=""),"",N($E245)+N($F245)+N($G245))</f>
        <v/>
      </c>
      <c r="I245" s="108">
        <f>IF($A245="","",IFERROR(1/(1/SUMIFS(Expenses!$F5:$F1004,Expenses!$B5:$B1004,"Cash Advance",Expenses!$J5:$J1004,$R245,Expenses!$E5:$E1004,$A245)),""))</f>
        <v/>
      </c>
      <c r="J245" s="108">
        <f>IF($A245="","",IFERROR(1/(1/SUMIFS(Expenses!$F5:$F1004,Expenses!$B5:$B1004,"Payroll Payout",Expenses!$J5:$J1004,$R245,Expenses!$E5:$E1004,$A245)),""))</f>
        <v/>
      </c>
      <c r="K245" s="109">
        <f>IF($H245="","",N($H245)-N($I245)-N($J245))</f>
        <v/>
      </c>
      <c r="L245" s="110">
        <f>IF($K245="","",IF($K245&gt;0.5,"TO PAY",IF($K245&lt;-0.5,"ADVANCE / OWES","SETTLED")))</f>
        <v/>
      </c>
      <c r="R245" s="111" t="n">
        <v>46539</v>
      </c>
    </row>
    <row r="246">
      <c r="A246" s="103">
        <f>IF(Setup!$A78="","",Setup!$A78)</f>
        <v/>
      </c>
      <c r="B246" s="104">
        <f>IF($A246="","",Setup!$B78)</f>
        <v/>
      </c>
      <c r="C246" s="105">
        <f>IF($A246="","",IF(COUNTIFS(Trips!$Z5:$Z1004,$R246,Trips!$D5:$D1004,$A246)+COUNTIFS(Trips!$Z5:$Z1004,$R246,Trips!$E5:$E1004,$A246)=0,"",COUNTIFS(Trips!$Z5:$Z1004,$R246,Trips!$D5:$D1004,$A246)+COUNTIFS(Trips!$Z5:$Z1004,$R246,Trips!$E5:$E1004,$A246)))</f>
        <v/>
      </c>
      <c r="D246" s="106">
        <f>IF($C246="","",SUMIFS(Trips!$K5:$K1004,Trips!$Z5:$Z1004,$R246,Trips!$D5:$D1004,$A246)+SUMIFS(Trips!$K5:$K1004,Trips!$Z5:$Z1004,$R246,Trips!$E5:$E1004,$A246))</f>
        <v/>
      </c>
      <c r="E246" s="107">
        <f>IF($C246="","",SUMIFS(Trips!$N5:$N1004,Trips!$Z5:$Z1004,$R246,Trips!$D5:$D1004,$A246)+SUMIFS(Trips!$O5:$O1004,Trips!$Z5:$Z1004,$R246,Trips!$E5:$E1004,$A246))</f>
        <v/>
      </c>
      <c r="F246" s="108">
        <f>IF($C246="","",SUMIFS(Trips!$P5:$P1004,Trips!$Z5:$Z1004,$R246,Trips!$D5:$D1004,$A246))</f>
        <v/>
      </c>
      <c r="G246" s="108">
        <f>IF($C246="","",SUMIFS(Trips!$Q5:$Q1004,Trips!$Z5:$Z1004,$R246,Trips!$D5:$D1004,$A246))</f>
        <v/>
      </c>
      <c r="H246" s="107">
        <f>IF(AND($C246="",$I246="",$J246=""),"",N($E246)+N($F246)+N($G246))</f>
        <v/>
      </c>
      <c r="I246" s="108">
        <f>IF($A246="","",IFERROR(1/(1/SUMIFS(Expenses!$F5:$F1004,Expenses!$B5:$B1004,"Cash Advance",Expenses!$J5:$J1004,$R246,Expenses!$E5:$E1004,$A246)),""))</f>
        <v/>
      </c>
      <c r="J246" s="108">
        <f>IF($A246="","",IFERROR(1/(1/SUMIFS(Expenses!$F5:$F1004,Expenses!$B5:$B1004,"Payroll Payout",Expenses!$J5:$J1004,$R246,Expenses!$E5:$E1004,$A246)),""))</f>
        <v/>
      </c>
      <c r="K246" s="109">
        <f>IF($H246="","",N($H246)-N($I246)-N($J246))</f>
        <v/>
      </c>
      <c r="L246" s="110">
        <f>IF($K246="","",IF($K246&gt;0.5,"TO PAY",IF($K246&lt;-0.5,"ADVANCE / OWES","SETTLED")))</f>
        <v/>
      </c>
      <c r="R246" s="111" t="n">
        <v>46539</v>
      </c>
    </row>
    <row r="247">
      <c r="A247" s="103">
        <f>IF(Setup!$A79="","",Setup!$A79)</f>
        <v/>
      </c>
      <c r="B247" s="104">
        <f>IF($A247="","",Setup!$B79)</f>
        <v/>
      </c>
      <c r="C247" s="105">
        <f>IF($A247="","",IF(COUNTIFS(Trips!$Z5:$Z1004,$R247,Trips!$D5:$D1004,$A247)+COUNTIFS(Trips!$Z5:$Z1004,$R247,Trips!$E5:$E1004,$A247)=0,"",COUNTIFS(Trips!$Z5:$Z1004,$R247,Trips!$D5:$D1004,$A247)+COUNTIFS(Trips!$Z5:$Z1004,$R247,Trips!$E5:$E1004,$A247)))</f>
        <v/>
      </c>
      <c r="D247" s="106">
        <f>IF($C247="","",SUMIFS(Trips!$K5:$K1004,Trips!$Z5:$Z1004,$R247,Trips!$D5:$D1004,$A247)+SUMIFS(Trips!$K5:$K1004,Trips!$Z5:$Z1004,$R247,Trips!$E5:$E1004,$A247))</f>
        <v/>
      </c>
      <c r="E247" s="107">
        <f>IF($C247="","",SUMIFS(Trips!$N5:$N1004,Trips!$Z5:$Z1004,$R247,Trips!$D5:$D1004,$A247)+SUMIFS(Trips!$O5:$O1004,Trips!$Z5:$Z1004,$R247,Trips!$E5:$E1004,$A247))</f>
        <v/>
      </c>
      <c r="F247" s="108">
        <f>IF($C247="","",SUMIFS(Trips!$P5:$P1004,Trips!$Z5:$Z1004,$R247,Trips!$D5:$D1004,$A247))</f>
        <v/>
      </c>
      <c r="G247" s="108">
        <f>IF($C247="","",SUMIFS(Trips!$Q5:$Q1004,Trips!$Z5:$Z1004,$R247,Trips!$D5:$D1004,$A247))</f>
        <v/>
      </c>
      <c r="H247" s="107">
        <f>IF(AND($C247="",$I247="",$J247=""),"",N($E247)+N($F247)+N($G247))</f>
        <v/>
      </c>
      <c r="I247" s="108">
        <f>IF($A247="","",IFERROR(1/(1/SUMIFS(Expenses!$F5:$F1004,Expenses!$B5:$B1004,"Cash Advance",Expenses!$J5:$J1004,$R247,Expenses!$E5:$E1004,$A247)),""))</f>
        <v/>
      </c>
      <c r="J247" s="108">
        <f>IF($A247="","",IFERROR(1/(1/SUMIFS(Expenses!$F5:$F1004,Expenses!$B5:$B1004,"Payroll Payout",Expenses!$J5:$J1004,$R247,Expenses!$E5:$E1004,$A247)),""))</f>
        <v/>
      </c>
      <c r="K247" s="109">
        <f>IF($H247="","",N($H247)-N($I247)-N($J247))</f>
        <v/>
      </c>
      <c r="L247" s="110">
        <f>IF($K247="","",IF($K247&gt;0.5,"TO PAY",IF($K247&lt;-0.5,"ADVANCE / OWES","SETTLED")))</f>
        <v/>
      </c>
      <c r="R247" s="111" t="n">
        <v>46539</v>
      </c>
    </row>
    <row r="248">
      <c r="A248" s="103">
        <f>IF(Setup!$A80="","",Setup!$A80)</f>
        <v/>
      </c>
      <c r="B248" s="104">
        <f>IF($A248="","",Setup!$B80)</f>
        <v/>
      </c>
      <c r="C248" s="105">
        <f>IF($A248="","",IF(COUNTIFS(Trips!$Z5:$Z1004,$R248,Trips!$D5:$D1004,$A248)+COUNTIFS(Trips!$Z5:$Z1004,$R248,Trips!$E5:$E1004,$A248)=0,"",COUNTIFS(Trips!$Z5:$Z1004,$R248,Trips!$D5:$D1004,$A248)+COUNTIFS(Trips!$Z5:$Z1004,$R248,Trips!$E5:$E1004,$A248)))</f>
        <v/>
      </c>
      <c r="D248" s="106">
        <f>IF($C248="","",SUMIFS(Trips!$K5:$K1004,Trips!$Z5:$Z1004,$R248,Trips!$D5:$D1004,$A248)+SUMIFS(Trips!$K5:$K1004,Trips!$Z5:$Z1004,$R248,Trips!$E5:$E1004,$A248))</f>
        <v/>
      </c>
      <c r="E248" s="107">
        <f>IF($C248="","",SUMIFS(Trips!$N5:$N1004,Trips!$Z5:$Z1004,$R248,Trips!$D5:$D1004,$A248)+SUMIFS(Trips!$O5:$O1004,Trips!$Z5:$Z1004,$R248,Trips!$E5:$E1004,$A248))</f>
        <v/>
      </c>
      <c r="F248" s="108">
        <f>IF($C248="","",SUMIFS(Trips!$P5:$P1004,Trips!$Z5:$Z1004,$R248,Trips!$D5:$D1004,$A248))</f>
        <v/>
      </c>
      <c r="G248" s="108">
        <f>IF($C248="","",SUMIFS(Trips!$Q5:$Q1004,Trips!$Z5:$Z1004,$R248,Trips!$D5:$D1004,$A248))</f>
        <v/>
      </c>
      <c r="H248" s="107">
        <f>IF(AND($C248="",$I248="",$J248=""),"",N($E248)+N($F248)+N($G248))</f>
        <v/>
      </c>
      <c r="I248" s="108">
        <f>IF($A248="","",IFERROR(1/(1/SUMIFS(Expenses!$F5:$F1004,Expenses!$B5:$B1004,"Cash Advance",Expenses!$J5:$J1004,$R248,Expenses!$E5:$E1004,$A248)),""))</f>
        <v/>
      </c>
      <c r="J248" s="108">
        <f>IF($A248="","",IFERROR(1/(1/SUMIFS(Expenses!$F5:$F1004,Expenses!$B5:$B1004,"Payroll Payout",Expenses!$J5:$J1004,$R248,Expenses!$E5:$E1004,$A248)),""))</f>
        <v/>
      </c>
      <c r="K248" s="109">
        <f>IF($H248="","",N($H248)-N($I248)-N($J248))</f>
        <v/>
      </c>
      <c r="L248" s="110">
        <f>IF($K248="","",IF($K248&gt;0.5,"TO PAY",IF($K248&lt;-0.5,"ADVANCE / OWES","SETTLED")))</f>
        <v/>
      </c>
      <c r="R248" s="111" t="n">
        <v>46539</v>
      </c>
    </row>
    <row r="249">
      <c r="A249" s="103">
        <f>IF(Setup!$A81="","",Setup!$A81)</f>
        <v/>
      </c>
      <c r="B249" s="104">
        <f>IF($A249="","",Setup!$B81)</f>
        <v/>
      </c>
      <c r="C249" s="105">
        <f>IF($A249="","",IF(COUNTIFS(Trips!$Z5:$Z1004,$R249,Trips!$D5:$D1004,$A249)+COUNTIFS(Trips!$Z5:$Z1004,$R249,Trips!$E5:$E1004,$A249)=0,"",COUNTIFS(Trips!$Z5:$Z1004,$R249,Trips!$D5:$D1004,$A249)+COUNTIFS(Trips!$Z5:$Z1004,$R249,Trips!$E5:$E1004,$A249)))</f>
        <v/>
      </c>
      <c r="D249" s="106">
        <f>IF($C249="","",SUMIFS(Trips!$K5:$K1004,Trips!$Z5:$Z1004,$R249,Trips!$D5:$D1004,$A249)+SUMIFS(Trips!$K5:$K1004,Trips!$Z5:$Z1004,$R249,Trips!$E5:$E1004,$A249))</f>
        <v/>
      </c>
      <c r="E249" s="107">
        <f>IF($C249="","",SUMIFS(Trips!$N5:$N1004,Trips!$Z5:$Z1004,$R249,Trips!$D5:$D1004,$A249)+SUMIFS(Trips!$O5:$O1004,Trips!$Z5:$Z1004,$R249,Trips!$E5:$E1004,$A249))</f>
        <v/>
      </c>
      <c r="F249" s="108">
        <f>IF($C249="","",SUMIFS(Trips!$P5:$P1004,Trips!$Z5:$Z1004,$R249,Trips!$D5:$D1004,$A249))</f>
        <v/>
      </c>
      <c r="G249" s="108">
        <f>IF($C249="","",SUMIFS(Trips!$Q5:$Q1004,Trips!$Z5:$Z1004,$R249,Trips!$D5:$D1004,$A249))</f>
        <v/>
      </c>
      <c r="H249" s="107">
        <f>IF(AND($C249="",$I249="",$J249=""),"",N($E249)+N($F249)+N($G249))</f>
        <v/>
      </c>
      <c r="I249" s="108">
        <f>IF($A249="","",IFERROR(1/(1/SUMIFS(Expenses!$F5:$F1004,Expenses!$B5:$B1004,"Cash Advance",Expenses!$J5:$J1004,$R249,Expenses!$E5:$E1004,$A249)),""))</f>
        <v/>
      </c>
      <c r="J249" s="108">
        <f>IF($A249="","",IFERROR(1/(1/SUMIFS(Expenses!$F5:$F1004,Expenses!$B5:$B1004,"Payroll Payout",Expenses!$J5:$J1004,$R249,Expenses!$E5:$E1004,$A249)),""))</f>
        <v/>
      </c>
      <c r="K249" s="109">
        <f>IF($H249="","",N($H249)-N($I249)-N($J249))</f>
        <v/>
      </c>
      <c r="L249" s="110">
        <f>IF($K249="","",IF($K249&gt;0.5,"TO PAY",IF($K249&lt;-0.5,"ADVANCE / OWES","SETTLED")))</f>
        <v/>
      </c>
      <c r="R249" s="111" t="n">
        <v>46539</v>
      </c>
    </row>
    <row r="250">
      <c r="A250" s="103">
        <f>IF(Setup!$A82="","",Setup!$A82)</f>
        <v/>
      </c>
      <c r="B250" s="104">
        <f>IF($A250="","",Setup!$B82)</f>
        <v/>
      </c>
      <c r="C250" s="105">
        <f>IF($A250="","",IF(COUNTIFS(Trips!$Z5:$Z1004,$R250,Trips!$D5:$D1004,$A250)+COUNTIFS(Trips!$Z5:$Z1004,$R250,Trips!$E5:$E1004,$A250)=0,"",COUNTIFS(Trips!$Z5:$Z1004,$R250,Trips!$D5:$D1004,$A250)+COUNTIFS(Trips!$Z5:$Z1004,$R250,Trips!$E5:$E1004,$A250)))</f>
        <v/>
      </c>
      <c r="D250" s="106">
        <f>IF($C250="","",SUMIFS(Trips!$K5:$K1004,Trips!$Z5:$Z1004,$R250,Trips!$D5:$D1004,$A250)+SUMIFS(Trips!$K5:$K1004,Trips!$Z5:$Z1004,$R250,Trips!$E5:$E1004,$A250))</f>
        <v/>
      </c>
      <c r="E250" s="107">
        <f>IF($C250="","",SUMIFS(Trips!$N5:$N1004,Trips!$Z5:$Z1004,$R250,Trips!$D5:$D1004,$A250)+SUMIFS(Trips!$O5:$O1004,Trips!$Z5:$Z1004,$R250,Trips!$E5:$E1004,$A250))</f>
        <v/>
      </c>
      <c r="F250" s="108">
        <f>IF($C250="","",SUMIFS(Trips!$P5:$P1004,Trips!$Z5:$Z1004,$R250,Trips!$D5:$D1004,$A250))</f>
        <v/>
      </c>
      <c r="G250" s="108">
        <f>IF($C250="","",SUMIFS(Trips!$Q5:$Q1004,Trips!$Z5:$Z1004,$R250,Trips!$D5:$D1004,$A250))</f>
        <v/>
      </c>
      <c r="H250" s="107">
        <f>IF(AND($C250="",$I250="",$J250=""),"",N($E250)+N($F250)+N($G250))</f>
        <v/>
      </c>
      <c r="I250" s="108">
        <f>IF($A250="","",IFERROR(1/(1/SUMIFS(Expenses!$F5:$F1004,Expenses!$B5:$B1004,"Cash Advance",Expenses!$J5:$J1004,$R250,Expenses!$E5:$E1004,$A250)),""))</f>
        <v/>
      </c>
      <c r="J250" s="108">
        <f>IF($A250="","",IFERROR(1/(1/SUMIFS(Expenses!$F5:$F1004,Expenses!$B5:$B1004,"Payroll Payout",Expenses!$J5:$J1004,$R250,Expenses!$E5:$E1004,$A250)),""))</f>
        <v/>
      </c>
      <c r="K250" s="109">
        <f>IF($H250="","",N($H250)-N($I250)-N($J250))</f>
        <v/>
      </c>
      <c r="L250" s="110">
        <f>IF($K250="","",IF($K250&gt;0.5,"TO PAY",IF($K250&lt;-0.5,"ADVANCE / OWES","SETTLED")))</f>
        <v/>
      </c>
      <c r="R250" s="111" t="n">
        <v>46539</v>
      </c>
    </row>
    <row r="251">
      <c r="A251" s="103">
        <f>IF(Setup!$A83="","",Setup!$A83)</f>
        <v/>
      </c>
      <c r="B251" s="104">
        <f>IF($A251="","",Setup!$B83)</f>
        <v/>
      </c>
      <c r="C251" s="105">
        <f>IF($A251="","",IF(COUNTIFS(Trips!$Z5:$Z1004,$R251,Trips!$D5:$D1004,$A251)+COUNTIFS(Trips!$Z5:$Z1004,$R251,Trips!$E5:$E1004,$A251)=0,"",COUNTIFS(Trips!$Z5:$Z1004,$R251,Trips!$D5:$D1004,$A251)+COUNTIFS(Trips!$Z5:$Z1004,$R251,Trips!$E5:$E1004,$A251)))</f>
        <v/>
      </c>
      <c r="D251" s="106">
        <f>IF($C251="","",SUMIFS(Trips!$K5:$K1004,Trips!$Z5:$Z1004,$R251,Trips!$D5:$D1004,$A251)+SUMIFS(Trips!$K5:$K1004,Trips!$Z5:$Z1004,$R251,Trips!$E5:$E1004,$A251))</f>
        <v/>
      </c>
      <c r="E251" s="107">
        <f>IF($C251="","",SUMIFS(Trips!$N5:$N1004,Trips!$Z5:$Z1004,$R251,Trips!$D5:$D1004,$A251)+SUMIFS(Trips!$O5:$O1004,Trips!$Z5:$Z1004,$R251,Trips!$E5:$E1004,$A251))</f>
        <v/>
      </c>
      <c r="F251" s="108">
        <f>IF($C251="","",SUMIFS(Trips!$P5:$P1004,Trips!$Z5:$Z1004,$R251,Trips!$D5:$D1004,$A251))</f>
        <v/>
      </c>
      <c r="G251" s="108">
        <f>IF($C251="","",SUMIFS(Trips!$Q5:$Q1004,Trips!$Z5:$Z1004,$R251,Trips!$D5:$D1004,$A251))</f>
        <v/>
      </c>
      <c r="H251" s="107">
        <f>IF(AND($C251="",$I251="",$J251=""),"",N($E251)+N($F251)+N($G251))</f>
        <v/>
      </c>
      <c r="I251" s="108">
        <f>IF($A251="","",IFERROR(1/(1/SUMIFS(Expenses!$F5:$F1004,Expenses!$B5:$B1004,"Cash Advance",Expenses!$J5:$J1004,$R251,Expenses!$E5:$E1004,$A251)),""))</f>
        <v/>
      </c>
      <c r="J251" s="108">
        <f>IF($A251="","",IFERROR(1/(1/SUMIFS(Expenses!$F5:$F1004,Expenses!$B5:$B1004,"Payroll Payout",Expenses!$J5:$J1004,$R251,Expenses!$E5:$E1004,$A251)),""))</f>
        <v/>
      </c>
      <c r="K251" s="109">
        <f>IF($H251="","",N($H251)-N($I251)-N($J251))</f>
        <v/>
      </c>
      <c r="L251" s="110">
        <f>IF($K251="","",IF($K251&gt;0.5,"TO PAY",IF($K251&lt;-0.5,"ADVANCE / OWES","SETTLED")))</f>
        <v/>
      </c>
      <c r="R251" s="111" t="n">
        <v>46539</v>
      </c>
    </row>
    <row r="252">
      <c r="A252" s="103">
        <f>IF(Setup!$A84="","",Setup!$A84)</f>
        <v/>
      </c>
      <c r="B252" s="104">
        <f>IF($A252="","",Setup!$B84)</f>
        <v/>
      </c>
      <c r="C252" s="105">
        <f>IF($A252="","",IF(COUNTIFS(Trips!$Z5:$Z1004,$R252,Trips!$D5:$D1004,$A252)+COUNTIFS(Trips!$Z5:$Z1004,$R252,Trips!$E5:$E1004,$A252)=0,"",COUNTIFS(Trips!$Z5:$Z1004,$R252,Trips!$D5:$D1004,$A252)+COUNTIFS(Trips!$Z5:$Z1004,$R252,Trips!$E5:$E1004,$A252)))</f>
        <v/>
      </c>
      <c r="D252" s="106">
        <f>IF($C252="","",SUMIFS(Trips!$K5:$K1004,Trips!$Z5:$Z1004,$R252,Trips!$D5:$D1004,$A252)+SUMIFS(Trips!$K5:$K1004,Trips!$Z5:$Z1004,$R252,Trips!$E5:$E1004,$A252))</f>
        <v/>
      </c>
      <c r="E252" s="107">
        <f>IF($C252="","",SUMIFS(Trips!$N5:$N1004,Trips!$Z5:$Z1004,$R252,Trips!$D5:$D1004,$A252)+SUMIFS(Trips!$O5:$O1004,Trips!$Z5:$Z1004,$R252,Trips!$E5:$E1004,$A252))</f>
        <v/>
      </c>
      <c r="F252" s="108">
        <f>IF($C252="","",SUMIFS(Trips!$P5:$P1004,Trips!$Z5:$Z1004,$R252,Trips!$D5:$D1004,$A252))</f>
        <v/>
      </c>
      <c r="G252" s="108">
        <f>IF($C252="","",SUMIFS(Trips!$Q5:$Q1004,Trips!$Z5:$Z1004,$R252,Trips!$D5:$D1004,$A252))</f>
        <v/>
      </c>
      <c r="H252" s="107">
        <f>IF(AND($C252="",$I252="",$J252=""),"",N($E252)+N($F252)+N($G252))</f>
        <v/>
      </c>
      <c r="I252" s="108">
        <f>IF($A252="","",IFERROR(1/(1/SUMIFS(Expenses!$F5:$F1004,Expenses!$B5:$B1004,"Cash Advance",Expenses!$J5:$J1004,$R252,Expenses!$E5:$E1004,$A252)),""))</f>
        <v/>
      </c>
      <c r="J252" s="108">
        <f>IF($A252="","",IFERROR(1/(1/SUMIFS(Expenses!$F5:$F1004,Expenses!$B5:$B1004,"Payroll Payout",Expenses!$J5:$J1004,$R252,Expenses!$E5:$E1004,$A252)),""))</f>
        <v/>
      </c>
      <c r="K252" s="109">
        <f>IF($H252="","",N($H252)-N($I252)-N($J252))</f>
        <v/>
      </c>
      <c r="L252" s="110">
        <f>IF($K252="","",IF($K252&gt;0.5,"TO PAY",IF($K252&lt;-0.5,"ADVANCE / OWES","SETTLED")))</f>
        <v/>
      </c>
      <c r="R252" s="111" t="n">
        <v>46539</v>
      </c>
    </row>
    <row r="253">
      <c r="A253" s="103">
        <f>IF(Setup!$A85="","",Setup!$A85)</f>
        <v/>
      </c>
      <c r="B253" s="104">
        <f>IF($A253="","",Setup!$B85)</f>
        <v/>
      </c>
      <c r="C253" s="105">
        <f>IF($A253="","",IF(COUNTIFS(Trips!$Z5:$Z1004,$R253,Trips!$D5:$D1004,$A253)+COUNTIFS(Trips!$Z5:$Z1004,$R253,Trips!$E5:$E1004,$A253)=0,"",COUNTIFS(Trips!$Z5:$Z1004,$R253,Trips!$D5:$D1004,$A253)+COUNTIFS(Trips!$Z5:$Z1004,$R253,Trips!$E5:$E1004,$A253)))</f>
        <v/>
      </c>
      <c r="D253" s="106">
        <f>IF($C253="","",SUMIFS(Trips!$K5:$K1004,Trips!$Z5:$Z1004,$R253,Trips!$D5:$D1004,$A253)+SUMIFS(Trips!$K5:$K1004,Trips!$Z5:$Z1004,$R253,Trips!$E5:$E1004,$A253))</f>
        <v/>
      </c>
      <c r="E253" s="107">
        <f>IF($C253="","",SUMIFS(Trips!$N5:$N1004,Trips!$Z5:$Z1004,$R253,Trips!$D5:$D1004,$A253)+SUMIFS(Trips!$O5:$O1004,Trips!$Z5:$Z1004,$R253,Trips!$E5:$E1004,$A253))</f>
        <v/>
      </c>
      <c r="F253" s="108">
        <f>IF($C253="","",SUMIFS(Trips!$P5:$P1004,Trips!$Z5:$Z1004,$R253,Trips!$D5:$D1004,$A253))</f>
        <v/>
      </c>
      <c r="G253" s="108">
        <f>IF($C253="","",SUMIFS(Trips!$Q5:$Q1004,Trips!$Z5:$Z1004,$R253,Trips!$D5:$D1004,$A253))</f>
        <v/>
      </c>
      <c r="H253" s="107">
        <f>IF(AND($C253="",$I253="",$J253=""),"",N($E253)+N($F253)+N($G253))</f>
        <v/>
      </c>
      <c r="I253" s="108">
        <f>IF($A253="","",IFERROR(1/(1/SUMIFS(Expenses!$F5:$F1004,Expenses!$B5:$B1004,"Cash Advance",Expenses!$J5:$J1004,$R253,Expenses!$E5:$E1004,$A253)),""))</f>
        <v/>
      </c>
      <c r="J253" s="108">
        <f>IF($A253="","",IFERROR(1/(1/SUMIFS(Expenses!$F5:$F1004,Expenses!$B5:$B1004,"Payroll Payout",Expenses!$J5:$J1004,$R253,Expenses!$E5:$E1004,$A253)),""))</f>
        <v/>
      </c>
      <c r="K253" s="109">
        <f>IF($H253="","",N($H253)-N($I253)-N($J253))</f>
        <v/>
      </c>
      <c r="L253" s="110">
        <f>IF($K253="","",IF($K253&gt;0.5,"TO PAY",IF($K253&lt;-0.5,"ADVANCE / OWES","SETTLED")))</f>
        <v/>
      </c>
      <c r="R253" s="111" t="n">
        <v>46539</v>
      </c>
    </row>
    <row r="254">
      <c r="A254" s="103">
        <f>IF(Setup!$A86="","",Setup!$A86)</f>
        <v/>
      </c>
      <c r="B254" s="104">
        <f>IF($A254="","",Setup!$B86)</f>
        <v/>
      </c>
      <c r="C254" s="105">
        <f>IF($A254="","",IF(COUNTIFS(Trips!$Z5:$Z1004,$R254,Trips!$D5:$D1004,$A254)+COUNTIFS(Trips!$Z5:$Z1004,$R254,Trips!$E5:$E1004,$A254)=0,"",COUNTIFS(Trips!$Z5:$Z1004,$R254,Trips!$D5:$D1004,$A254)+COUNTIFS(Trips!$Z5:$Z1004,$R254,Trips!$E5:$E1004,$A254)))</f>
        <v/>
      </c>
      <c r="D254" s="106">
        <f>IF($C254="","",SUMIFS(Trips!$K5:$K1004,Trips!$Z5:$Z1004,$R254,Trips!$D5:$D1004,$A254)+SUMIFS(Trips!$K5:$K1004,Trips!$Z5:$Z1004,$R254,Trips!$E5:$E1004,$A254))</f>
        <v/>
      </c>
      <c r="E254" s="107">
        <f>IF($C254="","",SUMIFS(Trips!$N5:$N1004,Trips!$Z5:$Z1004,$R254,Trips!$D5:$D1004,$A254)+SUMIFS(Trips!$O5:$O1004,Trips!$Z5:$Z1004,$R254,Trips!$E5:$E1004,$A254))</f>
        <v/>
      </c>
      <c r="F254" s="108">
        <f>IF($C254="","",SUMIFS(Trips!$P5:$P1004,Trips!$Z5:$Z1004,$R254,Trips!$D5:$D1004,$A254))</f>
        <v/>
      </c>
      <c r="G254" s="108">
        <f>IF($C254="","",SUMIFS(Trips!$Q5:$Q1004,Trips!$Z5:$Z1004,$R254,Trips!$D5:$D1004,$A254))</f>
        <v/>
      </c>
      <c r="H254" s="107">
        <f>IF(AND($C254="",$I254="",$J254=""),"",N($E254)+N($F254)+N($G254))</f>
        <v/>
      </c>
      <c r="I254" s="108">
        <f>IF($A254="","",IFERROR(1/(1/SUMIFS(Expenses!$F5:$F1004,Expenses!$B5:$B1004,"Cash Advance",Expenses!$J5:$J1004,$R254,Expenses!$E5:$E1004,$A254)),""))</f>
        <v/>
      </c>
      <c r="J254" s="108">
        <f>IF($A254="","",IFERROR(1/(1/SUMIFS(Expenses!$F5:$F1004,Expenses!$B5:$B1004,"Payroll Payout",Expenses!$J5:$J1004,$R254,Expenses!$E5:$E1004,$A254)),""))</f>
        <v/>
      </c>
      <c r="K254" s="109">
        <f>IF($H254="","",N($H254)-N($I254)-N($J254))</f>
        <v/>
      </c>
      <c r="L254" s="110">
        <f>IF($K254="","",IF($K254&gt;0.5,"TO PAY",IF($K254&lt;-0.5,"ADVANCE / OWES","SETTLED")))</f>
        <v/>
      </c>
      <c r="R254" s="111" t="n">
        <v>46539</v>
      </c>
    </row>
    <row r="255">
      <c r="A255" s="103">
        <f>IF(Setup!$A87="","",Setup!$A87)</f>
        <v/>
      </c>
      <c r="B255" s="104">
        <f>IF($A255="","",Setup!$B87)</f>
        <v/>
      </c>
      <c r="C255" s="105">
        <f>IF($A255="","",IF(COUNTIFS(Trips!$Z5:$Z1004,$R255,Trips!$D5:$D1004,$A255)+COUNTIFS(Trips!$Z5:$Z1004,$R255,Trips!$E5:$E1004,$A255)=0,"",COUNTIFS(Trips!$Z5:$Z1004,$R255,Trips!$D5:$D1004,$A255)+COUNTIFS(Trips!$Z5:$Z1004,$R255,Trips!$E5:$E1004,$A255)))</f>
        <v/>
      </c>
      <c r="D255" s="106">
        <f>IF($C255="","",SUMIFS(Trips!$K5:$K1004,Trips!$Z5:$Z1004,$R255,Trips!$D5:$D1004,$A255)+SUMIFS(Trips!$K5:$K1004,Trips!$Z5:$Z1004,$R255,Trips!$E5:$E1004,$A255))</f>
        <v/>
      </c>
      <c r="E255" s="107">
        <f>IF($C255="","",SUMIFS(Trips!$N5:$N1004,Trips!$Z5:$Z1004,$R255,Trips!$D5:$D1004,$A255)+SUMIFS(Trips!$O5:$O1004,Trips!$Z5:$Z1004,$R255,Trips!$E5:$E1004,$A255))</f>
        <v/>
      </c>
      <c r="F255" s="108">
        <f>IF($C255="","",SUMIFS(Trips!$P5:$P1004,Trips!$Z5:$Z1004,$R255,Trips!$D5:$D1004,$A255))</f>
        <v/>
      </c>
      <c r="G255" s="108">
        <f>IF($C255="","",SUMIFS(Trips!$Q5:$Q1004,Trips!$Z5:$Z1004,$R255,Trips!$D5:$D1004,$A255))</f>
        <v/>
      </c>
      <c r="H255" s="107">
        <f>IF(AND($C255="",$I255="",$J255=""),"",N($E255)+N($F255)+N($G255))</f>
        <v/>
      </c>
      <c r="I255" s="108">
        <f>IF($A255="","",IFERROR(1/(1/SUMIFS(Expenses!$F5:$F1004,Expenses!$B5:$B1004,"Cash Advance",Expenses!$J5:$J1004,$R255,Expenses!$E5:$E1004,$A255)),""))</f>
        <v/>
      </c>
      <c r="J255" s="108">
        <f>IF($A255="","",IFERROR(1/(1/SUMIFS(Expenses!$F5:$F1004,Expenses!$B5:$B1004,"Payroll Payout",Expenses!$J5:$J1004,$R255,Expenses!$E5:$E1004,$A255)),""))</f>
        <v/>
      </c>
      <c r="K255" s="109">
        <f>IF($H255="","",N($H255)-N($I255)-N($J255))</f>
        <v/>
      </c>
      <c r="L255" s="110">
        <f>IF($K255="","",IF($K255&gt;0.5,"TO PAY",IF($K255&lt;-0.5,"ADVANCE / OWES","SETTLED")))</f>
        <v/>
      </c>
      <c r="R255" s="111" t="n">
        <v>46539</v>
      </c>
    </row>
    <row r="256">
      <c r="A256" s="112" t="inlineStr">
        <is>
          <t>MONTH TOTAL</t>
        </is>
      </c>
      <c r="B256" s="113" t="n"/>
      <c r="C256" s="114">
        <f>IF(COUNT(C244:C255)=0,"",SUM(C244:C255))</f>
        <v/>
      </c>
      <c r="D256" s="115">
        <f>IF(COUNT(D244:D255)=0,"",SUM(D244:D255))</f>
        <v/>
      </c>
      <c r="E256" s="116">
        <f>IF(COUNT(E244:E255)=0,"",SUM(E244:E255))</f>
        <v/>
      </c>
      <c r="F256" s="116">
        <f>IF(COUNT(F244:F255)=0,"",SUM(F244:F255))</f>
        <v/>
      </c>
      <c r="G256" s="116">
        <f>IF(COUNT(G244:G255)=0,"",SUM(G244:G255))</f>
        <v/>
      </c>
      <c r="H256" s="116">
        <f>IF(COUNT(H244:H255)=0,"",SUM(H244:H255))</f>
        <v/>
      </c>
      <c r="I256" s="116">
        <f>IF(COUNT(I244:I255)=0,"",SUM(I244:I255))</f>
        <v/>
      </c>
      <c r="J256" s="116">
        <f>IF(COUNT(J244:J255)=0,"",SUM(J244:J255))</f>
        <v/>
      </c>
      <c r="K256" s="116">
        <f>IF(COUNT(K244:K255)=0,"",SUM(K244:K255))</f>
        <v/>
      </c>
      <c r="L256" s="117" t="n"/>
    </row>
    <row r="257" ht="24" customHeight="1">
      <c r="A257" s="102" t="inlineStr">
        <is>
          <t>JULY 2027   ·   crew earnings &amp; settlement</t>
        </is>
      </c>
    </row>
    <row r="258">
      <c r="A258" s="103">
        <f>IF(Setup!$A76="","",Setup!$A76)</f>
        <v/>
      </c>
      <c r="B258" s="104">
        <f>IF($A258="","",Setup!$B76)</f>
        <v/>
      </c>
      <c r="C258" s="105">
        <f>IF($A258="","",IF(COUNTIFS(Trips!$Z5:$Z1004,$R258,Trips!$D5:$D1004,$A258)+COUNTIFS(Trips!$Z5:$Z1004,$R258,Trips!$E5:$E1004,$A258)=0,"",COUNTIFS(Trips!$Z5:$Z1004,$R258,Trips!$D5:$D1004,$A258)+COUNTIFS(Trips!$Z5:$Z1004,$R258,Trips!$E5:$E1004,$A258)))</f>
        <v/>
      </c>
      <c r="D258" s="106">
        <f>IF($C258="","",SUMIFS(Trips!$K5:$K1004,Trips!$Z5:$Z1004,$R258,Trips!$D5:$D1004,$A258)+SUMIFS(Trips!$K5:$K1004,Trips!$Z5:$Z1004,$R258,Trips!$E5:$E1004,$A258))</f>
        <v/>
      </c>
      <c r="E258" s="107">
        <f>IF($C258="","",SUMIFS(Trips!$N5:$N1004,Trips!$Z5:$Z1004,$R258,Trips!$D5:$D1004,$A258)+SUMIFS(Trips!$O5:$O1004,Trips!$Z5:$Z1004,$R258,Trips!$E5:$E1004,$A258))</f>
        <v/>
      </c>
      <c r="F258" s="108">
        <f>IF($C258="","",SUMIFS(Trips!$P5:$P1004,Trips!$Z5:$Z1004,$R258,Trips!$D5:$D1004,$A258))</f>
        <v/>
      </c>
      <c r="G258" s="108">
        <f>IF($C258="","",SUMIFS(Trips!$Q5:$Q1004,Trips!$Z5:$Z1004,$R258,Trips!$D5:$D1004,$A258))</f>
        <v/>
      </c>
      <c r="H258" s="107">
        <f>IF(AND($C258="",$I258="",$J258=""),"",N($E258)+N($F258)+N($G258))</f>
        <v/>
      </c>
      <c r="I258" s="108">
        <f>IF($A258="","",IFERROR(1/(1/SUMIFS(Expenses!$F5:$F1004,Expenses!$B5:$B1004,"Cash Advance",Expenses!$J5:$J1004,$R258,Expenses!$E5:$E1004,$A258)),""))</f>
        <v/>
      </c>
      <c r="J258" s="108">
        <f>IF($A258="","",IFERROR(1/(1/SUMIFS(Expenses!$F5:$F1004,Expenses!$B5:$B1004,"Payroll Payout",Expenses!$J5:$J1004,$R258,Expenses!$E5:$E1004,$A258)),""))</f>
        <v/>
      </c>
      <c r="K258" s="109">
        <f>IF($H258="","",N($H258)-N($I258)-N($J258))</f>
        <v/>
      </c>
      <c r="L258" s="110">
        <f>IF($K258="","",IF($K258&gt;0.5,"TO PAY",IF($K258&lt;-0.5,"ADVANCE / OWES","SETTLED")))</f>
        <v/>
      </c>
      <c r="R258" s="111" t="n">
        <v>46569</v>
      </c>
    </row>
    <row r="259">
      <c r="A259" s="103">
        <f>IF(Setup!$A77="","",Setup!$A77)</f>
        <v/>
      </c>
      <c r="B259" s="104">
        <f>IF($A259="","",Setup!$B77)</f>
        <v/>
      </c>
      <c r="C259" s="105">
        <f>IF($A259="","",IF(COUNTIFS(Trips!$Z5:$Z1004,$R259,Trips!$D5:$D1004,$A259)+COUNTIFS(Trips!$Z5:$Z1004,$R259,Trips!$E5:$E1004,$A259)=0,"",COUNTIFS(Trips!$Z5:$Z1004,$R259,Trips!$D5:$D1004,$A259)+COUNTIFS(Trips!$Z5:$Z1004,$R259,Trips!$E5:$E1004,$A259)))</f>
        <v/>
      </c>
      <c r="D259" s="106">
        <f>IF($C259="","",SUMIFS(Trips!$K5:$K1004,Trips!$Z5:$Z1004,$R259,Trips!$D5:$D1004,$A259)+SUMIFS(Trips!$K5:$K1004,Trips!$Z5:$Z1004,$R259,Trips!$E5:$E1004,$A259))</f>
        <v/>
      </c>
      <c r="E259" s="107">
        <f>IF($C259="","",SUMIFS(Trips!$N5:$N1004,Trips!$Z5:$Z1004,$R259,Trips!$D5:$D1004,$A259)+SUMIFS(Trips!$O5:$O1004,Trips!$Z5:$Z1004,$R259,Trips!$E5:$E1004,$A259))</f>
        <v/>
      </c>
      <c r="F259" s="108">
        <f>IF($C259="","",SUMIFS(Trips!$P5:$P1004,Trips!$Z5:$Z1004,$R259,Trips!$D5:$D1004,$A259))</f>
        <v/>
      </c>
      <c r="G259" s="108">
        <f>IF($C259="","",SUMIFS(Trips!$Q5:$Q1004,Trips!$Z5:$Z1004,$R259,Trips!$D5:$D1004,$A259))</f>
        <v/>
      </c>
      <c r="H259" s="107">
        <f>IF(AND($C259="",$I259="",$J259=""),"",N($E259)+N($F259)+N($G259))</f>
        <v/>
      </c>
      <c r="I259" s="108">
        <f>IF($A259="","",IFERROR(1/(1/SUMIFS(Expenses!$F5:$F1004,Expenses!$B5:$B1004,"Cash Advance",Expenses!$J5:$J1004,$R259,Expenses!$E5:$E1004,$A259)),""))</f>
        <v/>
      </c>
      <c r="J259" s="108">
        <f>IF($A259="","",IFERROR(1/(1/SUMIFS(Expenses!$F5:$F1004,Expenses!$B5:$B1004,"Payroll Payout",Expenses!$J5:$J1004,$R259,Expenses!$E5:$E1004,$A259)),""))</f>
        <v/>
      </c>
      <c r="K259" s="109">
        <f>IF($H259="","",N($H259)-N($I259)-N($J259))</f>
        <v/>
      </c>
      <c r="L259" s="110">
        <f>IF($K259="","",IF($K259&gt;0.5,"TO PAY",IF($K259&lt;-0.5,"ADVANCE / OWES","SETTLED")))</f>
        <v/>
      </c>
      <c r="R259" s="111" t="n">
        <v>46569</v>
      </c>
    </row>
    <row r="260">
      <c r="A260" s="103">
        <f>IF(Setup!$A78="","",Setup!$A78)</f>
        <v/>
      </c>
      <c r="B260" s="104">
        <f>IF($A260="","",Setup!$B78)</f>
        <v/>
      </c>
      <c r="C260" s="105">
        <f>IF($A260="","",IF(COUNTIFS(Trips!$Z5:$Z1004,$R260,Trips!$D5:$D1004,$A260)+COUNTIFS(Trips!$Z5:$Z1004,$R260,Trips!$E5:$E1004,$A260)=0,"",COUNTIFS(Trips!$Z5:$Z1004,$R260,Trips!$D5:$D1004,$A260)+COUNTIFS(Trips!$Z5:$Z1004,$R260,Trips!$E5:$E1004,$A260)))</f>
        <v/>
      </c>
      <c r="D260" s="106">
        <f>IF($C260="","",SUMIFS(Trips!$K5:$K1004,Trips!$Z5:$Z1004,$R260,Trips!$D5:$D1004,$A260)+SUMIFS(Trips!$K5:$K1004,Trips!$Z5:$Z1004,$R260,Trips!$E5:$E1004,$A260))</f>
        <v/>
      </c>
      <c r="E260" s="107">
        <f>IF($C260="","",SUMIFS(Trips!$N5:$N1004,Trips!$Z5:$Z1004,$R260,Trips!$D5:$D1004,$A260)+SUMIFS(Trips!$O5:$O1004,Trips!$Z5:$Z1004,$R260,Trips!$E5:$E1004,$A260))</f>
        <v/>
      </c>
      <c r="F260" s="108">
        <f>IF($C260="","",SUMIFS(Trips!$P5:$P1004,Trips!$Z5:$Z1004,$R260,Trips!$D5:$D1004,$A260))</f>
        <v/>
      </c>
      <c r="G260" s="108">
        <f>IF($C260="","",SUMIFS(Trips!$Q5:$Q1004,Trips!$Z5:$Z1004,$R260,Trips!$D5:$D1004,$A260))</f>
        <v/>
      </c>
      <c r="H260" s="107">
        <f>IF(AND($C260="",$I260="",$J260=""),"",N($E260)+N($F260)+N($G260))</f>
        <v/>
      </c>
      <c r="I260" s="108">
        <f>IF($A260="","",IFERROR(1/(1/SUMIFS(Expenses!$F5:$F1004,Expenses!$B5:$B1004,"Cash Advance",Expenses!$J5:$J1004,$R260,Expenses!$E5:$E1004,$A260)),""))</f>
        <v/>
      </c>
      <c r="J260" s="108">
        <f>IF($A260="","",IFERROR(1/(1/SUMIFS(Expenses!$F5:$F1004,Expenses!$B5:$B1004,"Payroll Payout",Expenses!$J5:$J1004,$R260,Expenses!$E5:$E1004,$A260)),""))</f>
        <v/>
      </c>
      <c r="K260" s="109">
        <f>IF($H260="","",N($H260)-N($I260)-N($J260))</f>
        <v/>
      </c>
      <c r="L260" s="110">
        <f>IF($K260="","",IF($K260&gt;0.5,"TO PAY",IF($K260&lt;-0.5,"ADVANCE / OWES","SETTLED")))</f>
        <v/>
      </c>
      <c r="R260" s="111" t="n">
        <v>46569</v>
      </c>
    </row>
    <row r="261">
      <c r="A261" s="103">
        <f>IF(Setup!$A79="","",Setup!$A79)</f>
        <v/>
      </c>
      <c r="B261" s="104">
        <f>IF($A261="","",Setup!$B79)</f>
        <v/>
      </c>
      <c r="C261" s="105">
        <f>IF($A261="","",IF(COUNTIFS(Trips!$Z5:$Z1004,$R261,Trips!$D5:$D1004,$A261)+COUNTIFS(Trips!$Z5:$Z1004,$R261,Trips!$E5:$E1004,$A261)=0,"",COUNTIFS(Trips!$Z5:$Z1004,$R261,Trips!$D5:$D1004,$A261)+COUNTIFS(Trips!$Z5:$Z1004,$R261,Trips!$E5:$E1004,$A261)))</f>
        <v/>
      </c>
      <c r="D261" s="106">
        <f>IF($C261="","",SUMIFS(Trips!$K5:$K1004,Trips!$Z5:$Z1004,$R261,Trips!$D5:$D1004,$A261)+SUMIFS(Trips!$K5:$K1004,Trips!$Z5:$Z1004,$R261,Trips!$E5:$E1004,$A261))</f>
        <v/>
      </c>
      <c r="E261" s="107">
        <f>IF($C261="","",SUMIFS(Trips!$N5:$N1004,Trips!$Z5:$Z1004,$R261,Trips!$D5:$D1004,$A261)+SUMIFS(Trips!$O5:$O1004,Trips!$Z5:$Z1004,$R261,Trips!$E5:$E1004,$A261))</f>
        <v/>
      </c>
      <c r="F261" s="108">
        <f>IF($C261="","",SUMIFS(Trips!$P5:$P1004,Trips!$Z5:$Z1004,$R261,Trips!$D5:$D1004,$A261))</f>
        <v/>
      </c>
      <c r="G261" s="108">
        <f>IF($C261="","",SUMIFS(Trips!$Q5:$Q1004,Trips!$Z5:$Z1004,$R261,Trips!$D5:$D1004,$A261))</f>
        <v/>
      </c>
      <c r="H261" s="107">
        <f>IF(AND($C261="",$I261="",$J261=""),"",N($E261)+N($F261)+N($G261))</f>
        <v/>
      </c>
      <c r="I261" s="108">
        <f>IF($A261="","",IFERROR(1/(1/SUMIFS(Expenses!$F5:$F1004,Expenses!$B5:$B1004,"Cash Advance",Expenses!$J5:$J1004,$R261,Expenses!$E5:$E1004,$A261)),""))</f>
        <v/>
      </c>
      <c r="J261" s="108">
        <f>IF($A261="","",IFERROR(1/(1/SUMIFS(Expenses!$F5:$F1004,Expenses!$B5:$B1004,"Payroll Payout",Expenses!$J5:$J1004,$R261,Expenses!$E5:$E1004,$A261)),""))</f>
        <v/>
      </c>
      <c r="K261" s="109">
        <f>IF($H261="","",N($H261)-N($I261)-N($J261))</f>
        <v/>
      </c>
      <c r="L261" s="110">
        <f>IF($K261="","",IF($K261&gt;0.5,"TO PAY",IF($K261&lt;-0.5,"ADVANCE / OWES","SETTLED")))</f>
        <v/>
      </c>
      <c r="R261" s="111" t="n">
        <v>46569</v>
      </c>
    </row>
    <row r="262">
      <c r="A262" s="103">
        <f>IF(Setup!$A80="","",Setup!$A80)</f>
        <v/>
      </c>
      <c r="B262" s="104">
        <f>IF($A262="","",Setup!$B80)</f>
        <v/>
      </c>
      <c r="C262" s="105">
        <f>IF($A262="","",IF(COUNTIFS(Trips!$Z5:$Z1004,$R262,Trips!$D5:$D1004,$A262)+COUNTIFS(Trips!$Z5:$Z1004,$R262,Trips!$E5:$E1004,$A262)=0,"",COUNTIFS(Trips!$Z5:$Z1004,$R262,Trips!$D5:$D1004,$A262)+COUNTIFS(Trips!$Z5:$Z1004,$R262,Trips!$E5:$E1004,$A262)))</f>
        <v/>
      </c>
      <c r="D262" s="106">
        <f>IF($C262="","",SUMIFS(Trips!$K5:$K1004,Trips!$Z5:$Z1004,$R262,Trips!$D5:$D1004,$A262)+SUMIFS(Trips!$K5:$K1004,Trips!$Z5:$Z1004,$R262,Trips!$E5:$E1004,$A262))</f>
        <v/>
      </c>
      <c r="E262" s="107">
        <f>IF($C262="","",SUMIFS(Trips!$N5:$N1004,Trips!$Z5:$Z1004,$R262,Trips!$D5:$D1004,$A262)+SUMIFS(Trips!$O5:$O1004,Trips!$Z5:$Z1004,$R262,Trips!$E5:$E1004,$A262))</f>
        <v/>
      </c>
      <c r="F262" s="108">
        <f>IF($C262="","",SUMIFS(Trips!$P5:$P1004,Trips!$Z5:$Z1004,$R262,Trips!$D5:$D1004,$A262))</f>
        <v/>
      </c>
      <c r="G262" s="108">
        <f>IF($C262="","",SUMIFS(Trips!$Q5:$Q1004,Trips!$Z5:$Z1004,$R262,Trips!$D5:$D1004,$A262))</f>
        <v/>
      </c>
      <c r="H262" s="107">
        <f>IF(AND($C262="",$I262="",$J262=""),"",N($E262)+N($F262)+N($G262))</f>
        <v/>
      </c>
      <c r="I262" s="108">
        <f>IF($A262="","",IFERROR(1/(1/SUMIFS(Expenses!$F5:$F1004,Expenses!$B5:$B1004,"Cash Advance",Expenses!$J5:$J1004,$R262,Expenses!$E5:$E1004,$A262)),""))</f>
        <v/>
      </c>
      <c r="J262" s="108">
        <f>IF($A262="","",IFERROR(1/(1/SUMIFS(Expenses!$F5:$F1004,Expenses!$B5:$B1004,"Payroll Payout",Expenses!$J5:$J1004,$R262,Expenses!$E5:$E1004,$A262)),""))</f>
        <v/>
      </c>
      <c r="K262" s="109">
        <f>IF($H262="","",N($H262)-N($I262)-N($J262))</f>
        <v/>
      </c>
      <c r="L262" s="110">
        <f>IF($K262="","",IF($K262&gt;0.5,"TO PAY",IF($K262&lt;-0.5,"ADVANCE / OWES","SETTLED")))</f>
        <v/>
      </c>
      <c r="R262" s="111" t="n">
        <v>46569</v>
      </c>
    </row>
    <row r="263">
      <c r="A263" s="103">
        <f>IF(Setup!$A81="","",Setup!$A81)</f>
        <v/>
      </c>
      <c r="B263" s="104">
        <f>IF($A263="","",Setup!$B81)</f>
        <v/>
      </c>
      <c r="C263" s="105">
        <f>IF($A263="","",IF(COUNTIFS(Trips!$Z5:$Z1004,$R263,Trips!$D5:$D1004,$A263)+COUNTIFS(Trips!$Z5:$Z1004,$R263,Trips!$E5:$E1004,$A263)=0,"",COUNTIFS(Trips!$Z5:$Z1004,$R263,Trips!$D5:$D1004,$A263)+COUNTIFS(Trips!$Z5:$Z1004,$R263,Trips!$E5:$E1004,$A263)))</f>
        <v/>
      </c>
      <c r="D263" s="106">
        <f>IF($C263="","",SUMIFS(Trips!$K5:$K1004,Trips!$Z5:$Z1004,$R263,Trips!$D5:$D1004,$A263)+SUMIFS(Trips!$K5:$K1004,Trips!$Z5:$Z1004,$R263,Trips!$E5:$E1004,$A263))</f>
        <v/>
      </c>
      <c r="E263" s="107">
        <f>IF($C263="","",SUMIFS(Trips!$N5:$N1004,Trips!$Z5:$Z1004,$R263,Trips!$D5:$D1004,$A263)+SUMIFS(Trips!$O5:$O1004,Trips!$Z5:$Z1004,$R263,Trips!$E5:$E1004,$A263))</f>
        <v/>
      </c>
      <c r="F263" s="108">
        <f>IF($C263="","",SUMIFS(Trips!$P5:$P1004,Trips!$Z5:$Z1004,$R263,Trips!$D5:$D1004,$A263))</f>
        <v/>
      </c>
      <c r="G263" s="108">
        <f>IF($C263="","",SUMIFS(Trips!$Q5:$Q1004,Trips!$Z5:$Z1004,$R263,Trips!$D5:$D1004,$A263))</f>
        <v/>
      </c>
      <c r="H263" s="107">
        <f>IF(AND($C263="",$I263="",$J263=""),"",N($E263)+N($F263)+N($G263))</f>
        <v/>
      </c>
      <c r="I263" s="108">
        <f>IF($A263="","",IFERROR(1/(1/SUMIFS(Expenses!$F5:$F1004,Expenses!$B5:$B1004,"Cash Advance",Expenses!$J5:$J1004,$R263,Expenses!$E5:$E1004,$A263)),""))</f>
        <v/>
      </c>
      <c r="J263" s="108">
        <f>IF($A263="","",IFERROR(1/(1/SUMIFS(Expenses!$F5:$F1004,Expenses!$B5:$B1004,"Payroll Payout",Expenses!$J5:$J1004,$R263,Expenses!$E5:$E1004,$A263)),""))</f>
        <v/>
      </c>
      <c r="K263" s="109">
        <f>IF($H263="","",N($H263)-N($I263)-N($J263))</f>
        <v/>
      </c>
      <c r="L263" s="110">
        <f>IF($K263="","",IF($K263&gt;0.5,"TO PAY",IF($K263&lt;-0.5,"ADVANCE / OWES","SETTLED")))</f>
        <v/>
      </c>
      <c r="R263" s="111" t="n">
        <v>46569</v>
      </c>
    </row>
    <row r="264">
      <c r="A264" s="103">
        <f>IF(Setup!$A82="","",Setup!$A82)</f>
        <v/>
      </c>
      <c r="B264" s="104">
        <f>IF($A264="","",Setup!$B82)</f>
        <v/>
      </c>
      <c r="C264" s="105">
        <f>IF($A264="","",IF(COUNTIFS(Trips!$Z5:$Z1004,$R264,Trips!$D5:$D1004,$A264)+COUNTIFS(Trips!$Z5:$Z1004,$R264,Trips!$E5:$E1004,$A264)=0,"",COUNTIFS(Trips!$Z5:$Z1004,$R264,Trips!$D5:$D1004,$A264)+COUNTIFS(Trips!$Z5:$Z1004,$R264,Trips!$E5:$E1004,$A264)))</f>
        <v/>
      </c>
      <c r="D264" s="106">
        <f>IF($C264="","",SUMIFS(Trips!$K5:$K1004,Trips!$Z5:$Z1004,$R264,Trips!$D5:$D1004,$A264)+SUMIFS(Trips!$K5:$K1004,Trips!$Z5:$Z1004,$R264,Trips!$E5:$E1004,$A264))</f>
        <v/>
      </c>
      <c r="E264" s="107">
        <f>IF($C264="","",SUMIFS(Trips!$N5:$N1004,Trips!$Z5:$Z1004,$R264,Trips!$D5:$D1004,$A264)+SUMIFS(Trips!$O5:$O1004,Trips!$Z5:$Z1004,$R264,Trips!$E5:$E1004,$A264))</f>
        <v/>
      </c>
      <c r="F264" s="108">
        <f>IF($C264="","",SUMIFS(Trips!$P5:$P1004,Trips!$Z5:$Z1004,$R264,Trips!$D5:$D1004,$A264))</f>
        <v/>
      </c>
      <c r="G264" s="108">
        <f>IF($C264="","",SUMIFS(Trips!$Q5:$Q1004,Trips!$Z5:$Z1004,$R264,Trips!$D5:$D1004,$A264))</f>
        <v/>
      </c>
      <c r="H264" s="107">
        <f>IF(AND($C264="",$I264="",$J264=""),"",N($E264)+N($F264)+N($G264))</f>
        <v/>
      </c>
      <c r="I264" s="108">
        <f>IF($A264="","",IFERROR(1/(1/SUMIFS(Expenses!$F5:$F1004,Expenses!$B5:$B1004,"Cash Advance",Expenses!$J5:$J1004,$R264,Expenses!$E5:$E1004,$A264)),""))</f>
        <v/>
      </c>
      <c r="J264" s="108">
        <f>IF($A264="","",IFERROR(1/(1/SUMIFS(Expenses!$F5:$F1004,Expenses!$B5:$B1004,"Payroll Payout",Expenses!$J5:$J1004,$R264,Expenses!$E5:$E1004,$A264)),""))</f>
        <v/>
      </c>
      <c r="K264" s="109">
        <f>IF($H264="","",N($H264)-N($I264)-N($J264))</f>
        <v/>
      </c>
      <c r="L264" s="110">
        <f>IF($K264="","",IF($K264&gt;0.5,"TO PAY",IF($K264&lt;-0.5,"ADVANCE / OWES","SETTLED")))</f>
        <v/>
      </c>
      <c r="R264" s="111" t="n">
        <v>46569</v>
      </c>
    </row>
    <row r="265">
      <c r="A265" s="103">
        <f>IF(Setup!$A83="","",Setup!$A83)</f>
        <v/>
      </c>
      <c r="B265" s="104">
        <f>IF($A265="","",Setup!$B83)</f>
        <v/>
      </c>
      <c r="C265" s="105">
        <f>IF($A265="","",IF(COUNTIFS(Trips!$Z5:$Z1004,$R265,Trips!$D5:$D1004,$A265)+COUNTIFS(Trips!$Z5:$Z1004,$R265,Trips!$E5:$E1004,$A265)=0,"",COUNTIFS(Trips!$Z5:$Z1004,$R265,Trips!$D5:$D1004,$A265)+COUNTIFS(Trips!$Z5:$Z1004,$R265,Trips!$E5:$E1004,$A265)))</f>
        <v/>
      </c>
      <c r="D265" s="106">
        <f>IF($C265="","",SUMIFS(Trips!$K5:$K1004,Trips!$Z5:$Z1004,$R265,Trips!$D5:$D1004,$A265)+SUMIFS(Trips!$K5:$K1004,Trips!$Z5:$Z1004,$R265,Trips!$E5:$E1004,$A265))</f>
        <v/>
      </c>
      <c r="E265" s="107">
        <f>IF($C265="","",SUMIFS(Trips!$N5:$N1004,Trips!$Z5:$Z1004,$R265,Trips!$D5:$D1004,$A265)+SUMIFS(Trips!$O5:$O1004,Trips!$Z5:$Z1004,$R265,Trips!$E5:$E1004,$A265))</f>
        <v/>
      </c>
      <c r="F265" s="108">
        <f>IF($C265="","",SUMIFS(Trips!$P5:$P1004,Trips!$Z5:$Z1004,$R265,Trips!$D5:$D1004,$A265))</f>
        <v/>
      </c>
      <c r="G265" s="108">
        <f>IF($C265="","",SUMIFS(Trips!$Q5:$Q1004,Trips!$Z5:$Z1004,$R265,Trips!$D5:$D1004,$A265))</f>
        <v/>
      </c>
      <c r="H265" s="107">
        <f>IF(AND($C265="",$I265="",$J265=""),"",N($E265)+N($F265)+N($G265))</f>
        <v/>
      </c>
      <c r="I265" s="108">
        <f>IF($A265="","",IFERROR(1/(1/SUMIFS(Expenses!$F5:$F1004,Expenses!$B5:$B1004,"Cash Advance",Expenses!$J5:$J1004,$R265,Expenses!$E5:$E1004,$A265)),""))</f>
        <v/>
      </c>
      <c r="J265" s="108">
        <f>IF($A265="","",IFERROR(1/(1/SUMIFS(Expenses!$F5:$F1004,Expenses!$B5:$B1004,"Payroll Payout",Expenses!$J5:$J1004,$R265,Expenses!$E5:$E1004,$A265)),""))</f>
        <v/>
      </c>
      <c r="K265" s="109">
        <f>IF($H265="","",N($H265)-N($I265)-N($J265))</f>
        <v/>
      </c>
      <c r="L265" s="110">
        <f>IF($K265="","",IF($K265&gt;0.5,"TO PAY",IF($K265&lt;-0.5,"ADVANCE / OWES","SETTLED")))</f>
        <v/>
      </c>
      <c r="R265" s="111" t="n">
        <v>46569</v>
      </c>
    </row>
    <row r="266">
      <c r="A266" s="103">
        <f>IF(Setup!$A84="","",Setup!$A84)</f>
        <v/>
      </c>
      <c r="B266" s="104">
        <f>IF($A266="","",Setup!$B84)</f>
        <v/>
      </c>
      <c r="C266" s="105">
        <f>IF($A266="","",IF(COUNTIFS(Trips!$Z5:$Z1004,$R266,Trips!$D5:$D1004,$A266)+COUNTIFS(Trips!$Z5:$Z1004,$R266,Trips!$E5:$E1004,$A266)=0,"",COUNTIFS(Trips!$Z5:$Z1004,$R266,Trips!$D5:$D1004,$A266)+COUNTIFS(Trips!$Z5:$Z1004,$R266,Trips!$E5:$E1004,$A266)))</f>
        <v/>
      </c>
      <c r="D266" s="106">
        <f>IF($C266="","",SUMIFS(Trips!$K5:$K1004,Trips!$Z5:$Z1004,$R266,Trips!$D5:$D1004,$A266)+SUMIFS(Trips!$K5:$K1004,Trips!$Z5:$Z1004,$R266,Trips!$E5:$E1004,$A266))</f>
        <v/>
      </c>
      <c r="E266" s="107">
        <f>IF($C266="","",SUMIFS(Trips!$N5:$N1004,Trips!$Z5:$Z1004,$R266,Trips!$D5:$D1004,$A266)+SUMIFS(Trips!$O5:$O1004,Trips!$Z5:$Z1004,$R266,Trips!$E5:$E1004,$A266))</f>
        <v/>
      </c>
      <c r="F266" s="108">
        <f>IF($C266="","",SUMIFS(Trips!$P5:$P1004,Trips!$Z5:$Z1004,$R266,Trips!$D5:$D1004,$A266))</f>
        <v/>
      </c>
      <c r="G266" s="108">
        <f>IF($C266="","",SUMIFS(Trips!$Q5:$Q1004,Trips!$Z5:$Z1004,$R266,Trips!$D5:$D1004,$A266))</f>
        <v/>
      </c>
      <c r="H266" s="107">
        <f>IF(AND($C266="",$I266="",$J266=""),"",N($E266)+N($F266)+N($G266))</f>
        <v/>
      </c>
      <c r="I266" s="108">
        <f>IF($A266="","",IFERROR(1/(1/SUMIFS(Expenses!$F5:$F1004,Expenses!$B5:$B1004,"Cash Advance",Expenses!$J5:$J1004,$R266,Expenses!$E5:$E1004,$A266)),""))</f>
        <v/>
      </c>
      <c r="J266" s="108">
        <f>IF($A266="","",IFERROR(1/(1/SUMIFS(Expenses!$F5:$F1004,Expenses!$B5:$B1004,"Payroll Payout",Expenses!$J5:$J1004,$R266,Expenses!$E5:$E1004,$A266)),""))</f>
        <v/>
      </c>
      <c r="K266" s="109">
        <f>IF($H266="","",N($H266)-N($I266)-N($J266))</f>
        <v/>
      </c>
      <c r="L266" s="110">
        <f>IF($K266="","",IF($K266&gt;0.5,"TO PAY",IF($K266&lt;-0.5,"ADVANCE / OWES","SETTLED")))</f>
        <v/>
      </c>
      <c r="R266" s="111" t="n">
        <v>46569</v>
      </c>
    </row>
    <row r="267">
      <c r="A267" s="103">
        <f>IF(Setup!$A85="","",Setup!$A85)</f>
        <v/>
      </c>
      <c r="B267" s="104">
        <f>IF($A267="","",Setup!$B85)</f>
        <v/>
      </c>
      <c r="C267" s="105">
        <f>IF($A267="","",IF(COUNTIFS(Trips!$Z5:$Z1004,$R267,Trips!$D5:$D1004,$A267)+COUNTIFS(Trips!$Z5:$Z1004,$R267,Trips!$E5:$E1004,$A267)=0,"",COUNTIFS(Trips!$Z5:$Z1004,$R267,Trips!$D5:$D1004,$A267)+COUNTIFS(Trips!$Z5:$Z1004,$R267,Trips!$E5:$E1004,$A267)))</f>
        <v/>
      </c>
      <c r="D267" s="106">
        <f>IF($C267="","",SUMIFS(Trips!$K5:$K1004,Trips!$Z5:$Z1004,$R267,Trips!$D5:$D1004,$A267)+SUMIFS(Trips!$K5:$K1004,Trips!$Z5:$Z1004,$R267,Trips!$E5:$E1004,$A267))</f>
        <v/>
      </c>
      <c r="E267" s="107">
        <f>IF($C267="","",SUMIFS(Trips!$N5:$N1004,Trips!$Z5:$Z1004,$R267,Trips!$D5:$D1004,$A267)+SUMIFS(Trips!$O5:$O1004,Trips!$Z5:$Z1004,$R267,Trips!$E5:$E1004,$A267))</f>
        <v/>
      </c>
      <c r="F267" s="108">
        <f>IF($C267="","",SUMIFS(Trips!$P5:$P1004,Trips!$Z5:$Z1004,$R267,Trips!$D5:$D1004,$A267))</f>
        <v/>
      </c>
      <c r="G267" s="108">
        <f>IF($C267="","",SUMIFS(Trips!$Q5:$Q1004,Trips!$Z5:$Z1004,$R267,Trips!$D5:$D1004,$A267))</f>
        <v/>
      </c>
      <c r="H267" s="107">
        <f>IF(AND($C267="",$I267="",$J267=""),"",N($E267)+N($F267)+N($G267))</f>
        <v/>
      </c>
      <c r="I267" s="108">
        <f>IF($A267="","",IFERROR(1/(1/SUMIFS(Expenses!$F5:$F1004,Expenses!$B5:$B1004,"Cash Advance",Expenses!$J5:$J1004,$R267,Expenses!$E5:$E1004,$A267)),""))</f>
        <v/>
      </c>
      <c r="J267" s="108">
        <f>IF($A267="","",IFERROR(1/(1/SUMIFS(Expenses!$F5:$F1004,Expenses!$B5:$B1004,"Payroll Payout",Expenses!$J5:$J1004,$R267,Expenses!$E5:$E1004,$A267)),""))</f>
        <v/>
      </c>
      <c r="K267" s="109">
        <f>IF($H267="","",N($H267)-N($I267)-N($J267))</f>
        <v/>
      </c>
      <c r="L267" s="110">
        <f>IF($K267="","",IF($K267&gt;0.5,"TO PAY",IF($K267&lt;-0.5,"ADVANCE / OWES","SETTLED")))</f>
        <v/>
      </c>
      <c r="R267" s="111" t="n">
        <v>46569</v>
      </c>
    </row>
    <row r="268">
      <c r="A268" s="103">
        <f>IF(Setup!$A86="","",Setup!$A86)</f>
        <v/>
      </c>
      <c r="B268" s="104">
        <f>IF($A268="","",Setup!$B86)</f>
        <v/>
      </c>
      <c r="C268" s="105">
        <f>IF($A268="","",IF(COUNTIFS(Trips!$Z5:$Z1004,$R268,Trips!$D5:$D1004,$A268)+COUNTIFS(Trips!$Z5:$Z1004,$R268,Trips!$E5:$E1004,$A268)=0,"",COUNTIFS(Trips!$Z5:$Z1004,$R268,Trips!$D5:$D1004,$A268)+COUNTIFS(Trips!$Z5:$Z1004,$R268,Trips!$E5:$E1004,$A268)))</f>
        <v/>
      </c>
      <c r="D268" s="106">
        <f>IF($C268="","",SUMIFS(Trips!$K5:$K1004,Trips!$Z5:$Z1004,$R268,Trips!$D5:$D1004,$A268)+SUMIFS(Trips!$K5:$K1004,Trips!$Z5:$Z1004,$R268,Trips!$E5:$E1004,$A268))</f>
        <v/>
      </c>
      <c r="E268" s="107">
        <f>IF($C268="","",SUMIFS(Trips!$N5:$N1004,Trips!$Z5:$Z1004,$R268,Trips!$D5:$D1004,$A268)+SUMIFS(Trips!$O5:$O1004,Trips!$Z5:$Z1004,$R268,Trips!$E5:$E1004,$A268))</f>
        <v/>
      </c>
      <c r="F268" s="108">
        <f>IF($C268="","",SUMIFS(Trips!$P5:$P1004,Trips!$Z5:$Z1004,$R268,Trips!$D5:$D1004,$A268))</f>
        <v/>
      </c>
      <c r="G268" s="108">
        <f>IF($C268="","",SUMIFS(Trips!$Q5:$Q1004,Trips!$Z5:$Z1004,$R268,Trips!$D5:$D1004,$A268))</f>
        <v/>
      </c>
      <c r="H268" s="107">
        <f>IF(AND($C268="",$I268="",$J268=""),"",N($E268)+N($F268)+N($G268))</f>
        <v/>
      </c>
      <c r="I268" s="108">
        <f>IF($A268="","",IFERROR(1/(1/SUMIFS(Expenses!$F5:$F1004,Expenses!$B5:$B1004,"Cash Advance",Expenses!$J5:$J1004,$R268,Expenses!$E5:$E1004,$A268)),""))</f>
        <v/>
      </c>
      <c r="J268" s="108">
        <f>IF($A268="","",IFERROR(1/(1/SUMIFS(Expenses!$F5:$F1004,Expenses!$B5:$B1004,"Payroll Payout",Expenses!$J5:$J1004,$R268,Expenses!$E5:$E1004,$A268)),""))</f>
        <v/>
      </c>
      <c r="K268" s="109">
        <f>IF($H268="","",N($H268)-N($I268)-N($J268))</f>
        <v/>
      </c>
      <c r="L268" s="110">
        <f>IF($K268="","",IF($K268&gt;0.5,"TO PAY",IF($K268&lt;-0.5,"ADVANCE / OWES","SETTLED")))</f>
        <v/>
      </c>
      <c r="R268" s="111" t="n">
        <v>46569</v>
      </c>
    </row>
    <row r="269">
      <c r="A269" s="103">
        <f>IF(Setup!$A87="","",Setup!$A87)</f>
        <v/>
      </c>
      <c r="B269" s="104">
        <f>IF($A269="","",Setup!$B87)</f>
        <v/>
      </c>
      <c r="C269" s="105">
        <f>IF($A269="","",IF(COUNTIFS(Trips!$Z5:$Z1004,$R269,Trips!$D5:$D1004,$A269)+COUNTIFS(Trips!$Z5:$Z1004,$R269,Trips!$E5:$E1004,$A269)=0,"",COUNTIFS(Trips!$Z5:$Z1004,$R269,Trips!$D5:$D1004,$A269)+COUNTIFS(Trips!$Z5:$Z1004,$R269,Trips!$E5:$E1004,$A269)))</f>
        <v/>
      </c>
      <c r="D269" s="106">
        <f>IF($C269="","",SUMIFS(Trips!$K5:$K1004,Trips!$Z5:$Z1004,$R269,Trips!$D5:$D1004,$A269)+SUMIFS(Trips!$K5:$K1004,Trips!$Z5:$Z1004,$R269,Trips!$E5:$E1004,$A269))</f>
        <v/>
      </c>
      <c r="E269" s="107">
        <f>IF($C269="","",SUMIFS(Trips!$N5:$N1004,Trips!$Z5:$Z1004,$R269,Trips!$D5:$D1004,$A269)+SUMIFS(Trips!$O5:$O1004,Trips!$Z5:$Z1004,$R269,Trips!$E5:$E1004,$A269))</f>
        <v/>
      </c>
      <c r="F269" s="108">
        <f>IF($C269="","",SUMIFS(Trips!$P5:$P1004,Trips!$Z5:$Z1004,$R269,Trips!$D5:$D1004,$A269))</f>
        <v/>
      </c>
      <c r="G269" s="108">
        <f>IF($C269="","",SUMIFS(Trips!$Q5:$Q1004,Trips!$Z5:$Z1004,$R269,Trips!$D5:$D1004,$A269))</f>
        <v/>
      </c>
      <c r="H269" s="107">
        <f>IF(AND($C269="",$I269="",$J269=""),"",N($E269)+N($F269)+N($G269))</f>
        <v/>
      </c>
      <c r="I269" s="108">
        <f>IF($A269="","",IFERROR(1/(1/SUMIFS(Expenses!$F5:$F1004,Expenses!$B5:$B1004,"Cash Advance",Expenses!$J5:$J1004,$R269,Expenses!$E5:$E1004,$A269)),""))</f>
        <v/>
      </c>
      <c r="J269" s="108">
        <f>IF($A269="","",IFERROR(1/(1/SUMIFS(Expenses!$F5:$F1004,Expenses!$B5:$B1004,"Payroll Payout",Expenses!$J5:$J1004,$R269,Expenses!$E5:$E1004,$A269)),""))</f>
        <v/>
      </c>
      <c r="K269" s="109">
        <f>IF($H269="","",N($H269)-N($I269)-N($J269))</f>
        <v/>
      </c>
      <c r="L269" s="110">
        <f>IF($K269="","",IF($K269&gt;0.5,"TO PAY",IF($K269&lt;-0.5,"ADVANCE / OWES","SETTLED")))</f>
        <v/>
      </c>
      <c r="R269" s="111" t="n">
        <v>46569</v>
      </c>
    </row>
    <row r="270">
      <c r="A270" s="112" t="inlineStr">
        <is>
          <t>MONTH TOTAL</t>
        </is>
      </c>
      <c r="B270" s="113" t="n"/>
      <c r="C270" s="114">
        <f>IF(COUNT(C258:C269)=0,"",SUM(C258:C269))</f>
        <v/>
      </c>
      <c r="D270" s="115">
        <f>IF(COUNT(D258:D269)=0,"",SUM(D258:D269))</f>
        <v/>
      </c>
      <c r="E270" s="116">
        <f>IF(COUNT(E258:E269)=0,"",SUM(E258:E269))</f>
        <v/>
      </c>
      <c r="F270" s="116">
        <f>IF(COUNT(F258:F269)=0,"",SUM(F258:F269))</f>
        <v/>
      </c>
      <c r="G270" s="116">
        <f>IF(COUNT(G258:G269)=0,"",SUM(G258:G269))</f>
        <v/>
      </c>
      <c r="H270" s="116">
        <f>IF(COUNT(H258:H269)=0,"",SUM(H258:H269))</f>
        <v/>
      </c>
      <c r="I270" s="116">
        <f>IF(COUNT(I258:I269)=0,"",SUM(I258:I269))</f>
        <v/>
      </c>
      <c r="J270" s="116">
        <f>IF(COUNT(J258:J269)=0,"",SUM(J258:J269))</f>
        <v/>
      </c>
      <c r="K270" s="116">
        <f>IF(COUNT(K258:K269)=0,"",SUM(K258:K269))</f>
        <v/>
      </c>
      <c r="L270" s="117" t="n"/>
    </row>
    <row r="271" ht="24" customHeight="1">
      <c r="A271" s="102" t="inlineStr">
        <is>
          <t>AUGUST 2027   ·   crew earnings &amp; settlement</t>
        </is>
      </c>
    </row>
    <row r="272">
      <c r="A272" s="103">
        <f>IF(Setup!$A76="","",Setup!$A76)</f>
        <v/>
      </c>
      <c r="B272" s="104">
        <f>IF($A272="","",Setup!$B76)</f>
        <v/>
      </c>
      <c r="C272" s="105">
        <f>IF($A272="","",IF(COUNTIFS(Trips!$Z5:$Z1004,$R272,Trips!$D5:$D1004,$A272)+COUNTIFS(Trips!$Z5:$Z1004,$R272,Trips!$E5:$E1004,$A272)=0,"",COUNTIFS(Trips!$Z5:$Z1004,$R272,Trips!$D5:$D1004,$A272)+COUNTIFS(Trips!$Z5:$Z1004,$R272,Trips!$E5:$E1004,$A272)))</f>
        <v/>
      </c>
      <c r="D272" s="106">
        <f>IF($C272="","",SUMIFS(Trips!$K5:$K1004,Trips!$Z5:$Z1004,$R272,Trips!$D5:$D1004,$A272)+SUMIFS(Trips!$K5:$K1004,Trips!$Z5:$Z1004,$R272,Trips!$E5:$E1004,$A272))</f>
        <v/>
      </c>
      <c r="E272" s="107">
        <f>IF($C272="","",SUMIFS(Trips!$N5:$N1004,Trips!$Z5:$Z1004,$R272,Trips!$D5:$D1004,$A272)+SUMIFS(Trips!$O5:$O1004,Trips!$Z5:$Z1004,$R272,Trips!$E5:$E1004,$A272))</f>
        <v/>
      </c>
      <c r="F272" s="108">
        <f>IF($C272="","",SUMIFS(Trips!$P5:$P1004,Trips!$Z5:$Z1004,$R272,Trips!$D5:$D1004,$A272))</f>
        <v/>
      </c>
      <c r="G272" s="108">
        <f>IF($C272="","",SUMIFS(Trips!$Q5:$Q1004,Trips!$Z5:$Z1004,$R272,Trips!$D5:$D1004,$A272))</f>
        <v/>
      </c>
      <c r="H272" s="107">
        <f>IF(AND($C272="",$I272="",$J272=""),"",N($E272)+N($F272)+N($G272))</f>
        <v/>
      </c>
      <c r="I272" s="108">
        <f>IF($A272="","",IFERROR(1/(1/SUMIFS(Expenses!$F5:$F1004,Expenses!$B5:$B1004,"Cash Advance",Expenses!$J5:$J1004,$R272,Expenses!$E5:$E1004,$A272)),""))</f>
        <v/>
      </c>
      <c r="J272" s="108">
        <f>IF($A272="","",IFERROR(1/(1/SUMIFS(Expenses!$F5:$F1004,Expenses!$B5:$B1004,"Payroll Payout",Expenses!$J5:$J1004,$R272,Expenses!$E5:$E1004,$A272)),""))</f>
        <v/>
      </c>
      <c r="K272" s="109">
        <f>IF($H272="","",N($H272)-N($I272)-N($J272))</f>
        <v/>
      </c>
      <c r="L272" s="110">
        <f>IF($K272="","",IF($K272&gt;0.5,"TO PAY",IF($K272&lt;-0.5,"ADVANCE / OWES","SETTLED")))</f>
        <v/>
      </c>
      <c r="R272" s="111" t="n">
        <v>46600</v>
      </c>
    </row>
    <row r="273">
      <c r="A273" s="103">
        <f>IF(Setup!$A77="","",Setup!$A77)</f>
        <v/>
      </c>
      <c r="B273" s="104">
        <f>IF($A273="","",Setup!$B77)</f>
        <v/>
      </c>
      <c r="C273" s="105">
        <f>IF($A273="","",IF(COUNTIFS(Trips!$Z5:$Z1004,$R273,Trips!$D5:$D1004,$A273)+COUNTIFS(Trips!$Z5:$Z1004,$R273,Trips!$E5:$E1004,$A273)=0,"",COUNTIFS(Trips!$Z5:$Z1004,$R273,Trips!$D5:$D1004,$A273)+COUNTIFS(Trips!$Z5:$Z1004,$R273,Trips!$E5:$E1004,$A273)))</f>
        <v/>
      </c>
      <c r="D273" s="106">
        <f>IF($C273="","",SUMIFS(Trips!$K5:$K1004,Trips!$Z5:$Z1004,$R273,Trips!$D5:$D1004,$A273)+SUMIFS(Trips!$K5:$K1004,Trips!$Z5:$Z1004,$R273,Trips!$E5:$E1004,$A273))</f>
        <v/>
      </c>
      <c r="E273" s="107">
        <f>IF($C273="","",SUMIFS(Trips!$N5:$N1004,Trips!$Z5:$Z1004,$R273,Trips!$D5:$D1004,$A273)+SUMIFS(Trips!$O5:$O1004,Trips!$Z5:$Z1004,$R273,Trips!$E5:$E1004,$A273))</f>
        <v/>
      </c>
      <c r="F273" s="108">
        <f>IF($C273="","",SUMIFS(Trips!$P5:$P1004,Trips!$Z5:$Z1004,$R273,Trips!$D5:$D1004,$A273))</f>
        <v/>
      </c>
      <c r="G273" s="108">
        <f>IF($C273="","",SUMIFS(Trips!$Q5:$Q1004,Trips!$Z5:$Z1004,$R273,Trips!$D5:$D1004,$A273))</f>
        <v/>
      </c>
      <c r="H273" s="107">
        <f>IF(AND($C273="",$I273="",$J273=""),"",N($E273)+N($F273)+N($G273))</f>
        <v/>
      </c>
      <c r="I273" s="108">
        <f>IF($A273="","",IFERROR(1/(1/SUMIFS(Expenses!$F5:$F1004,Expenses!$B5:$B1004,"Cash Advance",Expenses!$J5:$J1004,$R273,Expenses!$E5:$E1004,$A273)),""))</f>
        <v/>
      </c>
      <c r="J273" s="108">
        <f>IF($A273="","",IFERROR(1/(1/SUMIFS(Expenses!$F5:$F1004,Expenses!$B5:$B1004,"Payroll Payout",Expenses!$J5:$J1004,$R273,Expenses!$E5:$E1004,$A273)),""))</f>
        <v/>
      </c>
      <c r="K273" s="109">
        <f>IF($H273="","",N($H273)-N($I273)-N($J273))</f>
        <v/>
      </c>
      <c r="L273" s="110">
        <f>IF($K273="","",IF($K273&gt;0.5,"TO PAY",IF($K273&lt;-0.5,"ADVANCE / OWES","SETTLED")))</f>
        <v/>
      </c>
      <c r="R273" s="111" t="n">
        <v>46600</v>
      </c>
    </row>
    <row r="274">
      <c r="A274" s="103">
        <f>IF(Setup!$A78="","",Setup!$A78)</f>
        <v/>
      </c>
      <c r="B274" s="104">
        <f>IF($A274="","",Setup!$B78)</f>
        <v/>
      </c>
      <c r="C274" s="105">
        <f>IF($A274="","",IF(COUNTIFS(Trips!$Z5:$Z1004,$R274,Trips!$D5:$D1004,$A274)+COUNTIFS(Trips!$Z5:$Z1004,$R274,Trips!$E5:$E1004,$A274)=0,"",COUNTIFS(Trips!$Z5:$Z1004,$R274,Trips!$D5:$D1004,$A274)+COUNTIFS(Trips!$Z5:$Z1004,$R274,Trips!$E5:$E1004,$A274)))</f>
        <v/>
      </c>
      <c r="D274" s="106">
        <f>IF($C274="","",SUMIFS(Trips!$K5:$K1004,Trips!$Z5:$Z1004,$R274,Trips!$D5:$D1004,$A274)+SUMIFS(Trips!$K5:$K1004,Trips!$Z5:$Z1004,$R274,Trips!$E5:$E1004,$A274))</f>
        <v/>
      </c>
      <c r="E274" s="107">
        <f>IF($C274="","",SUMIFS(Trips!$N5:$N1004,Trips!$Z5:$Z1004,$R274,Trips!$D5:$D1004,$A274)+SUMIFS(Trips!$O5:$O1004,Trips!$Z5:$Z1004,$R274,Trips!$E5:$E1004,$A274))</f>
        <v/>
      </c>
      <c r="F274" s="108">
        <f>IF($C274="","",SUMIFS(Trips!$P5:$P1004,Trips!$Z5:$Z1004,$R274,Trips!$D5:$D1004,$A274))</f>
        <v/>
      </c>
      <c r="G274" s="108">
        <f>IF($C274="","",SUMIFS(Trips!$Q5:$Q1004,Trips!$Z5:$Z1004,$R274,Trips!$D5:$D1004,$A274))</f>
        <v/>
      </c>
      <c r="H274" s="107">
        <f>IF(AND($C274="",$I274="",$J274=""),"",N($E274)+N($F274)+N($G274))</f>
        <v/>
      </c>
      <c r="I274" s="108">
        <f>IF($A274="","",IFERROR(1/(1/SUMIFS(Expenses!$F5:$F1004,Expenses!$B5:$B1004,"Cash Advance",Expenses!$J5:$J1004,$R274,Expenses!$E5:$E1004,$A274)),""))</f>
        <v/>
      </c>
      <c r="J274" s="108">
        <f>IF($A274="","",IFERROR(1/(1/SUMIFS(Expenses!$F5:$F1004,Expenses!$B5:$B1004,"Payroll Payout",Expenses!$J5:$J1004,$R274,Expenses!$E5:$E1004,$A274)),""))</f>
        <v/>
      </c>
      <c r="K274" s="109">
        <f>IF($H274="","",N($H274)-N($I274)-N($J274))</f>
        <v/>
      </c>
      <c r="L274" s="110">
        <f>IF($K274="","",IF($K274&gt;0.5,"TO PAY",IF($K274&lt;-0.5,"ADVANCE / OWES","SETTLED")))</f>
        <v/>
      </c>
      <c r="R274" s="111" t="n">
        <v>46600</v>
      </c>
    </row>
    <row r="275">
      <c r="A275" s="103">
        <f>IF(Setup!$A79="","",Setup!$A79)</f>
        <v/>
      </c>
      <c r="B275" s="104">
        <f>IF($A275="","",Setup!$B79)</f>
        <v/>
      </c>
      <c r="C275" s="105">
        <f>IF($A275="","",IF(COUNTIFS(Trips!$Z5:$Z1004,$R275,Trips!$D5:$D1004,$A275)+COUNTIFS(Trips!$Z5:$Z1004,$R275,Trips!$E5:$E1004,$A275)=0,"",COUNTIFS(Trips!$Z5:$Z1004,$R275,Trips!$D5:$D1004,$A275)+COUNTIFS(Trips!$Z5:$Z1004,$R275,Trips!$E5:$E1004,$A275)))</f>
        <v/>
      </c>
      <c r="D275" s="106">
        <f>IF($C275="","",SUMIFS(Trips!$K5:$K1004,Trips!$Z5:$Z1004,$R275,Trips!$D5:$D1004,$A275)+SUMIFS(Trips!$K5:$K1004,Trips!$Z5:$Z1004,$R275,Trips!$E5:$E1004,$A275))</f>
        <v/>
      </c>
      <c r="E275" s="107">
        <f>IF($C275="","",SUMIFS(Trips!$N5:$N1004,Trips!$Z5:$Z1004,$R275,Trips!$D5:$D1004,$A275)+SUMIFS(Trips!$O5:$O1004,Trips!$Z5:$Z1004,$R275,Trips!$E5:$E1004,$A275))</f>
        <v/>
      </c>
      <c r="F275" s="108">
        <f>IF($C275="","",SUMIFS(Trips!$P5:$P1004,Trips!$Z5:$Z1004,$R275,Trips!$D5:$D1004,$A275))</f>
        <v/>
      </c>
      <c r="G275" s="108">
        <f>IF($C275="","",SUMIFS(Trips!$Q5:$Q1004,Trips!$Z5:$Z1004,$R275,Trips!$D5:$D1004,$A275))</f>
        <v/>
      </c>
      <c r="H275" s="107">
        <f>IF(AND($C275="",$I275="",$J275=""),"",N($E275)+N($F275)+N($G275))</f>
        <v/>
      </c>
      <c r="I275" s="108">
        <f>IF($A275="","",IFERROR(1/(1/SUMIFS(Expenses!$F5:$F1004,Expenses!$B5:$B1004,"Cash Advance",Expenses!$J5:$J1004,$R275,Expenses!$E5:$E1004,$A275)),""))</f>
        <v/>
      </c>
      <c r="J275" s="108">
        <f>IF($A275="","",IFERROR(1/(1/SUMIFS(Expenses!$F5:$F1004,Expenses!$B5:$B1004,"Payroll Payout",Expenses!$J5:$J1004,$R275,Expenses!$E5:$E1004,$A275)),""))</f>
        <v/>
      </c>
      <c r="K275" s="109">
        <f>IF($H275="","",N($H275)-N($I275)-N($J275))</f>
        <v/>
      </c>
      <c r="L275" s="110">
        <f>IF($K275="","",IF($K275&gt;0.5,"TO PAY",IF($K275&lt;-0.5,"ADVANCE / OWES","SETTLED")))</f>
        <v/>
      </c>
      <c r="R275" s="111" t="n">
        <v>46600</v>
      </c>
    </row>
    <row r="276">
      <c r="A276" s="103">
        <f>IF(Setup!$A80="","",Setup!$A80)</f>
        <v/>
      </c>
      <c r="B276" s="104">
        <f>IF($A276="","",Setup!$B80)</f>
        <v/>
      </c>
      <c r="C276" s="105">
        <f>IF($A276="","",IF(COUNTIFS(Trips!$Z5:$Z1004,$R276,Trips!$D5:$D1004,$A276)+COUNTIFS(Trips!$Z5:$Z1004,$R276,Trips!$E5:$E1004,$A276)=0,"",COUNTIFS(Trips!$Z5:$Z1004,$R276,Trips!$D5:$D1004,$A276)+COUNTIFS(Trips!$Z5:$Z1004,$R276,Trips!$E5:$E1004,$A276)))</f>
        <v/>
      </c>
      <c r="D276" s="106">
        <f>IF($C276="","",SUMIFS(Trips!$K5:$K1004,Trips!$Z5:$Z1004,$R276,Trips!$D5:$D1004,$A276)+SUMIFS(Trips!$K5:$K1004,Trips!$Z5:$Z1004,$R276,Trips!$E5:$E1004,$A276))</f>
        <v/>
      </c>
      <c r="E276" s="107">
        <f>IF($C276="","",SUMIFS(Trips!$N5:$N1004,Trips!$Z5:$Z1004,$R276,Trips!$D5:$D1004,$A276)+SUMIFS(Trips!$O5:$O1004,Trips!$Z5:$Z1004,$R276,Trips!$E5:$E1004,$A276))</f>
        <v/>
      </c>
      <c r="F276" s="108">
        <f>IF($C276="","",SUMIFS(Trips!$P5:$P1004,Trips!$Z5:$Z1004,$R276,Trips!$D5:$D1004,$A276))</f>
        <v/>
      </c>
      <c r="G276" s="108">
        <f>IF($C276="","",SUMIFS(Trips!$Q5:$Q1004,Trips!$Z5:$Z1004,$R276,Trips!$D5:$D1004,$A276))</f>
        <v/>
      </c>
      <c r="H276" s="107">
        <f>IF(AND($C276="",$I276="",$J276=""),"",N($E276)+N($F276)+N($G276))</f>
        <v/>
      </c>
      <c r="I276" s="108">
        <f>IF($A276="","",IFERROR(1/(1/SUMIFS(Expenses!$F5:$F1004,Expenses!$B5:$B1004,"Cash Advance",Expenses!$J5:$J1004,$R276,Expenses!$E5:$E1004,$A276)),""))</f>
        <v/>
      </c>
      <c r="J276" s="108">
        <f>IF($A276="","",IFERROR(1/(1/SUMIFS(Expenses!$F5:$F1004,Expenses!$B5:$B1004,"Payroll Payout",Expenses!$J5:$J1004,$R276,Expenses!$E5:$E1004,$A276)),""))</f>
        <v/>
      </c>
      <c r="K276" s="109">
        <f>IF($H276="","",N($H276)-N($I276)-N($J276))</f>
        <v/>
      </c>
      <c r="L276" s="110">
        <f>IF($K276="","",IF($K276&gt;0.5,"TO PAY",IF($K276&lt;-0.5,"ADVANCE / OWES","SETTLED")))</f>
        <v/>
      </c>
      <c r="R276" s="111" t="n">
        <v>46600</v>
      </c>
    </row>
    <row r="277">
      <c r="A277" s="103">
        <f>IF(Setup!$A81="","",Setup!$A81)</f>
        <v/>
      </c>
      <c r="B277" s="104">
        <f>IF($A277="","",Setup!$B81)</f>
        <v/>
      </c>
      <c r="C277" s="105">
        <f>IF($A277="","",IF(COUNTIFS(Trips!$Z5:$Z1004,$R277,Trips!$D5:$D1004,$A277)+COUNTIFS(Trips!$Z5:$Z1004,$R277,Trips!$E5:$E1004,$A277)=0,"",COUNTIFS(Trips!$Z5:$Z1004,$R277,Trips!$D5:$D1004,$A277)+COUNTIFS(Trips!$Z5:$Z1004,$R277,Trips!$E5:$E1004,$A277)))</f>
        <v/>
      </c>
      <c r="D277" s="106">
        <f>IF($C277="","",SUMIFS(Trips!$K5:$K1004,Trips!$Z5:$Z1004,$R277,Trips!$D5:$D1004,$A277)+SUMIFS(Trips!$K5:$K1004,Trips!$Z5:$Z1004,$R277,Trips!$E5:$E1004,$A277))</f>
        <v/>
      </c>
      <c r="E277" s="107">
        <f>IF($C277="","",SUMIFS(Trips!$N5:$N1004,Trips!$Z5:$Z1004,$R277,Trips!$D5:$D1004,$A277)+SUMIFS(Trips!$O5:$O1004,Trips!$Z5:$Z1004,$R277,Trips!$E5:$E1004,$A277))</f>
        <v/>
      </c>
      <c r="F277" s="108">
        <f>IF($C277="","",SUMIFS(Trips!$P5:$P1004,Trips!$Z5:$Z1004,$R277,Trips!$D5:$D1004,$A277))</f>
        <v/>
      </c>
      <c r="G277" s="108">
        <f>IF($C277="","",SUMIFS(Trips!$Q5:$Q1004,Trips!$Z5:$Z1004,$R277,Trips!$D5:$D1004,$A277))</f>
        <v/>
      </c>
      <c r="H277" s="107">
        <f>IF(AND($C277="",$I277="",$J277=""),"",N($E277)+N($F277)+N($G277))</f>
        <v/>
      </c>
      <c r="I277" s="108">
        <f>IF($A277="","",IFERROR(1/(1/SUMIFS(Expenses!$F5:$F1004,Expenses!$B5:$B1004,"Cash Advance",Expenses!$J5:$J1004,$R277,Expenses!$E5:$E1004,$A277)),""))</f>
        <v/>
      </c>
      <c r="J277" s="108">
        <f>IF($A277="","",IFERROR(1/(1/SUMIFS(Expenses!$F5:$F1004,Expenses!$B5:$B1004,"Payroll Payout",Expenses!$J5:$J1004,$R277,Expenses!$E5:$E1004,$A277)),""))</f>
        <v/>
      </c>
      <c r="K277" s="109">
        <f>IF($H277="","",N($H277)-N($I277)-N($J277))</f>
        <v/>
      </c>
      <c r="L277" s="110">
        <f>IF($K277="","",IF($K277&gt;0.5,"TO PAY",IF($K277&lt;-0.5,"ADVANCE / OWES","SETTLED")))</f>
        <v/>
      </c>
      <c r="R277" s="111" t="n">
        <v>46600</v>
      </c>
    </row>
    <row r="278">
      <c r="A278" s="103">
        <f>IF(Setup!$A82="","",Setup!$A82)</f>
        <v/>
      </c>
      <c r="B278" s="104">
        <f>IF($A278="","",Setup!$B82)</f>
        <v/>
      </c>
      <c r="C278" s="105">
        <f>IF($A278="","",IF(COUNTIFS(Trips!$Z5:$Z1004,$R278,Trips!$D5:$D1004,$A278)+COUNTIFS(Trips!$Z5:$Z1004,$R278,Trips!$E5:$E1004,$A278)=0,"",COUNTIFS(Trips!$Z5:$Z1004,$R278,Trips!$D5:$D1004,$A278)+COUNTIFS(Trips!$Z5:$Z1004,$R278,Trips!$E5:$E1004,$A278)))</f>
        <v/>
      </c>
      <c r="D278" s="106">
        <f>IF($C278="","",SUMIFS(Trips!$K5:$K1004,Trips!$Z5:$Z1004,$R278,Trips!$D5:$D1004,$A278)+SUMIFS(Trips!$K5:$K1004,Trips!$Z5:$Z1004,$R278,Trips!$E5:$E1004,$A278))</f>
        <v/>
      </c>
      <c r="E278" s="107">
        <f>IF($C278="","",SUMIFS(Trips!$N5:$N1004,Trips!$Z5:$Z1004,$R278,Trips!$D5:$D1004,$A278)+SUMIFS(Trips!$O5:$O1004,Trips!$Z5:$Z1004,$R278,Trips!$E5:$E1004,$A278))</f>
        <v/>
      </c>
      <c r="F278" s="108">
        <f>IF($C278="","",SUMIFS(Trips!$P5:$P1004,Trips!$Z5:$Z1004,$R278,Trips!$D5:$D1004,$A278))</f>
        <v/>
      </c>
      <c r="G278" s="108">
        <f>IF($C278="","",SUMIFS(Trips!$Q5:$Q1004,Trips!$Z5:$Z1004,$R278,Trips!$D5:$D1004,$A278))</f>
        <v/>
      </c>
      <c r="H278" s="107">
        <f>IF(AND($C278="",$I278="",$J278=""),"",N($E278)+N($F278)+N($G278))</f>
        <v/>
      </c>
      <c r="I278" s="108">
        <f>IF($A278="","",IFERROR(1/(1/SUMIFS(Expenses!$F5:$F1004,Expenses!$B5:$B1004,"Cash Advance",Expenses!$J5:$J1004,$R278,Expenses!$E5:$E1004,$A278)),""))</f>
        <v/>
      </c>
      <c r="J278" s="108">
        <f>IF($A278="","",IFERROR(1/(1/SUMIFS(Expenses!$F5:$F1004,Expenses!$B5:$B1004,"Payroll Payout",Expenses!$J5:$J1004,$R278,Expenses!$E5:$E1004,$A278)),""))</f>
        <v/>
      </c>
      <c r="K278" s="109">
        <f>IF($H278="","",N($H278)-N($I278)-N($J278))</f>
        <v/>
      </c>
      <c r="L278" s="110">
        <f>IF($K278="","",IF($K278&gt;0.5,"TO PAY",IF($K278&lt;-0.5,"ADVANCE / OWES","SETTLED")))</f>
        <v/>
      </c>
      <c r="R278" s="111" t="n">
        <v>46600</v>
      </c>
    </row>
    <row r="279">
      <c r="A279" s="103">
        <f>IF(Setup!$A83="","",Setup!$A83)</f>
        <v/>
      </c>
      <c r="B279" s="104">
        <f>IF($A279="","",Setup!$B83)</f>
        <v/>
      </c>
      <c r="C279" s="105">
        <f>IF($A279="","",IF(COUNTIFS(Trips!$Z5:$Z1004,$R279,Trips!$D5:$D1004,$A279)+COUNTIFS(Trips!$Z5:$Z1004,$R279,Trips!$E5:$E1004,$A279)=0,"",COUNTIFS(Trips!$Z5:$Z1004,$R279,Trips!$D5:$D1004,$A279)+COUNTIFS(Trips!$Z5:$Z1004,$R279,Trips!$E5:$E1004,$A279)))</f>
        <v/>
      </c>
      <c r="D279" s="106">
        <f>IF($C279="","",SUMIFS(Trips!$K5:$K1004,Trips!$Z5:$Z1004,$R279,Trips!$D5:$D1004,$A279)+SUMIFS(Trips!$K5:$K1004,Trips!$Z5:$Z1004,$R279,Trips!$E5:$E1004,$A279))</f>
        <v/>
      </c>
      <c r="E279" s="107">
        <f>IF($C279="","",SUMIFS(Trips!$N5:$N1004,Trips!$Z5:$Z1004,$R279,Trips!$D5:$D1004,$A279)+SUMIFS(Trips!$O5:$O1004,Trips!$Z5:$Z1004,$R279,Trips!$E5:$E1004,$A279))</f>
        <v/>
      </c>
      <c r="F279" s="108">
        <f>IF($C279="","",SUMIFS(Trips!$P5:$P1004,Trips!$Z5:$Z1004,$R279,Trips!$D5:$D1004,$A279))</f>
        <v/>
      </c>
      <c r="G279" s="108">
        <f>IF($C279="","",SUMIFS(Trips!$Q5:$Q1004,Trips!$Z5:$Z1004,$R279,Trips!$D5:$D1004,$A279))</f>
        <v/>
      </c>
      <c r="H279" s="107">
        <f>IF(AND($C279="",$I279="",$J279=""),"",N($E279)+N($F279)+N($G279))</f>
        <v/>
      </c>
      <c r="I279" s="108">
        <f>IF($A279="","",IFERROR(1/(1/SUMIFS(Expenses!$F5:$F1004,Expenses!$B5:$B1004,"Cash Advance",Expenses!$J5:$J1004,$R279,Expenses!$E5:$E1004,$A279)),""))</f>
        <v/>
      </c>
      <c r="J279" s="108">
        <f>IF($A279="","",IFERROR(1/(1/SUMIFS(Expenses!$F5:$F1004,Expenses!$B5:$B1004,"Payroll Payout",Expenses!$J5:$J1004,$R279,Expenses!$E5:$E1004,$A279)),""))</f>
        <v/>
      </c>
      <c r="K279" s="109">
        <f>IF($H279="","",N($H279)-N($I279)-N($J279))</f>
        <v/>
      </c>
      <c r="L279" s="110">
        <f>IF($K279="","",IF($K279&gt;0.5,"TO PAY",IF($K279&lt;-0.5,"ADVANCE / OWES","SETTLED")))</f>
        <v/>
      </c>
      <c r="R279" s="111" t="n">
        <v>46600</v>
      </c>
    </row>
    <row r="280">
      <c r="A280" s="103">
        <f>IF(Setup!$A84="","",Setup!$A84)</f>
        <v/>
      </c>
      <c r="B280" s="104">
        <f>IF($A280="","",Setup!$B84)</f>
        <v/>
      </c>
      <c r="C280" s="105">
        <f>IF($A280="","",IF(COUNTIFS(Trips!$Z5:$Z1004,$R280,Trips!$D5:$D1004,$A280)+COUNTIFS(Trips!$Z5:$Z1004,$R280,Trips!$E5:$E1004,$A280)=0,"",COUNTIFS(Trips!$Z5:$Z1004,$R280,Trips!$D5:$D1004,$A280)+COUNTIFS(Trips!$Z5:$Z1004,$R280,Trips!$E5:$E1004,$A280)))</f>
        <v/>
      </c>
      <c r="D280" s="106">
        <f>IF($C280="","",SUMIFS(Trips!$K5:$K1004,Trips!$Z5:$Z1004,$R280,Trips!$D5:$D1004,$A280)+SUMIFS(Trips!$K5:$K1004,Trips!$Z5:$Z1004,$R280,Trips!$E5:$E1004,$A280))</f>
        <v/>
      </c>
      <c r="E280" s="107">
        <f>IF($C280="","",SUMIFS(Trips!$N5:$N1004,Trips!$Z5:$Z1004,$R280,Trips!$D5:$D1004,$A280)+SUMIFS(Trips!$O5:$O1004,Trips!$Z5:$Z1004,$R280,Trips!$E5:$E1004,$A280))</f>
        <v/>
      </c>
      <c r="F280" s="108">
        <f>IF($C280="","",SUMIFS(Trips!$P5:$P1004,Trips!$Z5:$Z1004,$R280,Trips!$D5:$D1004,$A280))</f>
        <v/>
      </c>
      <c r="G280" s="108">
        <f>IF($C280="","",SUMIFS(Trips!$Q5:$Q1004,Trips!$Z5:$Z1004,$R280,Trips!$D5:$D1004,$A280))</f>
        <v/>
      </c>
      <c r="H280" s="107">
        <f>IF(AND($C280="",$I280="",$J280=""),"",N($E280)+N($F280)+N($G280))</f>
        <v/>
      </c>
      <c r="I280" s="108">
        <f>IF($A280="","",IFERROR(1/(1/SUMIFS(Expenses!$F5:$F1004,Expenses!$B5:$B1004,"Cash Advance",Expenses!$J5:$J1004,$R280,Expenses!$E5:$E1004,$A280)),""))</f>
        <v/>
      </c>
      <c r="J280" s="108">
        <f>IF($A280="","",IFERROR(1/(1/SUMIFS(Expenses!$F5:$F1004,Expenses!$B5:$B1004,"Payroll Payout",Expenses!$J5:$J1004,$R280,Expenses!$E5:$E1004,$A280)),""))</f>
        <v/>
      </c>
      <c r="K280" s="109">
        <f>IF($H280="","",N($H280)-N($I280)-N($J280))</f>
        <v/>
      </c>
      <c r="L280" s="110">
        <f>IF($K280="","",IF($K280&gt;0.5,"TO PAY",IF($K280&lt;-0.5,"ADVANCE / OWES","SETTLED")))</f>
        <v/>
      </c>
      <c r="R280" s="111" t="n">
        <v>46600</v>
      </c>
    </row>
    <row r="281">
      <c r="A281" s="103">
        <f>IF(Setup!$A85="","",Setup!$A85)</f>
        <v/>
      </c>
      <c r="B281" s="104">
        <f>IF($A281="","",Setup!$B85)</f>
        <v/>
      </c>
      <c r="C281" s="105">
        <f>IF($A281="","",IF(COUNTIFS(Trips!$Z5:$Z1004,$R281,Trips!$D5:$D1004,$A281)+COUNTIFS(Trips!$Z5:$Z1004,$R281,Trips!$E5:$E1004,$A281)=0,"",COUNTIFS(Trips!$Z5:$Z1004,$R281,Trips!$D5:$D1004,$A281)+COUNTIFS(Trips!$Z5:$Z1004,$R281,Trips!$E5:$E1004,$A281)))</f>
        <v/>
      </c>
      <c r="D281" s="106">
        <f>IF($C281="","",SUMIFS(Trips!$K5:$K1004,Trips!$Z5:$Z1004,$R281,Trips!$D5:$D1004,$A281)+SUMIFS(Trips!$K5:$K1004,Trips!$Z5:$Z1004,$R281,Trips!$E5:$E1004,$A281))</f>
        <v/>
      </c>
      <c r="E281" s="107">
        <f>IF($C281="","",SUMIFS(Trips!$N5:$N1004,Trips!$Z5:$Z1004,$R281,Trips!$D5:$D1004,$A281)+SUMIFS(Trips!$O5:$O1004,Trips!$Z5:$Z1004,$R281,Trips!$E5:$E1004,$A281))</f>
        <v/>
      </c>
      <c r="F281" s="108">
        <f>IF($C281="","",SUMIFS(Trips!$P5:$P1004,Trips!$Z5:$Z1004,$R281,Trips!$D5:$D1004,$A281))</f>
        <v/>
      </c>
      <c r="G281" s="108">
        <f>IF($C281="","",SUMIFS(Trips!$Q5:$Q1004,Trips!$Z5:$Z1004,$R281,Trips!$D5:$D1004,$A281))</f>
        <v/>
      </c>
      <c r="H281" s="107">
        <f>IF(AND($C281="",$I281="",$J281=""),"",N($E281)+N($F281)+N($G281))</f>
        <v/>
      </c>
      <c r="I281" s="108">
        <f>IF($A281="","",IFERROR(1/(1/SUMIFS(Expenses!$F5:$F1004,Expenses!$B5:$B1004,"Cash Advance",Expenses!$J5:$J1004,$R281,Expenses!$E5:$E1004,$A281)),""))</f>
        <v/>
      </c>
      <c r="J281" s="108">
        <f>IF($A281="","",IFERROR(1/(1/SUMIFS(Expenses!$F5:$F1004,Expenses!$B5:$B1004,"Payroll Payout",Expenses!$J5:$J1004,$R281,Expenses!$E5:$E1004,$A281)),""))</f>
        <v/>
      </c>
      <c r="K281" s="109">
        <f>IF($H281="","",N($H281)-N($I281)-N($J281))</f>
        <v/>
      </c>
      <c r="L281" s="110">
        <f>IF($K281="","",IF($K281&gt;0.5,"TO PAY",IF($K281&lt;-0.5,"ADVANCE / OWES","SETTLED")))</f>
        <v/>
      </c>
      <c r="R281" s="111" t="n">
        <v>46600</v>
      </c>
    </row>
    <row r="282">
      <c r="A282" s="103">
        <f>IF(Setup!$A86="","",Setup!$A86)</f>
        <v/>
      </c>
      <c r="B282" s="104">
        <f>IF($A282="","",Setup!$B86)</f>
        <v/>
      </c>
      <c r="C282" s="105">
        <f>IF($A282="","",IF(COUNTIFS(Trips!$Z5:$Z1004,$R282,Trips!$D5:$D1004,$A282)+COUNTIFS(Trips!$Z5:$Z1004,$R282,Trips!$E5:$E1004,$A282)=0,"",COUNTIFS(Trips!$Z5:$Z1004,$R282,Trips!$D5:$D1004,$A282)+COUNTIFS(Trips!$Z5:$Z1004,$R282,Trips!$E5:$E1004,$A282)))</f>
        <v/>
      </c>
      <c r="D282" s="106">
        <f>IF($C282="","",SUMIFS(Trips!$K5:$K1004,Trips!$Z5:$Z1004,$R282,Trips!$D5:$D1004,$A282)+SUMIFS(Trips!$K5:$K1004,Trips!$Z5:$Z1004,$R282,Trips!$E5:$E1004,$A282))</f>
        <v/>
      </c>
      <c r="E282" s="107">
        <f>IF($C282="","",SUMIFS(Trips!$N5:$N1004,Trips!$Z5:$Z1004,$R282,Trips!$D5:$D1004,$A282)+SUMIFS(Trips!$O5:$O1004,Trips!$Z5:$Z1004,$R282,Trips!$E5:$E1004,$A282))</f>
        <v/>
      </c>
      <c r="F282" s="108">
        <f>IF($C282="","",SUMIFS(Trips!$P5:$P1004,Trips!$Z5:$Z1004,$R282,Trips!$D5:$D1004,$A282))</f>
        <v/>
      </c>
      <c r="G282" s="108">
        <f>IF($C282="","",SUMIFS(Trips!$Q5:$Q1004,Trips!$Z5:$Z1004,$R282,Trips!$D5:$D1004,$A282))</f>
        <v/>
      </c>
      <c r="H282" s="107">
        <f>IF(AND($C282="",$I282="",$J282=""),"",N($E282)+N($F282)+N($G282))</f>
        <v/>
      </c>
      <c r="I282" s="108">
        <f>IF($A282="","",IFERROR(1/(1/SUMIFS(Expenses!$F5:$F1004,Expenses!$B5:$B1004,"Cash Advance",Expenses!$J5:$J1004,$R282,Expenses!$E5:$E1004,$A282)),""))</f>
        <v/>
      </c>
      <c r="J282" s="108">
        <f>IF($A282="","",IFERROR(1/(1/SUMIFS(Expenses!$F5:$F1004,Expenses!$B5:$B1004,"Payroll Payout",Expenses!$J5:$J1004,$R282,Expenses!$E5:$E1004,$A282)),""))</f>
        <v/>
      </c>
      <c r="K282" s="109">
        <f>IF($H282="","",N($H282)-N($I282)-N($J282))</f>
        <v/>
      </c>
      <c r="L282" s="110">
        <f>IF($K282="","",IF($K282&gt;0.5,"TO PAY",IF($K282&lt;-0.5,"ADVANCE / OWES","SETTLED")))</f>
        <v/>
      </c>
      <c r="R282" s="111" t="n">
        <v>46600</v>
      </c>
    </row>
    <row r="283">
      <c r="A283" s="103">
        <f>IF(Setup!$A87="","",Setup!$A87)</f>
        <v/>
      </c>
      <c r="B283" s="104">
        <f>IF($A283="","",Setup!$B87)</f>
        <v/>
      </c>
      <c r="C283" s="105">
        <f>IF($A283="","",IF(COUNTIFS(Trips!$Z5:$Z1004,$R283,Trips!$D5:$D1004,$A283)+COUNTIFS(Trips!$Z5:$Z1004,$R283,Trips!$E5:$E1004,$A283)=0,"",COUNTIFS(Trips!$Z5:$Z1004,$R283,Trips!$D5:$D1004,$A283)+COUNTIFS(Trips!$Z5:$Z1004,$R283,Trips!$E5:$E1004,$A283)))</f>
        <v/>
      </c>
      <c r="D283" s="106">
        <f>IF($C283="","",SUMIFS(Trips!$K5:$K1004,Trips!$Z5:$Z1004,$R283,Trips!$D5:$D1004,$A283)+SUMIFS(Trips!$K5:$K1004,Trips!$Z5:$Z1004,$R283,Trips!$E5:$E1004,$A283))</f>
        <v/>
      </c>
      <c r="E283" s="107">
        <f>IF($C283="","",SUMIFS(Trips!$N5:$N1004,Trips!$Z5:$Z1004,$R283,Trips!$D5:$D1004,$A283)+SUMIFS(Trips!$O5:$O1004,Trips!$Z5:$Z1004,$R283,Trips!$E5:$E1004,$A283))</f>
        <v/>
      </c>
      <c r="F283" s="108">
        <f>IF($C283="","",SUMIFS(Trips!$P5:$P1004,Trips!$Z5:$Z1004,$R283,Trips!$D5:$D1004,$A283))</f>
        <v/>
      </c>
      <c r="G283" s="108">
        <f>IF($C283="","",SUMIFS(Trips!$Q5:$Q1004,Trips!$Z5:$Z1004,$R283,Trips!$D5:$D1004,$A283))</f>
        <v/>
      </c>
      <c r="H283" s="107">
        <f>IF(AND($C283="",$I283="",$J283=""),"",N($E283)+N($F283)+N($G283))</f>
        <v/>
      </c>
      <c r="I283" s="108">
        <f>IF($A283="","",IFERROR(1/(1/SUMIFS(Expenses!$F5:$F1004,Expenses!$B5:$B1004,"Cash Advance",Expenses!$J5:$J1004,$R283,Expenses!$E5:$E1004,$A283)),""))</f>
        <v/>
      </c>
      <c r="J283" s="108">
        <f>IF($A283="","",IFERROR(1/(1/SUMIFS(Expenses!$F5:$F1004,Expenses!$B5:$B1004,"Payroll Payout",Expenses!$J5:$J1004,$R283,Expenses!$E5:$E1004,$A283)),""))</f>
        <v/>
      </c>
      <c r="K283" s="109">
        <f>IF($H283="","",N($H283)-N($I283)-N($J283))</f>
        <v/>
      </c>
      <c r="L283" s="110">
        <f>IF($K283="","",IF($K283&gt;0.5,"TO PAY",IF($K283&lt;-0.5,"ADVANCE / OWES","SETTLED")))</f>
        <v/>
      </c>
      <c r="R283" s="111" t="n">
        <v>46600</v>
      </c>
    </row>
    <row r="284">
      <c r="A284" s="112" t="inlineStr">
        <is>
          <t>MONTH TOTAL</t>
        </is>
      </c>
      <c r="B284" s="113" t="n"/>
      <c r="C284" s="114">
        <f>IF(COUNT(C272:C283)=0,"",SUM(C272:C283))</f>
        <v/>
      </c>
      <c r="D284" s="115">
        <f>IF(COUNT(D272:D283)=0,"",SUM(D272:D283))</f>
        <v/>
      </c>
      <c r="E284" s="116">
        <f>IF(COUNT(E272:E283)=0,"",SUM(E272:E283))</f>
        <v/>
      </c>
      <c r="F284" s="116">
        <f>IF(COUNT(F272:F283)=0,"",SUM(F272:F283))</f>
        <v/>
      </c>
      <c r="G284" s="116">
        <f>IF(COUNT(G272:G283)=0,"",SUM(G272:G283))</f>
        <v/>
      </c>
      <c r="H284" s="116">
        <f>IF(COUNT(H272:H283)=0,"",SUM(H272:H283))</f>
        <v/>
      </c>
      <c r="I284" s="116">
        <f>IF(COUNT(I272:I283)=0,"",SUM(I272:I283))</f>
        <v/>
      </c>
      <c r="J284" s="116">
        <f>IF(COUNT(J272:J283)=0,"",SUM(J272:J283))</f>
        <v/>
      </c>
      <c r="K284" s="116">
        <f>IF(COUNT(K272:K283)=0,"",SUM(K272:K283))</f>
        <v/>
      </c>
      <c r="L284" s="117" t="n"/>
    </row>
    <row r="285" ht="24" customHeight="1">
      <c r="A285" s="102" t="inlineStr">
        <is>
          <t>SEPTEMBER 2027   ·   crew earnings &amp; settlement</t>
        </is>
      </c>
    </row>
    <row r="286">
      <c r="A286" s="103">
        <f>IF(Setup!$A76="","",Setup!$A76)</f>
        <v/>
      </c>
      <c r="B286" s="104">
        <f>IF($A286="","",Setup!$B76)</f>
        <v/>
      </c>
      <c r="C286" s="105">
        <f>IF($A286="","",IF(COUNTIFS(Trips!$Z5:$Z1004,$R286,Trips!$D5:$D1004,$A286)+COUNTIFS(Trips!$Z5:$Z1004,$R286,Trips!$E5:$E1004,$A286)=0,"",COUNTIFS(Trips!$Z5:$Z1004,$R286,Trips!$D5:$D1004,$A286)+COUNTIFS(Trips!$Z5:$Z1004,$R286,Trips!$E5:$E1004,$A286)))</f>
        <v/>
      </c>
      <c r="D286" s="106">
        <f>IF($C286="","",SUMIFS(Trips!$K5:$K1004,Trips!$Z5:$Z1004,$R286,Trips!$D5:$D1004,$A286)+SUMIFS(Trips!$K5:$K1004,Trips!$Z5:$Z1004,$R286,Trips!$E5:$E1004,$A286))</f>
        <v/>
      </c>
      <c r="E286" s="107">
        <f>IF($C286="","",SUMIFS(Trips!$N5:$N1004,Trips!$Z5:$Z1004,$R286,Trips!$D5:$D1004,$A286)+SUMIFS(Trips!$O5:$O1004,Trips!$Z5:$Z1004,$R286,Trips!$E5:$E1004,$A286))</f>
        <v/>
      </c>
      <c r="F286" s="108">
        <f>IF($C286="","",SUMIFS(Trips!$P5:$P1004,Trips!$Z5:$Z1004,$R286,Trips!$D5:$D1004,$A286))</f>
        <v/>
      </c>
      <c r="G286" s="108">
        <f>IF($C286="","",SUMIFS(Trips!$Q5:$Q1004,Trips!$Z5:$Z1004,$R286,Trips!$D5:$D1004,$A286))</f>
        <v/>
      </c>
      <c r="H286" s="107">
        <f>IF(AND($C286="",$I286="",$J286=""),"",N($E286)+N($F286)+N($G286))</f>
        <v/>
      </c>
      <c r="I286" s="108">
        <f>IF($A286="","",IFERROR(1/(1/SUMIFS(Expenses!$F5:$F1004,Expenses!$B5:$B1004,"Cash Advance",Expenses!$J5:$J1004,$R286,Expenses!$E5:$E1004,$A286)),""))</f>
        <v/>
      </c>
      <c r="J286" s="108">
        <f>IF($A286="","",IFERROR(1/(1/SUMIFS(Expenses!$F5:$F1004,Expenses!$B5:$B1004,"Payroll Payout",Expenses!$J5:$J1004,$R286,Expenses!$E5:$E1004,$A286)),""))</f>
        <v/>
      </c>
      <c r="K286" s="109">
        <f>IF($H286="","",N($H286)-N($I286)-N($J286))</f>
        <v/>
      </c>
      <c r="L286" s="110">
        <f>IF($K286="","",IF($K286&gt;0.5,"TO PAY",IF($K286&lt;-0.5,"ADVANCE / OWES","SETTLED")))</f>
        <v/>
      </c>
      <c r="R286" s="111" t="n">
        <v>46631</v>
      </c>
    </row>
    <row r="287">
      <c r="A287" s="103">
        <f>IF(Setup!$A77="","",Setup!$A77)</f>
        <v/>
      </c>
      <c r="B287" s="104">
        <f>IF($A287="","",Setup!$B77)</f>
        <v/>
      </c>
      <c r="C287" s="105">
        <f>IF($A287="","",IF(COUNTIFS(Trips!$Z5:$Z1004,$R287,Trips!$D5:$D1004,$A287)+COUNTIFS(Trips!$Z5:$Z1004,$R287,Trips!$E5:$E1004,$A287)=0,"",COUNTIFS(Trips!$Z5:$Z1004,$R287,Trips!$D5:$D1004,$A287)+COUNTIFS(Trips!$Z5:$Z1004,$R287,Trips!$E5:$E1004,$A287)))</f>
        <v/>
      </c>
      <c r="D287" s="106">
        <f>IF($C287="","",SUMIFS(Trips!$K5:$K1004,Trips!$Z5:$Z1004,$R287,Trips!$D5:$D1004,$A287)+SUMIFS(Trips!$K5:$K1004,Trips!$Z5:$Z1004,$R287,Trips!$E5:$E1004,$A287))</f>
        <v/>
      </c>
      <c r="E287" s="107">
        <f>IF($C287="","",SUMIFS(Trips!$N5:$N1004,Trips!$Z5:$Z1004,$R287,Trips!$D5:$D1004,$A287)+SUMIFS(Trips!$O5:$O1004,Trips!$Z5:$Z1004,$R287,Trips!$E5:$E1004,$A287))</f>
        <v/>
      </c>
      <c r="F287" s="108">
        <f>IF($C287="","",SUMIFS(Trips!$P5:$P1004,Trips!$Z5:$Z1004,$R287,Trips!$D5:$D1004,$A287))</f>
        <v/>
      </c>
      <c r="G287" s="108">
        <f>IF($C287="","",SUMIFS(Trips!$Q5:$Q1004,Trips!$Z5:$Z1004,$R287,Trips!$D5:$D1004,$A287))</f>
        <v/>
      </c>
      <c r="H287" s="107">
        <f>IF(AND($C287="",$I287="",$J287=""),"",N($E287)+N($F287)+N($G287))</f>
        <v/>
      </c>
      <c r="I287" s="108">
        <f>IF($A287="","",IFERROR(1/(1/SUMIFS(Expenses!$F5:$F1004,Expenses!$B5:$B1004,"Cash Advance",Expenses!$J5:$J1004,$R287,Expenses!$E5:$E1004,$A287)),""))</f>
        <v/>
      </c>
      <c r="J287" s="108">
        <f>IF($A287="","",IFERROR(1/(1/SUMIFS(Expenses!$F5:$F1004,Expenses!$B5:$B1004,"Payroll Payout",Expenses!$J5:$J1004,$R287,Expenses!$E5:$E1004,$A287)),""))</f>
        <v/>
      </c>
      <c r="K287" s="109">
        <f>IF($H287="","",N($H287)-N($I287)-N($J287))</f>
        <v/>
      </c>
      <c r="L287" s="110">
        <f>IF($K287="","",IF($K287&gt;0.5,"TO PAY",IF($K287&lt;-0.5,"ADVANCE / OWES","SETTLED")))</f>
        <v/>
      </c>
      <c r="R287" s="111" t="n">
        <v>46631</v>
      </c>
    </row>
    <row r="288">
      <c r="A288" s="103">
        <f>IF(Setup!$A78="","",Setup!$A78)</f>
        <v/>
      </c>
      <c r="B288" s="104">
        <f>IF($A288="","",Setup!$B78)</f>
        <v/>
      </c>
      <c r="C288" s="105">
        <f>IF($A288="","",IF(COUNTIFS(Trips!$Z5:$Z1004,$R288,Trips!$D5:$D1004,$A288)+COUNTIFS(Trips!$Z5:$Z1004,$R288,Trips!$E5:$E1004,$A288)=0,"",COUNTIFS(Trips!$Z5:$Z1004,$R288,Trips!$D5:$D1004,$A288)+COUNTIFS(Trips!$Z5:$Z1004,$R288,Trips!$E5:$E1004,$A288)))</f>
        <v/>
      </c>
      <c r="D288" s="106">
        <f>IF($C288="","",SUMIFS(Trips!$K5:$K1004,Trips!$Z5:$Z1004,$R288,Trips!$D5:$D1004,$A288)+SUMIFS(Trips!$K5:$K1004,Trips!$Z5:$Z1004,$R288,Trips!$E5:$E1004,$A288))</f>
        <v/>
      </c>
      <c r="E288" s="107">
        <f>IF($C288="","",SUMIFS(Trips!$N5:$N1004,Trips!$Z5:$Z1004,$R288,Trips!$D5:$D1004,$A288)+SUMIFS(Trips!$O5:$O1004,Trips!$Z5:$Z1004,$R288,Trips!$E5:$E1004,$A288))</f>
        <v/>
      </c>
      <c r="F288" s="108">
        <f>IF($C288="","",SUMIFS(Trips!$P5:$P1004,Trips!$Z5:$Z1004,$R288,Trips!$D5:$D1004,$A288))</f>
        <v/>
      </c>
      <c r="G288" s="108">
        <f>IF($C288="","",SUMIFS(Trips!$Q5:$Q1004,Trips!$Z5:$Z1004,$R288,Trips!$D5:$D1004,$A288))</f>
        <v/>
      </c>
      <c r="H288" s="107">
        <f>IF(AND($C288="",$I288="",$J288=""),"",N($E288)+N($F288)+N($G288))</f>
        <v/>
      </c>
      <c r="I288" s="108">
        <f>IF($A288="","",IFERROR(1/(1/SUMIFS(Expenses!$F5:$F1004,Expenses!$B5:$B1004,"Cash Advance",Expenses!$J5:$J1004,$R288,Expenses!$E5:$E1004,$A288)),""))</f>
        <v/>
      </c>
      <c r="J288" s="108">
        <f>IF($A288="","",IFERROR(1/(1/SUMIFS(Expenses!$F5:$F1004,Expenses!$B5:$B1004,"Payroll Payout",Expenses!$J5:$J1004,$R288,Expenses!$E5:$E1004,$A288)),""))</f>
        <v/>
      </c>
      <c r="K288" s="109">
        <f>IF($H288="","",N($H288)-N($I288)-N($J288))</f>
        <v/>
      </c>
      <c r="L288" s="110">
        <f>IF($K288="","",IF($K288&gt;0.5,"TO PAY",IF($K288&lt;-0.5,"ADVANCE / OWES","SETTLED")))</f>
        <v/>
      </c>
      <c r="R288" s="111" t="n">
        <v>46631</v>
      </c>
    </row>
    <row r="289">
      <c r="A289" s="103">
        <f>IF(Setup!$A79="","",Setup!$A79)</f>
        <v/>
      </c>
      <c r="B289" s="104">
        <f>IF($A289="","",Setup!$B79)</f>
        <v/>
      </c>
      <c r="C289" s="105">
        <f>IF($A289="","",IF(COUNTIFS(Trips!$Z5:$Z1004,$R289,Trips!$D5:$D1004,$A289)+COUNTIFS(Trips!$Z5:$Z1004,$R289,Trips!$E5:$E1004,$A289)=0,"",COUNTIFS(Trips!$Z5:$Z1004,$R289,Trips!$D5:$D1004,$A289)+COUNTIFS(Trips!$Z5:$Z1004,$R289,Trips!$E5:$E1004,$A289)))</f>
        <v/>
      </c>
      <c r="D289" s="106">
        <f>IF($C289="","",SUMIFS(Trips!$K5:$K1004,Trips!$Z5:$Z1004,$R289,Trips!$D5:$D1004,$A289)+SUMIFS(Trips!$K5:$K1004,Trips!$Z5:$Z1004,$R289,Trips!$E5:$E1004,$A289))</f>
        <v/>
      </c>
      <c r="E289" s="107">
        <f>IF($C289="","",SUMIFS(Trips!$N5:$N1004,Trips!$Z5:$Z1004,$R289,Trips!$D5:$D1004,$A289)+SUMIFS(Trips!$O5:$O1004,Trips!$Z5:$Z1004,$R289,Trips!$E5:$E1004,$A289))</f>
        <v/>
      </c>
      <c r="F289" s="108">
        <f>IF($C289="","",SUMIFS(Trips!$P5:$P1004,Trips!$Z5:$Z1004,$R289,Trips!$D5:$D1004,$A289))</f>
        <v/>
      </c>
      <c r="G289" s="108">
        <f>IF($C289="","",SUMIFS(Trips!$Q5:$Q1004,Trips!$Z5:$Z1004,$R289,Trips!$D5:$D1004,$A289))</f>
        <v/>
      </c>
      <c r="H289" s="107">
        <f>IF(AND($C289="",$I289="",$J289=""),"",N($E289)+N($F289)+N($G289))</f>
        <v/>
      </c>
      <c r="I289" s="108">
        <f>IF($A289="","",IFERROR(1/(1/SUMIFS(Expenses!$F5:$F1004,Expenses!$B5:$B1004,"Cash Advance",Expenses!$J5:$J1004,$R289,Expenses!$E5:$E1004,$A289)),""))</f>
        <v/>
      </c>
      <c r="J289" s="108">
        <f>IF($A289="","",IFERROR(1/(1/SUMIFS(Expenses!$F5:$F1004,Expenses!$B5:$B1004,"Payroll Payout",Expenses!$J5:$J1004,$R289,Expenses!$E5:$E1004,$A289)),""))</f>
        <v/>
      </c>
      <c r="K289" s="109">
        <f>IF($H289="","",N($H289)-N($I289)-N($J289))</f>
        <v/>
      </c>
      <c r="L289" s="110">
        <f>IF($K289="","",IF($K289&gt;0.5,"TO PAY",IF($K289&lt;-0.5,"ADVANCE / OWES","SETTLED")))</f>
        <v/>
      </c>
      <c r="R289" s="111" t="n">
        <v>46631</v>
      </c>
    </row>
    <row r="290">
      <c r="A290" s="103">
        <f>IF(Setup!$A80="","",Setup!$A80)</f>
        <v/>
      </c>
      <c r="B290" s="104">
        <f>IF($A290="","",Setup!$B80)</f>
        <v/>
      </c>
      <c r="C290" s="105">
        <f>IF($A290="","",IF(COUNTIFS(Trips!$Z5:$Z1004,$R290,Trips!$D5:$D1004,$A290)+COUNTIFS(Trips!$Z5:$Z1004,$R290,Trips!$E5:$E1004,$A290)=0,"",COUNTIFS(Trips!$Z5:$Z1004,$R290,Trips!$D5:$D1004,$A290)+COUNTIFS(Trips!$Z5:$Z1004,$R290,Trips!$E5:$E1004,$A290)))</f>
        <v/>
      </c>
      <c r="D290" s="106">
        <f>IF($C290="","",SUMIFS(Trips!$K5:$K1004,Trips!$Z5:$Z1004,$R290,Trips!$D5:$D1004,$A290)+SUMIFS(Trips!$K5:$K1004,Trips!$Z5:$Z1004,$R290,Trips!$E5:$E1004,$A290))</f>
        <v/>
      </c>
      <c r="E290" s="107">
        <f>IF($C290="","",SUMIFS(Trips!$N5:$N1004,Trips!$Z5:$Z1004,$R290,Trips!$D5:$D1004,$A290)+SUMIFS(Trips!$O5:$O1004,Trips!$Z5:$Z1004,$R290,Trips!$E5:$E1004,$A290))</f>
        <v/>
      </c>
      <c r="F290" s="108">
        <f>IF($C290="","",SUMIFS(Trips!$P5:$P1004,Trips!$Z5:$Z1004,$R290,Trips!$D5:$D1004,$A290))</f>
        <v/>
      </c>
      <c r="G290" s="108">
        <f>IF($C290="","",SUMIFS(Trips!$Q5:$Q1004,Trips!$Z5:$Z1004,$R290,Trips!$D5:$D1004,$A290))</f>
        <v/>
      </c>
      <c r="H290" s="107">
        <f>IF(AND($C290="",$I290="",$J290=""),"",N($E290)+N($F290)+N($G290))</f>
        <v/>
      </c>
      <c r="I290" s="108">
        <f>IF($A290="","",IFERROR(1/(1/SUMIFS(Expenses!$F5:$F1004,Expenses!$B5:$B1004,"Cash Advance",Expenses!$J5:$J1004,$R290,Expenses!$E5:$E1004,$A290)),""))</f>
        <v/>
      </c>
      <c r="J290" s="108">
        <f>IF($A290="","",IFERROR(1/(1/SUMIFS(Expenses!$F5:$F1004,Expenses!$B5:$B1004,"Payroll Payout",Expenses!$J5:$J1004,$R290,Expenses!$E5:$E1004,$A290)),""))</f>
        <v/>
      </c>
      <c r="K290" s="109">
        <f>IF($H290="","",N($H290)-N($I290)-N($J290))</f>
        <v/>
      </c>
      <c r="L290" s="110">
        <f>IF($K290="","",IF($K290&gt;0.5,"TO PAY",IF($K290&lt;-0.5,"ADVANCE / OWES","SETTLED")))</f>
        <v/>
      </c>
      <c r="R290" s="111" t="n">
        <v>46631</v>
      </c>
    </row>
    <row r="291">
      <c r="A291" s="103">
        <f>IF(Setup!$A81="","",Setup!$A81)</f>
        <v/>
      </c>
      <c r="B291" s="104">
        <f>IF($A291="","",Setup!$B81)</f>
        <v/>
      </c>
      <c r="C291" s="105">
        <f>IF($A291="","",IF(COUNTIFS(Trips!$Z5:$Z1004,$R291,Trips!$D5:$D1004,$A291)+COUNTIFS(Trips!$Z5:$Z1004,$R291,Trips!$E5:$E1004,$A291)=0,"",COUNTIFS(Trips!$Z5:$Z1004,$R291,Trips!$D5:$D1004,$A291)+COUNTIFS(Trips!$Z5:$Z1004,$R291,Trips!$E5:$E1004,$A291)))</f>
        <v/>
      </c>
      <c r="D291" s="106">
        <f>IF($C291="","",SUMIFS(Trips!$K5:$K1004,Trips!$Z5:$Z1004,$R291,Trips!$D5:$D1004,$A291)+SUMIFS(Trips!$K5:$K1004,Trips!$Z5:$Z1004,$R291,Trips!$E5:$E1004,$A291))</f>
        <v/>
      </c>
      <c r="E291" s="107">
        <f>IF($C291="","",SUMIFS(Trips!$N5:$N1004,Trips!$Z5:$Z1004,$R291,Trips!$D5:$D1004,$A291)+SUMIFS(Trips!$O5:$O1004,Trips!$Z5:$Z1004,$R291,Trips!$E5:$E1004,$A291))</f>
        <v/>
      </c>
      <c r="F291" s="108">
        <f>IF($C291="","",SUMIFS(Trips!$P5:$P1004,Trips!$Z5:$Z1004,$R291,Trips!$D5:$D1004,$A291))</f>
        <v/>
      </c>
      <c r="G291" s="108">
        <f>IF($C291="","",SUMIFS(Trips!$Q5:$Q1004,Trips!$Z5:$Z1004,$R291,Trips!$D5:$D1004,$A291))</f>
        <v/>
      </c>
      <c r="H291" s="107">
        <f>IF(AND($C291="",$I291="",$J291=""),"",N($E291)+N($F291)+N($G291))</f>
        <v/>
      </c>
      <c r="I291" s="108">
        <f>IF($A291="","",IFERROR(1/(1/SUMIFS(Expenses!$F5:$F1004,Expenses!$B5:$B1004,"Cash Advance",Expenses!$J5:$J1004,$R291,Expenses!$E5:$E1004,$A291)),""))</f>
        <v/>
      </c>
      <c r="J291" s="108">
        <f>IF($A291="","",IFERROR(1/(1/SUMIFS(Expenses!$F5:$F1004,Expenses!$B5:$B1004,"Payroll Payout",Expenses!$J5:$J1004,$R291,Expenses!$E5:$E1004,$A291)),""))</f>
        <v/>
      </c>
      <c r="K291" s="109">
        <f>IF($H291="","",N($H291)-N($I291)-N($J291))</f>
        <v/>
      </c>
      <c r="L291" s="110">
        <f>IF($K291="","",IF($K291&gt;0.5,"TO PAY",IF($K291&lt;-0.5,"ADVANCE / OWES","SETTLED")))</f>
        <v/>
      </c>
      <c r="R291" s="111" t="n">
        <v>46631</v>
      </c>
    </row>
    <row r="292">
      <c r="A292" s="103">
        <f>IF(Setup!$A82="","",Setup!$A82)</f>
        <v/>
      </c>
      <c r="B292" s="104">
        <f>IF($A292="","",Setup!$B82)</f>
        <v/>
      </c>
      <c r="C292" s="105">
        <f>IF($A292="","",IF(COUNTIFS(Trips!$Z5:$Z1004,$R292,Trips!$D5:$D1004,$A292)+COUNTIFS(Trips!$Z5:$Z1004,$R292,Trips!$E5:$E1004,$A292)=0,"",COUNTIFS(Trips!$Z5:$Z1004,$R292,Trips!$D5:$D1004,$A292)+COUNTIFS(Trips!$Z5:$Z1004,$R292,Trips!$E5:$E1004,$A292)))</f>
        <v/>
      </c>
      <c r="D292" s="106">
        <f>IF($C292="","",SUMIFS(Trips!$K5:$K1004,Trips!$Z5:$Z1004,$R292,Trips!$D5:$D1004,$A292)+SUMIFS(Trips!$K5:$K1004,Trips!$Z5:$Z1004,$R292,Trips!$E5:$E1004,$A292))</f>
        <v/>
      </c>
      <c r="E292" s="107">
        <f>IF($C292="","",SUMIFS(Trips!$N5:$N1004,Trips!$Z5:$Z1004,$R292,Trips!$D5:$D1004,$A292)+SUMIFS(Trips!$O5:$O1004,Trips!$Z5:$Z1004,$R292,Trips!$E5:$E1004,$A292))</f>
        <v/>
      </c>
      <c r="F292" s="108">
        <f>IF($C292="","",SUMIFS(Trips!$P5:$P1004,Trips!$Z5:$Z1004,$R292,Trips!$D5:$D1004,$A292))</f>
        <v/>
      </c>
      <c r="G292" s="108">
        <f>IF($C292="","",SUMIFS(Trips!$Q5:$Q1004,Trips!$Z5:$Z1004,$R292,Trips!$D5:$D1004,$A292))</f>
        <v/>
      </c>
      <c r="H292" s="107">
        <f>IF(AND($C292="",$I292="",$J292=""),"",N($E292)+N($F292)+N($G292))</f>
        <v/>
      </c>
      <c r="I292" s="108">
        <f>IF($A292="","",IFERROR(1/(1/SUMIFS(Expenses!$F5:$F1004,Expenses!$B5:$B1004,"Cash Advance",Expenses!$J5:$J1004,$R292,Expenses!$E5:$E1004,$A292)),""))</f>
        <v/>
      </c>
      <c r="J292" s="108">
        <f>IF($A292="","",IFERROR(1/(1/SUMIFS(Expenses!$F5:$F1004,Expenses!$B5:$B1004,"Payroll Payout",Expenses!$J5:$J1004,$R292,Expenses!$E5:$E1004,$A292)),""))</f>
        <v/>
      </c>
      <c r="K292" s="109">
        <f>IF($H292="","",N($H292)-N($I292)-N($J292))</f>
        <v/>
      </c>
      <c r="L292" s="110">
        <f>IF($K292="","",IF($K292&gt;0.5,"TO PAY",IF($K292&lt;-0.5,"ADVANCE / OWES","SETTLED")))</f>
        <v/>
      </c>
      <c r="R292" s="111" t="n">
        <v>46631</v>
      </c>
    </row>
    <row r="293">
      <c r="A293" s="103">
        <f>IF(Setup!$A83="","",Setup!$A83)</f>
        <v/>
      </c>
      <c r="B293" s="104">
        <f>IF($A293="","",Setup!$B83)</f>
        <v/>
      </c>
      <c r="C293" s="105">
        <f>IF($A293="","",IF(COUNTIFS(Trips!$Z5:$Z1004,$R293,Trips!$D5:$D1004,$A293)+COUNTIFS(Trips!$Z5:$Z1004,$R293,Trips!$E5:$E1004,$A293)=0,"",COUNTIFS(Trips!$Z5:$Z1004,$R293,Trips!$D5:$D1004,$A293)+COUNTIFS(Trips!$Z5:$Z1004,$R293,Trips!$E5:$E1004,$A293)))</f>
        <v/>
      </c>
      <c r="D293" s="106">
        <f>IF($C293="","",SUMIFS(Trips!$K5:$K1004,Trips!$Z5:$Z1004,$R293,Trips!$D5:$D1004,$A293)+SUMIFS(Trips!$K5:$K1004,Trips!$Z5:$Z1004,$R293,Trips!$E5:$E1004,$A293))</f>
        <v/>
      </c>
      <c r="E293" s="107">
        <f>IF($C293="","",SUMIFS(Trips!$N5:$N1004,Trips!$Z5:$Z1004,$R293,Trips!$D5:$D1004,$A293)+SUMIFS(Trips!$O5:$O1004,Trips!$Z5:$Z1004,$R293,Trips!$E5:$E1004,$A293))</f>
        <v/>
      </c>
      <c r="F293" s="108">
        <f>IF($C293="","",SUMIFS(Trips!$P5:$P1004,Trips!$Z5:$Z1004,$R293,Trips!$D5:$D1004,$A293))</f>
        <v/>
      </c>
      <c r="G293" s="108">
        <f>IF($C293="","",SUMIFS(Trips!$Q5:$Q1004,Trips!$Z5:$Z1004,$R293,Trips!$D5:$D1004,$A293))</f>
        <v/>
      </c>
      <c r="H293" s="107">
        <f>IF(AND($C293="",$I293="",$J293=""),"",N($E293)+N($F293)+N($G293))</f>
        <v/>
      </c>
      <c r="I293" s="108">
        <f>IF($A293="","",IFERROR(1/(1/SUMIFS(Expenses!$F5:$F1004,Expenses!$B5:$B1004,"Cash Advance",Expenses!$J5:$J1004,$R293,Expenses!$E5:$E1004,$A293)),""))</f>
        <v/>
      </c>
      <c r="J293" s="108">
        <f>IF($A293="","",IFERROR(1/(1/SUMIFS(Expenses!$F5:$F1004,Expenses!$B5:$B1004,"Payroll Payout",Expenses!$J5:$J1004,$R293,Expenses!$E5:$E1004,$A293)),""))</f>
        <v/>
      </c>
      <c r="K293" s="109">
        <f>IF($H293="","",N($H293)-N($I293)-N($J293))</f>
        <v/>
      </c>
      <c r="L293" s="110">
        <f>IF($K293="","",IF($K293&gt;0.5,"TO PAY",IF($K293&lt;-0.5,"ADVANCE / OWES","SETTLED")))</f>
        <v/>
      </c>
      <c r="R293" s="111" t="n">
        <v>46631</v>
      </c>
    </row>
    <row r="294">
      <c r="A294" s="103">
        <f>IF(Setup!$A84="","",Setup!$A84)</f>
        <v/>
      </c>
      <c r="B294" s="104">
        <f>IF($A294="","",Setup!$B84)</f>
        <v/>
      </c>
      <c r="C294" s="105">
        <f>IF($A294="","",IF(COUNTIFS(Trips!$Z5:$Z1004,$R294,Trips!$D5:$D1004,$A294)+COUNTIFS(Trips!$Z5:$Z1004,$R294,Trips!$E5:$E1004,$A294)=0,"",COUNTIFS(Trips!$Z5:$Z1004,$R294,Trips!$D5:$D1004,$A294)+COUNTIFS(Trips!$Z5:$Z1004,$R294,Trips!$E5:$E1004,$A294)))</f>
        <v/>
      </c>
      <c r="D294" s="106">
        <f>IF($C294="","",SUMIFS(Trips!$K5:$K1004,Trips!$Z5:$Z1004,$R294,Trips!$D5:$D1004,$A294)+SUMIFS(Trips!$K5:$K1004,Trips!$Z5:$Z1004,$R294,Trips!$E5:$E1004,$A294))</f>
        <v/>
      </c>
      <c r="E294" s="107">
        <f>IF($C294="","",SUMIFS(Trips!$N5:$N1004,Trips!$Z5:$Z1004,$R294,Trips!$D5:$D1004,$A294)+SUMIFS(Trips!$O5:$O1004,Trips!$Z5:$Z1004,$R294,Trips!$E5:$E1004,$A294))</f>
        <v/>
      </c>
      <c r="F294" s="108">
        <f>IF($C294="","",SUMIFS(Trips!$P5:$P1004,Trips!$Z5:$Z1004,$R294,Trips!$D5:$D1004,$A294))</f>
        <v/>
      </c>
      <c r="G294" s="108">
        <f>IF($C294="","",SUMIFS(Trips!$Q5:$Q1004,Trips!$Z5:$Z1004,$R294,Trips!$D5:$D1004,$A294))</f>
        <v/>
      </c>
      <c r="H294" s="107">
        <f>IF(AND($C294="",$I294="",$J294=""),"",N($E294)+N($F294)+N($G294))</f>
        <v/>
      </c>
      <c r="I294" s="108">
        <f>IF($A294="","",IFERROR(1/(1/SUMIFS(Expenses!$F5:$F1004,Expenses!$B5:$B1004,"Cash Advance",Expenses!$J5:$J1004,$R294,Expenses!$E5:$E1004,$A294)),""))</f>
        <v/>
      </c>
      <c r="J294" s="108">
        <f>IF($A294="","",IFERROR(1/(1/SUMIFS(Expenses!$F5:$F1004,Expenses!$B5:$B1004,"Payroll Payout",Expenses!$J5:$J1004,$R294,Expenses!$E5:$E1004,$A294)),""))</f>
        <v/>
      </c>
      <c r="K294" s="109">
        <f>IF($H294="","",N($H294)-N($I294)-N($J294))</f>
        <v/>
      </c>
      <c r="L294" s="110">
        <f>IF($K294="","",IF($K294&gt;0.5,"TO PAY",IF($K294&lt;-0.5,"ADVANCE / OWES","SETTLED")))</f>
        <v/>
      </c>
      <c r="R294" s="111" t="n">
        <v>46631</v>
      </c>
    </row>
    <row r="295">
      <c r="A295" s="103">
        <f>IF(Setup!$A85="","",Setup!$A85)</f>
        <v/>
      </c>
      <c r="B295" s="104">
        <f>IF($A295="","",Setup!$B85)</f>
        <v/>
      </c>
      <c r="C295" s="105">
        <f>IF($A295="","",IF(COUNTIFS(Trips!$Z5:$Z1004,$R295,Trips!$D5:$D1004,$A295)+COUNTIFS(Trips!$Z5:$Z1004,$R295,Trips!$E5:$E1004,$A295)=0,"",COUNTIFS(Trips!$Z5:$Z1004,$R295,Trips!$D5:$D1004,$A295)+COUNTIFS(Trips!$Z5:$Z1004,$R295,Trips!$E5:$E1004,$A295)))</f>
        <v/>
      </c>
      <c r="D295" s="106">
        <f>IF($C295="","",SUMIFS(Trips!$K5:$K1004,Trips!$Z5:$Z1004,$R295,Trips!$D5:$D1004,$A295)+SUMIFS(Trips!$K5:$K1004,Trips!$Z5:$Z1004,$R295,Trips!$E5:$E1004,$A295))</f>
        <v/>
      </c>
      <c r="E295" s="107">
        <f>IF($C295="","",SUMIFS(Trips!$N5:$N1004,Trips!$Z5:$Z1004,$R295,Trips!$D5:$D1004,$A295)+SUMIFS(Trips!$O5:$O1004,Trips!$Z5:$Z1004,$R295,Trips!$E5:$E1004,$A295))</f>
        <v/>
      </c>
      <c r="F295" s="108">
        <f>IF($C295="","",SUMIFS(Trips!$P5:$P1004,Trips!$Z5:$Z1004,$R295,Trips!$D5:$D1004,$A295))</f>
        <v/>
      </c>
      <c r="G295" s="108">
        <f>IF($C295="","",SUMIFS(Trips!$Q5:$Q1004,Trips!$Z5:$Z1004,$R295,Trips!$D5:$D1004,$A295))</f>
        <v/>
      </c>
      <c r="H295" s="107">
        <f>IF(AND($C295="",$I295="",$J295=""),"",N($E295)+N($F295)+N($G295))</f>
        <v/>
      </c>
      <c r="I295" s="108">
        <f>IF($A295="","",IFERROR(1/(1/SUMIFS(Expenses!$F5:$F1004,Expenses!$B5:$B1004,"Cash Advance",Expenses!$J5:$J1004,$R295,Expenses!$E5:$E1004,$A295)),""))</f>
        <v/>
      </c>
      <c r="J295" s="108">
        <f>IF($A295="","",IFERROR(1/(1/SUMIFS(Expenses!$F5:$F1004,Expenses!$B5:$B1004,"Payroll Payout",Expenses!$J5:$J1004,$R295,Expenses!$E5:$E1004,$A295)),""))</f>
        <v/>
      </c>
      <c r="K295" s="109">
        <f>IF($H295="","",N($H295)-N($I295)-N($J295))</f>
        <v/>
      </c>
      <c r="L295" s="110">
        <f>IF($K295="","",IF($K295&gt;0.5,"TO PAY",IF($K295&lt;-0.5,"ADVANCE / OWES","SETTLED")))</f>
        <v/>
      </c>
      <c r="R295" s="111" t="n">
        <v>46631</v>
      </c>
    </row>
    <row r="296">
      <c r="A296" s="103">
        <f>IF(Setup!$A86="","",Setup!$A86)</f>
        <v/>
      </c>
      <c r="B296" s="104">
        <f>IF($A296="","",Setup!$B86)</f>
        <v/>
      </c>
      <c r="C296" s="105">
        <f>IF($A296="","",IF(COUNTIFS(Trips!$Z5:$Z1004,$R296,Trips!$D5:$D1004,$A296)+COUNTIFS(Trips!$Z5:$Z1004,$R296,Trips!$E5:$E1004,$A296)=0,"",COUNTIFS(Trips!$Z5:$Z1004,$R296,Trips!$D5:$D1004,$A296)+COUNTIFS(Trips!$Z5:$Z1004,$R296,Trips!$E5:$E1004,$A296)))</f>
        <v/>
      </c>
      <c r="D296" s="106">
        <f>IF($C296="","",SUMIFS(Trips!$K5:$K1004,Trips!$Z5:$Z1004,$R296,Trips!$D5:$D1004,$A296)+SUMIFS(Trips!$K5:$K1004,Trips!$Z5:$Z1004,$R296,Trips!$E5:$E1004,$A296))</f>
        <v/>
      </c>
      <c r="E296" s="107">
        <f>IF($C296="","",SUMIFS(Trips!$N5:$N1004,Trips!$Z5:$Z1004,$R296,Trips!$D5:$D1004,$A296)+SUMIFS(Trips!$O5:$O1004,Trips!$Z5:$Z1004,$R296,Trips!$E5:$E1004,$A296))</f>
        <v/>
      </c>
      <c r="F296" s="108">
        <f>IF($C296="","",SUMIFS(Trips!$P5:$P1004,Trips!$Z5:$Z1004,$R296,Trips!$D5:$D1004,$A296))</f>
        <v/>
      </c>
      <c r="G296" s="108">
        <f>IF($C296="","",SUMIFS(Trips!$Q5:$Q1004,Trips!$Z5:$Z1004,$R296,Trips!$D5:$D1004,$A296))</f>
        <v/>
      </c>
      <c r="H296" s="107">
        <f>IF(AND($C296="",$I296="",$J296=""),"",N($E296)+N($F296)+N($G296))</f>
        <v/>
      </c>
      <c r="I296" s="108">
        <f>IF($A296="","",IFERROR(1/(1/SUMIFS(Expenses!$F5:$F1004,Expenses!$B5:$B1004,"Cash Advance",Expenses!$J5:$J1004,$R296,Expenses!$E5:$E1004,$A296)),""))</f>
        <v/>
      </c>
      <c r="J296" s="108">
        <f>IF($A296="","",IFERROR(1/(1/SUMIFS(Expenses!$F5:$F1004,Expenses!$B5:$B1004,"Payroll Payout",Expenses!$J5:$J1004,$R296,Expenses!$E5:$E1004,$A296)),""))</f>
        <v/>
      </c>
      <c r="K296" s="109">
        <f>IF($H296="","",N($H296)-N($I296)-N($J296))</f>
        <v/>
      </c>
      <c r="L296" s="110">
        <f>IF($K296="","",IF($K296&gt;0.5,"TO PAY",IF($K296&lt;-0.5,"ADVANCE / OWES","SETTLED")))</f>
        <v/>
      </c>
      <c r="R296" s="111" t="n">
        <v>46631</v>
      </c>
    </row>
    <row r="297">
      <c r="A297" s="103">
        <f>IF(Setup!$A87="","",Setup!$A87)</f>
        <v/>
      </c>
      <c r="B297" s="104">
        <f>IF($A297="","",Setup!$B87)</f>
        <v/>
      </c>
      <c r="C297" s="105">
        <f>IF($A297="","",IF(COUNTIFS(Trips!$Z5:$Z1004,$R297,Trips!$D5:$D1004,$A297)+COUNTIFS(Trips!$Z5:$Z1004,$R297,Trips!$E5:$E1004,$A297)=0,"",COUNTIFS(Trips!$Z5:$Z1004,$R297,Trips!$D5:$D1004,$A297)+COUNTIFS(Trips!$Z5:$Z1004,$R297,Trips!$E5:$E1004,$A297)))</f>
        <v/>
      </c>
      <c r="D297" s="106">
        <f>IF($C297="","",SUMIFS(Trips!$K5:$K1004,Trips!$Z5:$Z1004,$R297,Trips!$D5:$D1004,$A297)+SUMIFS(Trips!$K5:$K1004,Trips!$Z5:$Z1004,$R297,Trips!$E5:$E1004,$A297))</f>
        <v/>
      </c>
      <c r="E297" s="107">
        <f>IF($C297="","",SUMIFS(Trips!$N5:$N1004,Trips!$Z5:$Z1004,$R297,Trips!$D5:$D1004,$A297)+SUMIFS(Trips!$O5:$O1004,Trips!$Z5:$Z1004,$R297,Trips!$E5:$E1004,$A297))</f>
        <v/>
      </c>
      <c r="F297" s="108">
        <f>IF($C297="","",SUMIFS(Trips!$P5:$P1004,Trips!$Z5:$Z1004,$R297,Trips!$D5:$D1004,$A297))</f>
        <v/>
      </c>
      <c r="G297" s="108">
        <f>IF($C297="","",SUMIFS(Trips!$Q5:$Q1004,Trips!$Z5:$Z1004,$R297,Trips!$D5:$D1004,$A297))</f>
        <v/>
      </c>
      <c r="H297" s="107">
        <f>IF(AND($C297="",$I297="",$J297=""),"",N($E297)+N($F297)+N($G297))</f>
        <v/>
      </c>
      <c r="I297" s="108">
        <f>IF($A297="","",IFERROR(1/(1/SUMIFS(Expenses!$F5:$F1004,Expenses!$B5:$B1004,"Cash Advance",Expenses!$J5:$J1004,$R297,Expenses!$E5:$E1004,$A297)),""))</f>
        <v/>
      </c>
      <c r="J297" s="108">
        <f>IF($A297="","",IFERROR(1/(1/SUMIFS(Expenses!$F5:$F1004,Expenses!$B5:$B1004,"Payroll Payout",Expenses!$J5:$J1004,$R297,Expenses!$E5:$E1004,$A297)),""))</f>
        <v/>
      </c>
      <c r="K297" s="109">
        <f>IF($H297="","",N($H297)-N($I297)-N($J297))</f>
        <v/>
      </c>
      <c r="L297" s="110">
        <f>IF($K297="","",IF($K297&gt;0.5,"TO PAY",IF($K297&lt;-0.5,"ADVANCE / OWES","SETTLED")))</f>
        <v/>
      </c>
      <c r="R297" s="111" t="n">
        <v>46631</v>
      </c>
    </row>
    <row r="298">
      <c r="A298" s="112" t="inlineStr">
        <is>
          <t>MONTH TOTAL</t>
        </is>
      </c>
      <c r="B298" s="113" t="n"/>
      <c r="C298" s="114">
        <f>IF(COUNT(C286:C297)=0,"",SUM(C286:C297))</f>
        <v/>
      </c>
      <c r="D298" s="115">
        <f>IF(COUNT(D286:D297)=0,"",SUM(D286:D297))</f>
        <v/>
      </c>
      <c r="E298" s="116">
        <f>IF(COUNT(E286:E297)=0,"",SUM(E286:E297))</f>
        <v/>
      </c>
      <c r="F298" s="116">
        <f>IF(COUNT(F286:F297)=0,"",SUM(F286:F297))</f>
        <v/>
      </c>
      <c r="G298" s="116">
        <f>IF(COUNT(G286:G297)=0,"",SUM(G286:G297))</f>
        <v/>
      </c>
      <c r="H298" s="116">
        <f>IF(COUNT(H286:H297)=0,"",SUM(H286:H297))</f>
        <v/>
      </c>
      <c r="I298" s="116">
        <f>IF(COUNT(I286:I297)=0,"",SUM(I286:I297))</f>
        <v/>
      </c>
      <c r="J298" s="116">
        <f>IF(COUNT(J286:J297)=0,"",SUM(J286:J297))</f>
        <v/>
      </c>
      <c r="K298" s="116">
        <f>IF(COUNT(K286:K297)=0,"",SUM(K286:K297))</f>
        <v/>
      </c>
      <c r="L298" s="117" t="n"/>
    </row>
    <row r="299" ht="24" customHeight="1">
      <c r="A299" s="102" t="inlineStr">
        <is>
          <t>OCTOBER 2027   ·   crew earnings &amp; settlement</t>
        </is>
      </c>
    </row>
    <row r="300">
      <c r="A300" s="103">
        <f>IF(Setup!$A76="","",Setup!$A76)</f>
        <v/>
      </c>
      <c r="B300" s="104">
        <f>IF($A300="","",Setup!$B76)</f>
        <v/>
      </c>
      <c r="C300" s="105">
        <f>IF($A300="","",IF(COUNTIFS(Trips!$Z5:$Z1004,$R300,Trips!$D5:$D1004,$A300)+COUNTIFS(Trips!$Z5:$Z1004,$R300,Trips!$E5:$E1004,$A300)=0,"",COUNTIFS(Trips!$Z5:$Z1004,$R300,Trips!$D5:$D1004,$A300)+COUNTIFS(Trips!$Z5:$Z1004,$R300,Trips!$E5:$E1004,$A300)))</f>
        <v/>
      </c>
      <c r="D300" s="106">
        <f>IF($C300="","",SUMIFS(Trips!$K5:$K1004,Trips!$Z5:$Z1004,$R300,Trips!$D5:$D1004,$A300)+SUMIFS(Trips!$K5:$K1004,Trips!$Z5:$Z1004,$R300,Trips!$E5:$E1004,$A300))</f>
        <v/>
      </c>
      <c r="E300" s="107">
        <f>IF($C300="","",SUMIFS(Trips!$N5:$N1004,Trips!$Z5:$Z1004,$R300,Trips!$D5:$D1004,$A300)+SUMIFS(Trips!$O5:$O1004,Trips!$Z5:$Z1004,$R300,Trips!$E5:$E1004,$A300))</f>
        <v/>
      </c>
      <c r="F300" s="108">
        <f>IF($C300="","",SUMIFS(Trips!$P5:$P1004,Trips!$Z5:$Z1004,$R300,Trips!$D5:$D1004,$A300))</f>
        <v/>
      </c>
      <c r="G300" s="108">
        <f>IF($C300="","",SUMIFS(Trips!$Q5:$Q1004,Trips!$Z5:$Z1004,$R300,Trips!$D5:$D1004,$A300))</f>
        <v/>
      </c>
      <c r="H300" s="107">
        <f>IF(AND($C300="",$I300="",$J300=""),"",N($E300)+N($F300)+N($G300))</f>
        <v/>
      </c>
      <c r="I300" s="108">
        <f>IF($A300="","",IFERROR(1/(1/SUMIFS(Expenses!$F5:$F1004,Expenses!$B5:$B1004,"Cash Advance",Expenses!$J5:$J1004,$R300,Expenses!$E5:$E1004,$A300)),""))</f>
        <v/>
      </c>
      <c r="J300" s="108">
        <f>IF($A300="","",IFERROR(1/(1/SUMIFS(Expenses!$F5:$F1004,Expenses!$B5:$B1004,"Payroll Payout",Expenses!$J5:$J1004,$R300,Expenses!$E5:$E1004,$A300)),""))</f>
        <v/>
      </c>
      <c r="K300" s="109">
        <f>IF($H300="","",N($H300)-N($I300)-N($J300))</f>
        <v/>
      </c>
      <c r="L300" s="110">
        <f>IF($K300="","",IF($K300&gt;0.5,"TO PAY",IF($K300&lt;-0.5,"ADVANCE / OWES","SETTLED")))</f>
        <v/>
      </c>
      <c r="R300" s="111" t="n">
        <v>46661</v>
      </c>
    </row>
    <row r="301">
      <c r="A301" s="103">
        <f>IF(Setup!$A77="","",Setup!$A77)</f>
        <v/>
      </c>
      <c r="B301" s="104">
        <f>IF($A301="","",Setup!$B77)</f>
        <v/>
      </c>
      <c r="C301" s="105">
        <f>IF($A301="","",IF(COUNTIFS(Trips!$Z5:$Z1004,$R301,Trips!$D5:$D1004,$A301)+COUNTIFS(Trips!$Z5:$Z1004,$R301,Trips!$E5:$E1004,$A301)=0,"",COUNTIFS(Trips!$Z5:$Z1004,$R301,Trips!$D5:$D1004,$A301)+COUNTIFS(Trips!$Z5:$Z1004,$R301,Trips!$E5:$E1004,$A301)))</f>
        <v/>
      </c>
      <c r="D301" s="106">
        <f>IF($C301="","",SUMIFS(Trips!$K5:$K1004,Trips!$Z5:$Z1004,$R301,Trips!$D5:$D1004,$A301)+SUMIFS(Trips!$K5:$K1004,Trips!$Z5:$Z1004,$R301,Trips!$E5:$E1004,$A301))</f>
        <v/>
      </c>
      <c r="E301" s="107">
        <f>IF($C301="","",SUMIFS(Trips!$N5:$N1004,Trips!$Z5:$Z1004,$R301,Trips!$D5:$D1004,$A301)+SUMIFS(Trips!$O5:$O1004,Trips!$Z5:$Z1004,$R301,Trips!$E5:$E1004,$A301))</f>
        <v/>
      </c>
      <c r="F301" s="108">
        <f>IF($C301="","",SUMIFS(Trips!$P5:$P1004,Trips!$Z5:$Z1004,$R301,Trips!$D5:$D1004,$A301))</f>
        <v/>
      </c>
      <c r="G301" s="108">
        <f>IF($C301="","",SUMIFS(Trips!$Q5:$Q1004,Trips!$Z5:$Z1004,$R301,Trips!$D5:$D1004,$A301))</f>
        <v/>
      </c>
      <c r="H301" s="107">
        <f>IF(AND($C301="",$I301="",$J301=""),"",N($E301)+N($F301)+N($G301))</f>
        <v/>
      </c>
      <c r="I301" s="108">
        <f>IF($A301="","",IFERROR(1/(1/SUMIFS(Expenses!$F5:$F1004,Expenses!$B5:$B1004,"Cash Advance",Expenses!$J5:$J1004,$R301,Expenses!$E5:$E1004,$A301)),""))</f>
        <v/>
      </c>
      <c r="J301" s="108">
        <f>IF($A301="","",IFERROR(1/(1/SUMIFS(Expenses!$F5:$F1004,Expenses!$B5:$B1004,"Payroll Payout",Expenses!$J5:$J1004,$R301,Expenses!$E5:$E1004,$A301)),""))</f>
        <v/>
      </c>
      <c r="K301" s="109">
        <f>IF($H301="","",N($H301)-N($I301)-N($J301))</f>
        <v/>
      </c>
      <c r="L301" s="110">
        <f>IF($K301="","",IF($K301&gt;0.5,"TO PAY",IF($K301&lt;-0.5,"ADVANCE / OWES","SETTLED")))</f>
        <v/>
      </c>
      <c r="R301" s="111" t="n">
        <v>46661</v>
      </c>
    </row>
    <row r="302">
      <c r="A302" s="103">
        <f>IF(Setup!$A78="","",Setup!$A78)</f>
        <v/>
      </c>
      <c r="B302" s="104">
        <f>IF($A302="","",Setup!$B78)</f>
        <v/>
      </c>
      <c r="C302" s="105">
        <f>IF($A302="","",IF(COUNTIFS(Trips!$Z5:$Z1004,$R302,Trips!$D5:$D1004,$A302)+COUNTIFS(Trips!$Z5:$Z1004,$R302,Trips!$E5:$E1004,$A302)=0,"",COUNTIFS(Trips!$Z5:$Z1004,$R302,Trips!$D5:$D1004,$A302)+COUNTIFS(Trips!$Z5:$Z1004,$R302,Trips!$E5:$E1004,$A302)))</f>
        <v/>
      </c>
      <c r="D302" s="106">
        <f>IF($C302="","",SUMIFS(Trips!$K5:$K1004,Trips!$Z5:$Z1004,$R302,Trips!$D5:$D1004,$A302)+SUMIFS(Trips!$K5:$K1004,Trips!$Z5:$Z1004,$R302,Trips!$E5:$E1004,$A302))</f>
        <v/>
      </c>
      <c r="E302" s="107">
        <f>IF($C302="","",SUMIFS(Trips!$N5:$N1004,Trips!$Z5:$Z1004,$R302,Trips!$D5:$D1004,$A302)+SUMIFS(Trips!$O5:$O1004,Trips!$Z5:$Z1004,$R302,Trips!$E5:$E1004,$A302))</f>
        <v/>
      </c>
      <c r="F302" s="108">
        <f>IF($C302="","",SUMIFS(Trips!$P5:$P1004,Trips!$Z5:$Z1004,$R302,Trips!$D5:$D1004,$A302))</f>
        <v/>
      </c>
      <c r="G302" s="108">
        <f>IF($C302="","",SUMIFS(Trips!$Q5:$Q1004,Trips!$Z5:$Z1004,$R302,Trips!$D5:$D1004,$A302))</f>
        <v/>
      </c>
      <c r="H302" s="107">
        <f>IF(AND($C302="",$I302="",$J302=""),"",N($E302)+N($F302)+N($G302))</f>
        <v/>
      </c>
      <c r="I302" s="108">
        <f>IF($A302="","",IFERROR(1/(1/SUMIFS(Expenses!$F5:$F1004,Expenses!$B5:$B1004,"Cash Advance",Expenses!$J5:$J1004,$R302,Expenses!$E5:$E1004,$A302)),""))</f>
        <v/>
      </c>
      <c r="J302" s="108">
        <f>IF($A302="","",IFERROR(1/(1/SUMIFS(Expenses!$F5:$F1004,Expenses!$B5:$B1004,"Payroll Payout",Expenses!$J5:$J1004,$R302,Expenses!$E5:$E1004,$A302)),""))</f>
        <v/>
      </c>
      <c r="K302" s="109">
        <f>IF($H302="","",N($H302)-N($I302)-N($J302))</f>
        <v/>
      </c>
      <c r="L302" s="110">
        <f>IF($K302="","",IF($K302&gt;0.5,"TO PAY",IF($K302&lt;-0.5,"ADVANCE / OWES","SETTLED")))</f>
        <v/>
      </c>
      <c r="R302" s="111" t="n">
        <v>46661</v>
      </c>
    </row>
    <row r="303">
      <c r="A303" s="103">
        <f>IF(Setup!$A79="","",Setup!$A79)</f>
        <v/>
      </c>
      <c r="B303" s="104">
        <f>IF($A303="","",Setup!$B79)</f>
        <v/>
      </c>
      <c r="C303" s="105">
        <f>IF($A303="","",IF(COUNTIFS(Trips!$Z5:$Z1004,$R303,Trips!$D5:$D1004,$A303)+COUNTIFS(Trips!$Z5:$Z1004,$R303,Trips!$E5:$E1004,$A303)=0,"",COUNTIFS(Trips!$Z5:$Z1004,$R303,Trips!$D5:$D1004,$A303)+COUNTIFS(Trips!$Z5:$Z1004,$R303,Trips!$E5:$E1004,$A303)))</f>
        <v/>
      </c>
      <c r="D303" s="106">
        <f>IF($C303="","",SUMIFS(Trips!$K5:$K1004,Trips!$Z5:$Z1004,$R303,Trips!$D5:$D1004,$A303)+SUMIFS(Trips!$K5:$K1004,Trips!$Z5:$Z1004,$R303,Trips!$E5:$E1004,$A303))</f>
        <v/>
      </c>
      <c r="E303" s="107">
        <f>IF($C303="","",SUMIFS(Trips!$N5:$N1004,Trips!$Z5:$Z1004,$R303,Trips!$D5:$D1004,$A303)+SUMIFS(Trips!$O5:$O1004,Trips!$Z5:$Z1004,$R303,Trips!$E5:$E1004,$A303))</f>
        <v/>
      </c>
      <c r="F303" s="108">
        <f>IF($C303="","",SUMIFS(Trips!$P5:$P1004,Trips!$Z5:$Z1004,$R303,Trips!$D5:$D1004,$A303))</f>
        <v/>
      </c>
      <c r="G303" s="108">
        <f>IF($C303="","",SUMIFS(Trips!$Q5:$Q1004,Trips!$Z5:$Z1004,$R303,Trips!$D5:$D1004,$A303))</f>
        <v/>
      </c>
      <c r="H303" s="107">
        <f>IF(AND($C303="",$I303="",$J303=""),"",N($E303)+N($F303)+N($G303))</f>
        <v/>
      </c>
      <c r="I303" s="108">
        <f>IF($A303="","",IFERROR(1/(1/SUMIFS(Expenses!$F5:$F1004,Expenses!$B5:$B1004,"Cash Advance",Expenses!$J5:$J1004,$R303,Expenses!$E5:$E1004,$A303)),""))</f>
        <v/>
      </c>
      <c r="J303" s="108">
        <f>IF($A303="","",IFERROR(1/(1/SUMIFS(Expenses!$F5:$F1004,Expenses!$B5:$B1004,"Payroll Payout",Expenses!$J5:$J1004,$R303,Expenses!$E5:$E1004,$A303)),""))</f>
        <v/>
      </c>
      <c r="K303" s="109">
        <f>IF($H303="","",N($H303)-N($I303)-N($J303))</f>
        <v/>
      </c>
      <c r="L303" s="110">
        <f>IF($K303="","",IF($K303&gt;0.5,"TO PAY",IF($K303&lt;-0.5,"ADVANCE / OWES","SETTLED")))</f>
        <v/>
      </c>
      <c r="R303" s="111" t="n">
        <v>46661</v>
      </c>
    </row>
    <row r="304">
      <c r="A304" s="103">
        <f>IF(Setup!$A80="","",Setup!$A80)</f>
        <v/>
      </c>
      <c r="B304" s="104">
        <f>IF($A304="","",Setup!$B80)</f>
        <v/>
      </c>
      <c r="C304" s="105">
        <f>IF($A304="","",IF(COUNTIFS(Trips!$Z5:$Z1004,$R304,Trips!$D5:$D1004,$A304)+COUNTIFS(Trips!$Z5:$Z1004,$R304,Trips!$E5:$E1004,$A304)=0,"",COUNTIFS(Trips!$Z5:$Z1004,$R304,Trips!$D5:$D1004,$A304)+COUNTIFS(Trips!$Z5:$Z1004,$R304,Trips!$E5:$E1004,$A304)))</f>
        <v/>
      </c>
      <c r="D304" s="106">
        <f>IF($C304="","",SUMIFS(Trips!$K5:$K1004,Trips!$Z5:$Z1004,$R304,Trips!$D5:$D1004,$A304)+SUMIFS(Trips!$K5:$K1004,Trips!$Z5:$Z1004,$R304,Trips!$E5:$E1004,$A304))</f>
        <v/>
      </c>
      <c r="E304" s="107">
        <f>IF($C304="","",SUMIFS(Trips!$N5:$N1004,Trips!$Z5:$Z1004,$R304,Trips!$D5:$D1004,$A304)+SUMIFS(Trips!$O5:$O1004,Trips!$Z5:$Z1004,$R304,Trips!$E5:$E1004,$A304))</f>
        <v/>
      </c>
      <c r="F304" s="108">
        <f>IF($C304="","",SUMIFS(Trips!$P5:$P1004,Trips!$Z5:$Z1004,$R304,Trips!$D5:$D1004,$A304))</f>
        <v/>
      </c>
      <c r="G304" s="108">
        <f>IF($C304="","",SUMIFS(Trips!$Q5:$Q1004,Trips!$Z5:$Z1004,$R304,Trips!$D5:$D1004,$A304))</f>
        <v/>
      </c>
      <c r="H304" s="107">
        <f>IF(AND($C304="",$I304="",$J304=""),"",N($E304)+N($F304)+N($G304))</f>
        <v/>
      </c>
      <c r="I304" s="108">
        <f>IF($A304="","",IFERROR(1/(1/SUMIFS(Expenses!$F5:$F1004,Expenses!$B5:$B1004,"Cash Advance",Expenses!$J5:$J1004,$R304,Expenses!$E5:$E1004,$A304)),""))</f>
        <v/>
      </c>
      <c r="J304" s="108">
        <f>IF($A304="","",IFERROR(1/(1/SUMIFS(Expenses!$F5:$F1004,Expenses!$B5:$B1004,"Payroll Payout",Expenses!$J5:$J1004,$R304,Expenses!$E5:$E1004,$A304)),""))</f>
        <v/>
      </c>
      <c r="K304" s="109">
        <f>IF($H304="","",N($H304)-N($I304)-N($J304))</f>
        <v/>
      </c>
      <c r="L304" s="110">
        <f>IF($K304="","",IF($K304&gt;0.5,"TO PAY",IF($K304&lt;-0.5,"ADVANCE / OWES","SETTLED")))</f>
        <v/>
      </c>
      <c r="R304" s="111" t="n">
        <v>46661</v>
      </c>
    </row>
    <row r="305">
      <c r="A305" s="103">
        <f>IF(Setup!$A81="","",Setup!$A81)</f>
        <v/>
      </c>
      <c r="B305" s="104">
        <f>IF($A305="","",Setup!$B81)</f>
        <v/>
      </c>
      <c r="C305" s="105">
        <f>IF($A305="","",IF(COUNTIFS(Trips!$Z5:$Z1004,$R305,Trips!$D5:$D1004,$A305)+COUNTIFS(Trips!$Z5:$Z1004,$R305,Trips!$E5:$E1004,$A305)=0,"",COUNTIFS(Trips!$Z5:$Z1004,$R305,Trips!$D5:$D1004,$A305)+COUNTIFS(Trips!$Z5:$Z1004,$R305,Trips!$E5:$E1004,$A305)))</f>
        <v/>
      </c>
      <c r="D305" s="106">
        <f>IF($C305="","",SUMIFS(Trips!$K5:$K1004,Trips!$Z5:$Z1004,$R305,Trips!$D5:$D1004,$A305)+SUMIFS(Trips!$K5:$K1004,Trips!$Z5:$Z1004,$R305,Trips!$E5:$E1004,$A305))</f>
        <v/>
      </c>
      <c r="E305" s="107">
        <f>IF($C305="","",SUMIFS(Trips!$N5:$N1004,Trips!$Z5:$Z1004,$R305,Trips!$D5:$D1004,$A305)+SUMIFS(Trips!$O5:$O1004,Trips!$Z5:$Z1004,$R305,Trips!$E5:$E1004,$A305))</f>
        <v/>
      </c>
      <c r="F305" s="108">
        <f>IF($C305="","",SUMIFS(Trips!$P5:$P1004,Trips!$Z5:$Z1004,$R305,Trips!$D5:$D1004,$A305))</f>
        <v/>
      </c>
      <c r="G305" s="108">
        <f>IF($C305="","",SUMIFS(Trips!$Q5:$Q1004,Trips!$Z5:$Z1004,$R305,Trips!$D5:$D1004,$A305))</f>
        <v/>
      </c>
      <c r="H305" s="107">
        <f>IF(AND($C305="",$I305="",$J305=""),"",N($E305)+N($F305)+N($G305))</f>
        <v/>
      </c>
      <c r="I305" s="108">
        <f>IF($A305="","",IFERROR(1/(1/SUMIFS(Expenses!$F5:$F1004,Expenses!$B5:$B1004,"Cash Advance",Expenses!$J5:$J1004,$R305,Expenses!$E5:$E1004,$A305)),""))</f>
        <v/>
      </c>
      <c r="J305" s="108">
        <f>IF($A305="","",IFERROR(1/(1/SUMIFS(Expenses!$F5:$F1004,Expenses!$B5:$B1004,"Payroll Payout",Expenses!$J5:$J1004,$R305,Expenses!$E5:$E1004,$A305)),""))</f>
        <v/>
      </c>
      <c r="K305" s="109">
        <f>IF($H305="","",N($H305)-N($I305)-N($J305))</f>
        <v/>
      </c>
      <c r="L305" s="110">
        <f>IF($K305="","",IF($K305&gt;0.5,"TO PAY",IF($K305&lt;-0.5,"ADVANCE / OWES","SETTLED")))</f>
        <v/>
      </c>
      <c r="R305" s="111" t="n">
        <v>46661</v>
      </c>
    </row>
    <row r="306">
      <c r="A306" s="103">
        <f>IF(Setup!$A82="","",Setup!$A82)</f>
        <v/>
      </c>
      <c r="B306" s="104">
        <f>IF($A306="","",Setup!$B82)</f>
        <v/>
      </c>
      <c r="C306" s="105">
        <f>IF($A306="","",IF(COUNTIFS(Trips!$Z5:$Z1004,$R306,Trips!$D5:$D1004,$A306)+COUNTIFS(Trips!$Z5:$Z1004,$R306,Trips!$E5:$E1004,$A306)=0,"",COUNTIFS(Trips!$Z5:$Z1004,$R306,Trips!$D5:$D1004,$A306)+COUNTIFS(Trips!$Z5:$Z1004,$R306,Trips!$E5:$E1004,$A306)))</f>
        <v/>
      </c>
      <c r="D306" s="106">
        <f>IF($C306="","",SUMIFS(Trips!$K5:$K1004,Trips!$Z5:$Z1004,$R306,Trips!$D5:$D1004,$A306)+SUMIFS(Trips!$K5:$K1004,Trips!$Z5:$Z1004,$R306,Trips!$E5:$E1004,$A306))</f>
        <v/>
      </c>
      <c r="E306" s="107">
        <f>IF($C306="","",SUMIFS(Trips!$N5:$N1004,Trips!$Z5:$Z1004,$R306,Trips!$D5:$D1004,$A306)+SUMIFS(Trips!$O5:$O1004,Trips!$Z5:$Z1004,$R306,Trips!$E5:$E1004,$A306))</f>
        <v/>
      </c>
      <c r="F306" s="108">
        <f>IF($C306="","",SUMIFS(Trips!$P5:$P1004,Trips!$Z5:$Z1004,$R306,Trips!$D5:$D1004,$A306))</f>
        <v/>
      </c>
      <c r="G306" s="108">
        <f>IF($C306="","",SUMIFS(Trips!$Q5:$Q1004,Trips!$Z5:$Z1004,$R306,Trips!$D5:$D1004,$A306))</f>
        <v/>
      </c>
      <c r="H306" s="107">
        <f>IF(AND($C306="",$I306="",$J306=""),"",N($E306)+N($F306)+N($G306))</f>
        <v/>
      </c>
      <c r="I306" s="108">
        <f>IF($A306="","",IFERROR(1/(1/SUMIFS(Expenses!$F5:$F1004,Expenses!$B5:$B1004,"Cash Advance",Expenses!$J5:$J1004,$R306,Expenses!$E5:$E1004,$A306)),""))</f>
        <v/>
      </c>
      <c r="J306" s="108">
        <f>IF($A306="","",IFERROR(1/(1/SUMIFS(Expenses!$F5:$F1004,Expenses!$B5:$B1004,"Payroll Payout",Expenses!$J5:$J1004,$R306,Expenses!$E5:$E1004,$A306)),""))</f>
        <v/>
      </c>
      <c r="K306" s="109">
        <f>IF($H306="","",N($H306)-N($I306)-N($J306))</f>
        <v/>
      </c>
      <c r="L306" s="110">
        <f>IF($K306="","",IF($K306&gt;0.5,"TO PAY",IF($K306&lt;-0.5,"ADVANCE / OWES","SETTLED")))</f>
        <v/>
      </c>
      <c r="R306" s="111" t="n">
        <v>46661</v>
      </c>
    </row>
    <row r="307">
      <c r="A307" s="103">
        <f>IF(Setup!$A83="","",Setup!$A83)</f>
        <v/>
      </c>
      <c r="B307" s="104">
        <f>IF($A307="","",Setup!$B83)</f>
        <v/>
      </c>
      <c r="C307" s="105">
        <f>IF($A307="","",IF(COUNTIFS(Trips!$Z5:$Z1004,$R307,Trips!$D5:$D1004,$A307)+COUNTIFS(Trips!$Z5:$Z1004,$R307,Trips!$E5:$E1004,$A307)=0,"",COUNTIFS(Trips!$Z5:$Z1004,$R307,Trips!$D5:$D1004,$A307)+COUNTIFS(Trips!$Z5:$Z1004,$R307,Trips!$E5:$E1004,$A307)))</f>
        <v/>
      </c>
      <c r="D307" s="106">
        <f>IF($C307="","",SUMIFS(Trips!$K5:$K1004,Trips!$Z5:$Z1004,$R307,Trips!$D5:$D1004,$A307)+SUMIFS(Trips!$K5:$K1004,Trips!$Z5:$Z1004,$R307,Trips!$E5:$E1004,$A307))</f>
        <v/>
      </c>
      <c r="E307" s="107">
        <f>IF($C307="","",SUMIFS(Trips!$N5:$N1004,Trips!$Z5:$Z1004,$R307,Trips!$D5:$D1004,$A307)+SUMIFS(Trips!$O5:$O1004,Trips!$Z5:$Z1004,$R307,Trips!$E5:$E1004,$A307))</f>
        <v/>
      </c>
      <c r="F307" s="108">
        <f>IF($C307="","",SUMIFS(Trips!$P5:$P1004,Trips!$Z5:$Z1004,$R307,Trips!$D5:$D1004,$A307))</f>
        <v/>
      </c>
      <c r="G307" s="108">
        <f>IF($C307="","",SUMIFS(Trips!$Q5:$Q1004,Trips!$Z5:$Z1004,$R307,Trips!$D5:$D1004,$A307))</f>
        <v/>
      </c>
      <c r="H307" s="107">
        <f>IF(AND($C307="",$I307="",$J307=""),"",N($E307)+N($F307)+N($G307))</f>
        <v/>
      </c>
      <c r="I307" s="108">
        <f>IF($A307="","",IFERROR(1/(1/SUMIFS(Expenses!$F5:$F1004,Expenses!$B5:$B1004,"Cash Advance",Expenses!$J5:$J1004,$R307,Expenses!$E5:$E1004,$A307)),""))</f>
        <v/>
      </c>
      <c r="J307" s="108">
        <f>IF($A307="","",IFERROR(1/(1/SUMIFS(Expenses!$F5:$F1004,Expenses!$B5:$B1004,"Payroll Payout",Expenses!$J5:$J1004,$R307,Expenses!$E5:$E1004,$A307)),""))</f>
        <v/>
      </c>
      <c r="K307" s="109">
        <f>IF($H307="","",N($H307)-N($I307)-N($J307))</f>
        <v/>
      </c>
      <c r="L307" s="110">
        <f>IF($K307="","",IF($K307&gt;0.5,"TO PAY",IF($K307&lt;-0.5,"ADVANCE / OWES","SETTLED")))</f>
        <v/>
      </c>
      <c r="R307" s="111" t="n">
        <v>46661</v>
      </c>
    </row>
    <row r="308">
      <c r="A308" s="103">
        <f>IF(Setup!$A84="","",Setup!$A84)</f>
        <v/>
      </c>
      <c r="B308" s="104">
        <f>IF($A308="","",Setup!$B84)</f>
        <v/>
      </c>
      <c r="C308" s="105">
        <f>IF($A308="","",IF(COUNTIFS(Trips!$Z5:$Z1004,$R308,Trips!$D5:$D1004,$A308)+COUNTIFS(Trips!$Z5:$Z1004,$R308,Trips!$E5:$E1004,$A308)=0,"",COUNTIFS(Trips!$Z5:$Z1004,$R308,Trips!$D5:$D1004,$A308)+COUNTIFS(Trips!$Z5:$Z1004,$R308,Trips!$E5:$E1004,$A308)))</f>
        <v/>
      </c>
      <c r="D308" s="106">
        <f>IF($C308="","",SUMIFS(Trips!$K5:$K1004,Trips!$Z5:$Z1004,$R308,Trips!$D5:$D1004,$A308)+SUMIFS(Trips!$K5:$K1004,Trips!$Z5:$Z1004,$R308,Trips!$E5:$E1004,$A308))</f>
        <v/>
      </c>
      <c r="E308" s="107">
        <f>IF($C308="","",SUMIFS(Trips!$N5:$N1004,Trips!$Z5:$Z1004,$R308,Trips!$D5:$D1004,$A308)+SUMIFS(Trips!$O5:$O1004,Trips!$Z5:$Z1004,$R308,Trips!$E5:$E1004,$A308))</f>
        <v/>
      </c>
      <c r="F308" s="108">
        <f>IF($C308="","",SUMIFS(Trips!$P5:$P1004,Trips!$Z5:$Z1004,$R308,Trips!$D5:$D1004,$A308))</f>
        <v/>
      </c>
      <c r="G308" s="108">
        <f>IF($C308="","",SUMIFS(Trips!$Q5:$Q1004,Trips!$Z5:$Z1004,$R308,Trips!$D5:$D1004,$A308))</f>
        <v/>
      </c>
      <c r="H308" s="107">
        <f>IF(AND($C308="",$I308="",$J308=""),"",N($E308)+N($F308)+N($G308))</f>
        <v/>
      </c>
      <c r="I308" s="108">
        <f>IF($A308="","",IFERROR(1/(1/SUMIFS(Expenses!$F5:$F1004,Expenses!$B5:$B1004,"Cash Advance",Expenses!$J5:$J1004,$R308,Expenses!$E5:$E1004,$A308)),""))</f>
        <v/>
      </c>
      <c r="J308" s="108">
        <f>IF($A308="","",IFERROR(1/(1/SUMIFS(Expenses!$F5:$F1004,Expenses!$B5:$B1004,"Payroll Payout",Expenses!$J5:$J1004,$R308,Expenses!$E5:$E1004,$A308)),""))</f>
        <v/>
      </c>
      <c r="K308" s="109">
        <f>IF($H308="","",N($H308)-N($I308)-N($J308))</f>
        <v/>
      </c>
      <c r="L308" s="110">
        <f>IF($K308="","",IF($K308&gt;0.5,"TO PAY",IF($K308&lt;-0.5,"ADVANCE / OWES","SETTLED")))</f>
        <v/>
      </c>
      <c r="R308" s="111" t="n">
        <v>46661</v>
      </c>
    </row>
    <row r="309">
      <c r="A309" s="103">
        <f>IF(Setup!$A85="","",Setup!$A85)</f>
        <v/>
      </c>
      <c r="B309" s="104">
        <f>IF($A309="","",Setup!$B85)</f>
        <v/>
      </c>
      <c r="C309" s="105">
        <f>IF($A309="","",IF(COUNTIFS(Trips!$Z5:$Z1004,$R309,Trips!$D5:$D1004,$A309)+COUNTIFS(Trips!$Z5:$Z1004,$R309,Trips!$E5:$E1004,$A309)=0,"",COUNTIFS(Trips!$Z5:$Z1004,$R309,Trips!$D5:$D1004,$A309)+COUNTIFS(Trips!$Z5:$Z1004,$R309,Trips!$E5:$E1004,$A309)))</f>
        <v/>
      </c>
      <c r="D309" s="106">
        <f>IF($C309="","",SUMIFS(Trips!$K5:$K1004,Trips!$Z5:$Z1004,$R309,Trips!$D5:$D1004,$A309)+SUMIFS(Trips!$K5:$K1004,Trips!$Z5:$Z1004,$R309,Trips!$E5:$E1004,$A309))</f>
        <v/>
      </c>
      <c r="E309" s="107">
        <f>IF($C309="","",SUMIFS(Trips!$N5:$N1004,Trips!$Z5:$Z1004,$R309,Trips!$D5:$D1004,$A309)+SUMIFS(Trips!$O5:$O1004,Trips!$Z5:$Z1004,$R309,Trips!$E5:$E1004,$A309))</f>
        <v/>
      </c>
      <c r="F309" s="108">
        <f>IF($C309="","",SUMIFS(Trips!$P5:$P1004,Trips!$Z5:$Z1004,$R309,Trips!$D5:$D1004,$A309))</f>
        <v/>
      </c>
      <c r="G309" s="108">
        <f>IF($C309="","",SUMIFS(Trips!$Q5:$Q1004,Trips!$Z5:$Z1004,$R309,Trips!$D5:$D1004,$A309))</f>
        <v/>
      </c>
      <c r="H309" s="107">
        <f>IF(AND($C309="",$I309="",$J309=""),"",N($E309)+N($F309)+N($G309))</f>
        <v/>
      </c>
      <c r="I309" s="108">
        <f>IF($A309="","",IFERROR(1/(1/SUMIFS(Expenses!$F5:$F1004,Expenses!$B5:$B1004,"Cash Advance",Expenses!$J5:$J1004,$R309,Expenses!$E5:$E1004,$A309)),""))</f>
        <v/>
      </c>
      <c r="J309" s="108">
        <f>IF($A309="","",IFERROR(1/(1/SUMIFS(Expenses!$F5:$F1004,Expenses!$B5:$B1004,"Payroll Payout",Expenses!$J5:$J1004,$R309,Expenses!$E5:$E1004,$A309)),""))</f>
        <v/>
      </c>
      <c r="K309" s="109">
        <f>IF($H309="","",N($H309)-N($I309)-N($J309))</f>
        <v/>
      </c>
      <c r="L309" s="110">
        <f>IF($K309="","",IF($K309&gt;0.5,"TO PAY",IF($K309&lt;-0.5,"ADVANCE / OWES","SETTLED")))</f>
        <v/>
      </c>
      <c r="R309" s="111" t="n">
        <v>46661</v>
      </c>
    </row>
    <row r="310">
      <c r="A310" s="103">
        <f>IF(Setup!$A86="","",Setup!$A86)</f>
        <v/>
      </c>
      <c r="B310" s="104">
        <f>IF($A310="","",Setup!$B86)</f>
        <v/>
      </c>
      <c r="C310" s="105">
        <f>IF($A310="","",IF(COUNTIFS(Trips!$Z5:$Z1004,$R310,Trips!$D5:$D1004,$A310)+COUNTIFS(Trips!$Z5:$Z1004,$R310,Trips!$E5:$E1004,$A310)=0,"",COUNTIFS(Trips!$Z5:$Z1004,$R310,Trips!$D5:$D1004,$A310)+COUNTIFS(Trips!$Z5:$Z1004,$R310,Trips!$E5:$E1004,$A310)))</f>
        <v/>
      </c>
      <c r="D310" s="106">
        <f>IF($C310="","",SUMIFS(Trips!$K5:$K1004,Trips!$Z5:$Z1004,$R310,Trips!$D5:$D1004,$A310)+SUMIFS(Trips!$K5:$K1004,Trips!$Z5:$Z1004,$R310,Trips!$E5:$E1004,$A310))</f>
        <v/>
      </c>
      <c r="E310" s="107">
        <f>IF($C310="","",SUMIFS(Trips!$N5:$N1004,Trips!$Z5:$Z1004,$R310,Trips!$D5:$D1004,$A310)+SUMIFS(Trips!$O5:$O1004,Trips!$Z5:$Z1004,$R310,Trips!$E5:$E1004,$A310))</f>
        <v/>
      </c>
      <c r="F310" s="108">
        <f>IF($C310="","",SUMIFS(Trips!$P5:$P1004,Trips!$Z5:$Z1004,$R310,Trips!$D5:$D1004,$A310))</f>
        <v/>
      </c>
      <c r="G310" s="108">
        <f>IF($C310="","",SUMIFS(Trips!$Q5:$Q1004,Trips!$Z5:$Z1004,$R310,Trips!$D5:$D1004,$A310))</f>
        <v/>
      </c>
      <c r="H310" s="107">
        <f>IF(AND($C310="",$I310="",$J310=""),"",N($E310)+N($F310)+N($G310))</f>
        <v/>
      </c>
      <c r="I310" s="108">
        <f>IF($A310="","",IFERROR(1/(1/SUMIFS(Expenses!$F5:$F1004,Expenses!$B5:$B1004,"Cash Advance",Expenses!$J5:$J1004,$R310,Expenses!$E5:$E1004,$A310)),""))</f>
        <v/>
      </c>
      <c r="J310" s="108">
        <f>IF($A310="","",IFERROR(1/(1/SUMIFS(Expenses!$F5:$F1004,Expenses!$B5:$B1004,"Payroll Payout",Expenses!$J5:$J1004,$R310,Expenses!$E5:$E1004,$A310)),""))</f>
        <v/>
      </c>
      <c r="K310" s="109">
        <f>IF($H310="","",N($H310)-N($I310)-N($J310))</f>
        <v/>
      </c>
      <c r="L310" s="110">
        <f>IF($K310="","",IF($K310&gt;0.5,"TO PAY",IF($K310&lt;-0.5,"ADVANCE / OWES","SETTLED")))</f>
        <v/>
      </c>
      <c r="R310" s="111" t="n">
        <v>46661</v>
      </c>
    </row>
    <row r="311">
      <c r="A311" s="103">
        <f>IF(Setup!$A87="","",Setup!$A87)</f>
        <v/>
      </c>
      <c r="B311" s="104">
        <f>IF($A311="","",Setup!$B87)</f>
        <v/>
      </c>
      <c r="C311" s="105">
        <f>IF($A311="","",IF(COUNTIFS(Trips!$Z5:$Z1004,$R311,Trips!$D5:$D1004,$A311)+COUNTIFS(Trips!$Z5:$Z1004,$R311,Trips!$E5:$E1004,$A311)=0,"",COUNTIFS(Trips!$Z5:$Z1004,$R311,Trips!$D5:$D1004,$A311)+COUNTIFS(Trips!$Z5:$Z1004,$R311,Trips!$E5:$E1004,$A311)))</f>
        <v/>
      </c>
      <c r="D311" s="106">
        <f>IF($C311="","",SUMIFS(Trips!$K5:$K1004,Trips!$Z5:$Z1004,$R311,Trips!$D5:$D1004,$A311)+SUMIFS(Trips!$K5:$K1004,Trips!$Z5:$Z1004,$R311,Trips!$E5:$E1004,$A311))</f>
        <v/>
      </c>
      <c r="E311" s="107">
        <f>IF($C311="","",SUMIFS(Trips!$N5:$N1004,Trips!$Z5:$Z1004,$R311,Trips!$D5:$D1004,$A311)+SUMIFS(Trips!$O5:$O1004,Trips!$Z5:$Z1004,$R311,Trips!$E5:$E1004,$A311))</f>
        <v/>
      </c>
      <c r="F311" s="108">
        <f>IF($C311="","",SUMIFS(Trips!$P5:$P1004,Trips!$Z5:$Z1004,$R311,Trips!$D5:$D1004,$A311))</f>
        <v/>
      </c>
      <c r="G311" s="108">
        <f>IF($C311="","",SUMIFS(Trips!$Q5:$Q1004,Trips!$Z5:$Z1004,$R311,Trips!$D5:$D1004,$A311))</f>
        <v/>
      </c>
      <c r="H311" s="107">
        <f>IF(AND($C311="",$I311="",$J311=""),"",N($E311)+N($F311)+N($G311))</f>
        <v/>
      </c>
      <c r="I311" s="108">
        <f>IF($A311="","",IFERROR(1/(1/SUMIFS(Expenses!$F5:$F1004,Expenses!$B5:$B1004,"Cash Advance",Expenses!$J5:$J1004,$R311,Expenses!$E5:$E1004,$A311)),""))</f>
        <v/>
      </c>
      <c r="J311" s="108">
        <f>IF($A311="","",IFERROR(1/(1/SUMIFS(Expenses!$F5:$F1004,Expenses!$B5:$B1004,"Payroll Payout",Expenses!$J5:$J1004,$R311,Expenses!$E5:$E1004,$A311)),""))</f>
        <v/>
      </c>
      <c r="K311" s="109">
        <f>IF($H311="","",N($H311)-N($I311)-N($J311))</f>
        <v/>
      </c>
      <c r="L311" s="110">
        <f>IF($K311="","",IF($K311&gt;0.5,"TO PAY",IF($K311&lt;-0.5,"ADVANCE / OWES","SETTLED")))</f>
        <v/>
      </c>
      <c r="R311" s="111" t="n">
        <v>46661</v>
      </c>
    </row>
    <row r="312">
      <c r="A312" s="112" t="inlineStr">
        <is>
          <t>MONTH TOTAL</t>
        </is>
      </c>
      <c r="B312" s="113" t="n"/>
      <c r="C312" s="114">
        <f>IF(COUNT(C300:C311)=0,"",SUM(C300:C311))</f>
        <v/>
      </c>
      <c r="D312" s="115">
        <f>IF(COUNT(D300:D311)=0,"",SUM(D300:D311))</f>
        <v/>
      </c>
      <c r="E312" s="116">
        <f>IF(COUNT(E300:E311)=0,"",SUM(E300:E311))</f>
        <v/>
      </c>
      <c r="F312" s="116">
        <f>IF(COUNT(F300:F311)=0,"",SUM(F300:F311))</f>
        <v/>
      </c>
      <c r="G312" s="116">
        <f>IF(COUNT(G300:G311)=0,"",SUM(G300:G311))</f>
        <v/>
      </c>
      <c r="H312" s="116">
        <f>IF(COUNT(H300:H311)=0,"",SUM(H300:H311))</f>
        <v/>
      </c>
      <c r="I312" s="116">
        <f>IF(COUNT(I300:I311)=0,"",SUM(I300:I311))</f>
        <v/>
      </c>
      <c r="J312" s="116">
        <f>IF(COUNT(J300:J311)=0,"",SUM(J300:J311))</f>
        <v/>
      </c>
      <c r="K312" s="116">
        <f>IF(COUNT(K300:K311)=0,"",SUM(K300:K311))</f>
        <v/>
      </c>
      <c r="L312" s="117" t="n"/>
    </row>
    <row r="313" ht="24" customHeight="1">
      <c r="A313" s="102" t="inlineStr">
        <is>
          <t>NOVEMBER 2027   ·   crew earnings &amp; settlement</t>
        </is>
      </c>
    </row>
    <row r="314">
      <c r="A314" s="103">
        <f>IF(Setup!$A76="","",Setup!$A76)</f>
        <v/>
      </c>
      <c r="B314" s="104">
        <f>IF($A314="","",Setup!$B76)</f>
        <v/>
      </c>
      <c r="C314" s="105">
        <f>IF($A314="","",IF(COUNTIFS(Trips!$Z5:$Z1004,$R314,Trips!$D5:$D1004,$A314)+COUNTIFS(Trips!$Z5:$Z1004,$R314,Trips!$E5:$E1004,$A314)=0,"",COUNTIFS(Trips!$Z5:$Z1004,$R314,Trips!$D5:$D1004,$A314)+COUNTIFS(Trips!$Z5:$Z1004,$R314,Trips!$E5:$E1004,$A314)))</f>
        <v/>
      </c>
      <c r="D314" s="106">
        <f>IF($C314="","",SUMIFS(Trips!$K5:$K1004,Trips!$Z5:$Z1004,$R314,Trips!$D5:$D1004,$A314)+SUMIFS(Trips!$K5:$K1004,Trips!$Z5:$Z1004,$R314,Trips!$E5:$E1004,$A314))</f>
        <v/>
      </c>
      <c r="E314" s="107">
        <f>IF($C314="","",SUMIFS(Trips!$N5:$N1004,Trips!$Z5:$Z1004,$R314,Trips!$D5:$D1004,$A314)+SUMIFS(Trips!$O5:$O1004,Trips!$Z5:$Z1004,$R314,Trips!$E5:$E1004,$A314))</f>
        <v/>
      </c>
      <c r="F314" s="108">
        <f>IF($C314="","",SUMIFS(Trips!$P5:$P1004,Trips!$Z5:$Z1004,$R314,Trips!$D5:$D1004,$A314))</f>
        <v/>
      </c>
      <c r="G314" s="108">
        <f>IF($C314="","",SUMIFS(Trips!$Q5:$Q1004,Trips!$Z5:$Z1004,$R314,Trips!$D5:$D1004,$A314))</f>
        <v/>
      </c>
      <c r="H314" s="107">
        <f>IF(AND($C314="",$I314="",$J314=""),"",N($E314)+N($F314)+N($G314))</f>
        <v/>
      </c>
      <c r="I314" s="108">
        <f>IF($A314="","",IFERROR(1/(1/SUMIFS(Expenses!$F5:$F1004,Expenses!$B5:$B1004,"Cash Advance",Expenses!$J5:$J1004,$R314,Expenses!$E5:$E1004,$A314)),""))</f>
        <v/>
      </c>
      <c r="J314" s="108">
        <f>IF($A314="","",IFERROR(1/(1/SUMIFS(Expenses!$F5:$F1004,Expenses!$B5:$B1004,"Payroll Payout",Expenses!$J5:$J1004,$R314,Expenses!$E5:$E1004,$A314)),""))</f>
        <v/>
      </c>
      <c r="K314" s="109">
        <f>IF($H314="","",N($H314)-N($I314)-N($J314))</f>
        <v/>
      </c>
      <c r="L314" s="110">
        <f>IF($K314="","",IF($K314&gt;0.5,"TO PAY",IF($K314&lt;-0.5,"ADVANCE / OWES","SETTLED")))</f>
        <v/>
      </c>
      <c r="R314" s="111" t="n">
        <v>46692</v>
      </c>
    </row>
    <row r="315">
      <c r="A315" s="103">
        <f>IF(Setup!$A77="","",Setup!$A77)</f>
        <v/>
      </c>
      <c r="B315" s="104">
        <f>IF($A315="","",Setup!$B77)</f>
        <v/>
      </c>
      <c r="C315" s="105">
        <f>IF($A315="","",IF(COUNTIFS(Trips!$Z5:$Z1004,$R315,Trips!$D5:$D1004,$A315)+COUNTIFS(Trips!$Z5:$Z1004,$R315,Trips!$E5:$E1004,$A315)=0,"",COUNTIFS(Trips!$Z5:$Z1004,$R315,Trips!$D5:$D1004,$A315)+COUNTIFS(Trips!$Z5:$Z1004,$R315,Trips!$E5:$E1004,$A315)))</f>
        <v/>
      </c>
      <c r="D315" s="106">
        <f>IF($C315="","",SUMIFS(Trips!$K5:$K1004,Trips!$Z5:$Z1004,$R315,Trips!$D5:$D1004,$A315)+SUMIFS(Trips!$K5:$K1004,Trips!$Z5:$Z1004,$R315,Trips!$E5:$E1004,$A315))</f>
        <v/>
      </c>
      <c r="E315" s="107">
        <f>IF($C315="","",SUMIFS(Trips!$N5:$N1004,Trips!$Z5:$Z1004,$R315,Trips!$D5:$D1004,$A315)+SUMIFS(Trips!$O5:$O1004,Trips!$Z5:$Z1004,$R315,Trips!$E5:$E1004,$A315))</f>
        <v/>
      </c>
      <c r="F315" s="108">
        <f>IF($C315="","",SUMIFS(Trips!$P5:$P1004,Trips!$Z5:$Z1004,$R315,Trips!$D5:$D1004,$A315))</f>
        <v/>
      </c>
      <c r="G315" s="108">
        <f>IF($C315="","",SUMIFS(Trips!$Q5:$Q1004,Trips!$Z5:$Z1004,$R315,Trips!$D5:$D1004,$A315))</f>
        <v/>
      </c>
      <c r="H315" s="107">
        <f>IF(AND($C315="",$I315="",$J315=""),"",N($E315)+N($F315)+N($G315))</f>
        <v/>
      </c>
      <c r="I315" s="108">
        <f>IF($A315="","",IFERROR(1/(1/SUMIFS(Expenses!$F5:$F1004,Expenses!$B5:$B1004,"Cash Advance",Expenses!$J5:$J1004,$R315,Expenses!$E5:$E1004,$A315)),""))</f>
        <v/>
      </c>
      <c r="J315" s="108">
        <f>IF($A315="","",IFERROR(1/(1/SUMIFS(Expenses!$F5:$F1004,Expenses!$B5:$B1004,"Payroll Payout",Expenses!$J5:$J1004,$R315,Expenses!$E5:$E1004,$A315)),""))</f>
        <v/>
      </c>
      <c r="K315" s="109">
        <f>IF($H315="","",N($H315)-N($I315)-N($J315))</f>
        <v/>
      </c>
      <c r="L315" s="110">
        <f>IF($K315="","",IF($K315&gt;0.5,"TO PAY",IF($K315&lt;-0.5,"ADVANCE / OWES","SETTLED")))</f>
        <v/>
      </c>
      <c r="R315" s="111" t="n">
        <v>46692</v>
      </c>
    </row>
    <row r="316">
      <c r="A316" s="103">
        <f>IF(Setup!$A78="","",Setup!$A78)</f>
        <v/>
      </c>
      <c r="B316" s="104">
        <f>IF($A316="","",Setup!$B78)</f>
        <v/>
      </c>
      <c r="C316" s="105">
        <f>IF($A316="","",IF(COUNTIFS(Trips!$Z5:$Z1004,$R316,Trips!$D5:$D1004,$A316)+COUNTIFS(Trips!$Z5:$Z1004,$R316,Trips!$E5:$E1004,$A316)=0,"",COUNTIFS(Trips!$Z5:$Z1004,$R316,Trips!$D5:$D1004,$A316)+COUNTIFS(Trips!$Z5:$Z1004,$R316,Trips!$E5:$E1004,$A316)))</f>
        <v/>
      </c>
      <c r="D316" s="106">
        <f>IF($C316="","",SUMIFS(Trips!$K5:$K1004,Trips!$Z5:$Z1004,$R316,Trips!$D5:$D1004,$A316)+SUMIFS(Trips!$K5:$K1004,Trips!$Z5:$Z1004,$R316,Trips!$E5:$E1004,$A316))</f>
        <v/>
      </c>
      <c r="E316" s="107">
        <f>IF($C316="","",SUMIFS(Trips!$N5:$N1004,Trips!$Z5:$Z1004,$R316,Trips!$D5:$D1004,$A316)+SUMIFS(Trips!$O5:$O1004,Trips!$Z5:$Z1004,$R316,Trips!$E5:$E1004,$A316))</f>
        <v/>
      </c>
      <c r="F316" s="108">
        <f>IF($C316="","",SUMIFS(Trips!$P5:$P1004,Trips!$Z5:$Z1004,$R316,Trips!$D5:$D1004,$A316))</f>
        <v/>
      </c>
      <c r="G316" s="108">
        <f>IF($C316="","",SUMIFS(Trips!$Q5:$Q1004,Trips!$Z5:$Z1004,$R316,Trips!$D5:$D1004,$A316))</f>
        <v/>
      </c>
      <c r="H316" s="107">
        <f>IF(AND($C316="",$I316="",$J316=""),"",N($E316)+N($F316)+N($G316))</f>
        <v/>
      </c>
      <c r="I316" s="108">
        <f>IF($A316="","",IFERROR(1/(1/SUMIFS(Expenses!$F5:$F1004,Expenses!$B5:$B1004,"Cash Advance",Expenses!$J5:$J1004,$R316,Expenses!$E5:$E1004,$A316)),""))</f>
        <v/>
      </c>
      <c r="J316" s="108">
        <f>IF($A316="","",IFERROR(1/(1/SUMIFS(Expenses!$F5:$F1004,Expenses!$B5:$B1004,"Payroll Payout",Expenses!$J5:$J1004,$R316,Expenses!$E5:$E1004,$A316)),""))</f>
        <v/>
      </c>
      <c r="K316" s="109">
        <f>IF($H316="","",N($H316)-N($I316)-N($J316))</f>
        <v/>
      </c>
      <c r="L316" s="110">
        <f>IF($K316="","",IF($K316&gt;0.5,"TO PAY",IF($K316&lt;-0.5,"ADVANCE / OWES","SETTLED")))</f>
        <v/>
      </c>
      <c r="R316" s="111" t="n">
        <v>46692</v>
      </c>
    </row>
    <row r="317">
      <c r="A317" s="103">
        <f>IF(Setup!$A79="","",Setup!$A79)</f>
        <v/>
      </c>
      <c r="B317" s="104">
        <f>IF($A317="","",Setup!$B79)</f>
        <v/>
      </c>
      <c r="C317" s="105">
        <f>IF($A317="","",IF(COUNTIFS(Trips!$Z5:$Z1004,$R317,Trips!$D5:$D1004,$A317)+COUNTIFS(Trips!$Z5:$Z1004,$R317,Trips!$E5:$E1004,$A317)=0,"",COUNTIFS(Trips!$Z5:$Z1004,$R317,Trips!$D5:$D1004,$A317)+COUNTIFS(Trips!$Z5:$Z1004,$R317,Trips!$E5:$E1004,$A317)))</f>
        <v/>
      </c>
      <c r="D317" s="106">
        <f>IF($C317="","",SUMIFS(Trips!$K5:$K1004,Trips!$Z5:$Z1004,$R317,Trips!$D5:$D1004,$A317)+SUMIFS(Trips!$K5:$K1004,Trips!$Z5:$Z1004,$R317,Trips!$E5:$E1004,$A317))</f>
        <v/>
      </c>
      <c r="E317" s="107">
        <f>IF($C317="","",SUMIFS(Trips!$N5:$N1004,Trips!$Z5:$Z1004,$R317,Trips!$D5:$D1004,$A317)+SUMIFS(Trips!$O5:$O1004,Trips!$Z5:$Z1004,$R317,Trips!$E5:$E1004,$A317))</f>
        <v/>
      </c>
      <c r="F317" s="108">
        <f>IF($C317="","",SUMIFS(Trips!$P5:$P1004,Trips!$Z5:$Z1004,$R317,Trips!$D5:$D1004,$A317))</f>
        <v/>
      </c>
      <c r="G317" s="108">
        <f>IF($C317="","",SUMIFS(Trips!$Q5:$Q1004,Trips!$Z5:$Z1004,$R317,Trips!$D5:$D1004,$A317))</f>
        <v/>
      </c>
      <c r="H317" s="107">
        <f>IF(AND($C317="",$I317="",$J317=""),"",N($E317)+N($F317)+N($G317))</f>
        <v/>
      </c>
      <c r="I317" s="108">
        <f>IF($A317="","",IFERROR(1/(1/SUMIFS(Expenses!$F5:$F1004,Expenses!$B5:$B1004,"Cash Advance",Expenses!$J5:$J1004,$R317,Expenses!$E5:$E1004,$A317)),""))</f>
        <v/>
      </c>
      <c r="J317" s="108">
        <f>IF($A317="","",IFERROR(1/(1/SUMIFS(Expenses!$F5:$F1004,Expenses!$B5:$B1004,"Payroll Payout",Expenses!$J5:$J1004,$R317,Expenses!$E5:$E1004,$A317)),""))</f>
        <v/>
      </c>
      <c r="K317" s="109">
        <f>IF($H317="","",N($H317)-N($I317)-N($J317))</f>
        <v/>
      </c>
      <c r="L317" s="110">
        <f>IF($K317="","",IF($K317&gt;0.5,"TO PAY",IF($K317&lt;-0.5,"ADVANCE / OWES","SETTLED")))</f>
        <v/>
      </c>
      <c r="R317" s="111" t="n">
        <v>46692</v>
      </c>
    </row>
    <row r="318">
      <c r="A318" s="103">
        <f>IF(Setup!$A80="","",Setup!$A80)</f>
        <v/>
      </c>
      <c r="B318" s="104">
        <f>IF($A318="","",Setup!$B80)</f>
        <v/>
      </c>
      <c r="C318" s="105">
        <f>IF($A318="","",IF(COUNTIFS(Trips!$Z5:$Z1004,$R318,Trips!$D5:$D1004,$A318)+COUNTIFS(Trips!$Z5:$Z1004,$R318,Trips!$E5:$E1004,$A318)=0,"",COUNTIFS(Trips!$Z5:$Z1004,$R318,Trips!$D5:$D1004,$A318)+COUNTIFS(Trips!$Z5:$Z1004,$R318,Trips!$E5:$E1004,$A318)))</f>
        <v/>
      </c>
      <c r="D318" s="106">
        <f>IF($C318="","",SUMIFS(Trips!$K5:$K1004,Trips!$Z5:$Z1004,$R318,Trips!$D5:$D1004,$A318)+SUMIFS(Trips!$K5:$K1004,Trips!$Z5:$Z1004,$R318,Trips!$E5:$E1004,$A318))</f>
        <v/>
      </c>
      <c r="E318" s="107">
        <f>IF($C318="","",SUMIFS(Trips!$N5:$N1004,Trips!$Z5:$Z1004,$R318,Trips!$D5:$D1004,$A318)+SUMIFS(Trips!$O5:$O1004,Trips!$Z5:$Z1004,$R318,Trips!$E5:$E1004,$A318))</f>
        <v/>
      </c>
      <c r="F318" s="108">
        <f>IF($C318="","",SUMIFS(Trips!$P5:$P1004,Trips!$Z5:$Z1004,$R318,Trips!$D5:$D1004,$A318))</f>
        <v/>
      </c>
      <c r="G318" s="108">
        <f>IF($C318="","",SUMIFS(Trips!$Q5:$Q1004,Trips!$Z5:$Z1004,$R318,Trips!$D5:$D1004,$A318))</f>
        <v/>
      </c>
      <c r="H318" s="107">
        <f>IF(AND($C318="",$I318="",$J318=""),"",N($E318)+N($F318)+N($G318))</f>
        <v/>
      </c>
      <c r="I318" s="108">
        <f>IF($A318="","",IFERROR(1/(1/SUMIFS(Expenses!$F5:$F1004,Expenses!$B5:$B1004,"Cash Advance",Expenses!$J5:$J1004,$R318,Expenses!$E5:$E1004,$A318)),""))</f>
        <v/>
      </c>
      <c r="J318" s="108">
        <f>IF($A318="","",IFERROR(1/(1/SUMIFS(Expenses!$F5:$F1004,Expenses!$B5:$B1004,"Payroll Payout",Expenses!$J5:$J1004,$R318,Expenses!$E5:$E1004,$A318)),""))</f>
        <v/>
      </c>
      <c r="K318" s="109">
        <f>IF($H318="","",N($H318)-N($I318)-N($J318))</f>
        <v/>
      </c>
      <c r="L318" s="110">
        <f>IF($K318="","",IF($K318&gt;0.5,"TO PAY",IF($K318&lt;-0.5,"ADVANCE / OWES","SETTLED")))</f>
        <v/>
      </c>
      <c r="R318" s="111" t="n">
        <v>46692</v>
      </c>
    </row>
    <row r="319">
      <c r="A319" s="103">
        <f>IF(Setup!$A81="","",Setup!$A81)</f>
        <v/>
      </c>
      <c r="B319" s="104">
        <f>IF($A319="","",Setup!$B81)</f>
        <v/>
      </c>
      <c r="C319" s="105">
        <f>IF($A319="","",IF(COUNTIFS(Trips!$Z5:$Z1004,$R319,Trips!$D5:$D1004,$A319)+COUNTIFS(Trips!$Z5:$Z1004,$R319,Trips!$E5:$E1004,$A319)=0,"",COUNTIFS(Trips!$Z5:$Z1004,$R319,Trips!$D5:$D1004,$A319)+COUNTIFS(Trips!$Z5:$Z1004,$R319,Trips!$E5:$E1004,$A319)))</f>
        <v/>
      </c>
      <c r="D319" s="106">
        <f>IF($C319="","",SUMIFS(Trips!$K5:$K1004,Trips!$Z5:$Z1004,$R319,Trips!$D5:$D1004,$A319)+SUMIFS(Trips!$K5:$K1004,Trips!$Z5:$Z1004,$R319,Trips!$E5:$E1004,$A319))</f>
        <v/>
      </c>
      <c r="E319" s="107">
        <f>IF($C319="","",SUMIFS(Trips!$N5:$N1004,Trips!$Z5:$Z1004,$R319,Trips!$D5:$D1004,$A319)+SUMIFS(Trips!$O5:$O1004,Trips!$Z5:$Z1004,$R319,Trips!$E5:$E1004,$A319))</f>
        <v/>
      </c>
      <c r="F319" s="108">
        <f>IF($C319="","",SUMIFS(Trips!$P5:$P1004,Trips!$Z5:$Z1004,$R319,Trips!$D5:$D1004,$A319))</f>
        <v/>
      </c>
      <c r="G319" s="108">
        <f>IF($C319="","",SUMIFS(Trips!$Q5:$Q1004,Trips!$Z5:$Z1004,$R319,Trips!$D5:$D1004,$A319))</f>
        <v/>
      </c>
      <c r="H319" s="107">
        <f>IF(AND($C319="",$I319="",$J319=""),"",N($E319)+N($F319)+N($G319))</f>
        <v/>
      </c>
      <c r="I319" s="108">
        <f>IF($A319="","",IFERROR(1/(1/SUMIFS(Expenses!$F5:$F1004,Expenses!$B5:$B1004,"Cash Advance",Expenses!$J5:$J1004,$R319,Expenses!$E5:$E1004,$A319)),""))</f>
        <v/>
      </c>
      <c r="J319" s="108">
        <f>IF($A319="","",IFERROR(1/(1/SUMIFS(Expenses!$F5:$F1004,Expenses!$B5:$B1004,"Payroll Payout",Expenses!$J5:$J1004,$R319,Expenses!$E5:$E1004,$A319)),""))</f>
        <v/>
      </c>
      <c r="K319" s="109">
        <f>IF($H319="","",N($H319)-N($I319)-N($J319))</f>
        <v/>
      </c>
      <c r="L319" s="110">
        <f>IF($K319="","",IF($K319&gt;0.5,"TO PAY",IF($K319&lt;-0.5,"ADVANCE / OWES","SETTLED")))</f>
        <v/>
      </c>
      <c r="R319" s="111" t="n">
        <v>46692</v>
      </c>
    </row>
    <row r="320">
      <c r="A320" s="103">
        <f>IF(Setup!$A82="","",Setup!$A82)</f>
        <v/>
      </c>
      <c r="B320" s="104">
        <f>IF($A320="","",Setup!$B82)</f>
        <v/>
      </c>
      <c r="C320" s="105">
        <f>IF($A320="","",IF(COUNTIFS(Trips!$Z5:$Z1004,$R320,Trips!$D5:$D1004,$A320)+COUNTIFS(Trips!$Z5:$Z1004,$R320,Trips!$E5:$E1004,$A320)=0,"",COUNTIFS(Trips!$Z5:$Z1004,$R320,Trips!$D5:$D1004,$A320)+COUNTIFS(Trips!$Z5:$Z1004,$R320,Trips!$E5:$E1004,$A320)))</f>
        <v/>
      </c>
      <c r="D320" s="106">
        <f>IF($C320="","",SUMIFS(Trips!$K5:$K1004,Trips!$Z5:$Z1004,$R320,Trips!$D5:$D1004,$A320)+SUMIFS(Trips!$K5:$K1004,Trips!$Z5:$Z1004,$R320,Trips!$E5:$E1004,$A320))</f>
        <v/>
      </c>
      <c r="E320" s="107">
        <f>IF($C320="","",SUMIFS(Trips!$N5:$N1004,Trips!$Z5:$Z1004,$R320,Trips!$D5:$D1004,$A320)+SUMIFS(Trips!$O5:$O1004,Trips!$Z5:$Z1004,$R320,Trips!$E5:$E1004,$A320))</f>
        <v/>
      </c>
      <c r="F320" s="108">
        <f>IF($C320="","",SUMIFS(Trips!$P5:$P1004,Trips!$Z5:$Z1004,$R320,Trips!$D5:$D1004,$A320))</f>
        <v/>
      </c>
      <c r="G320" s="108">
        <f>IF($C320="","",SUMIFS(Trips!$Q5:$Q1004,Trips!$Z5:$Z1004,$R320,Trips!$D5:$D1004,$A320))</f>
        <v/>
      </c>
      <c r="H320" s="107">
        <f>IF(AND($C320="",$I320="",$J320=""),"",N($E320)+N($F320)+N($G320))</f>
        <v/>
      </c>
      <c r="I320" s="108">
        <f>IF($A320="","",IFERROR(1/(1/SUMIFS(Expenses!$F5:$F1004,Expenses!$B5:$B1004,"Cash Advance",Expenses!$J5:$J1004,$R320,Expenses!$E5:$E1004,$A320)),""))</f>
        <v/>
      </c>
      <c r="J320" s="108">
        <f>IF($A320="","",IFERROR(1/(1/SUMIFS(Expenses!$F5:$F1004,Expenses!$B5:$B1004,"Payroll Payout",Expenses!$J5:$J1004,$R320,Expenses!$E5:$E1004,$A320)),""))</f>
        <v/>
      </c>
      <c r="K320" s="109">
        <f>IF($H320="","",N($H320)-N($I320)-N($J320))</f>
        <v/>
      </c>
      <c r="L320" s="110">
        <f>IF($K320="","",IF($K320&gt;0.5,"TO PAY",IF($K320&lt;-0.5,"ADVANCE / OWES","SETTLED")))</f>
        <v/>
      </c>
      <c r="R320" s="111" t="n">
        <v>46692</v>
      </c>
    </row>
    <row r="321">
      <c r="A321" s="103">
        <f>IF(Setup!$A83="","",Setup!$A83)</f>
        <v/>
      </c>
      <c r="B321" s="104">
        <f>IF($A321="","",Setup!$B83)</f>
        <v/>
      </c>
      <c r="C321" s="105">
        <f>IF($A321="","",IF(COUNTIFS(Trips!$Z5:$Z1004,$R321,Trips!$D5:$D1004,$A321)+COUNTIFS(Trips!$Z5:$Z1004,$R321,Trips!$E5:$E1004,$A321)=0,"",COUNTIFS(Trips!$Z5:$Z1004,$R321,Trips!$D5:$D1004,$A321)+COUNTIFS(Trips!$Z5:$Z1004,$R321,Trips!$E5:$E1004,$A321)))</f>
        <v/>
      </c>
      <c r="D321" s="106">
        <f>IF($C321="","",SUMIFS(Trips!$K5:$K1004,Trips!$Z5:$Z1004,$R321,Trips!$D5:$D1004,$A321)+SUMIFS(Trips!$K5:$K1004,Trips!$Z5:$Z1004,$R321,Trips!$E5:$E1004,$A321))</f>
        <v/>
      </c>
      <c r="E321" s="107">
        <f>IF($C321="","",SUMIFS(Trips!$N5:$N1004,Trips!$Z5:$Z1004,$R321,Trips!$D5:$D1004,$A321)+SUMIFS(Trips!$O5:$O1004,Trips!$Z5:$Z1004,$R321,Trips!$E5:$E1004,$A321))</f>
        <v/>
      </c>
      <c r="F321" s="108">
        <f>IF($C321="","",SUMIFS(Trips!$P5:$P1004,Trips!$Z5:$Z1004,$R321,Trips!$D5:$D1004,$A321))</f>
        <v/>
      </c>
      <c r="G321" s="108">
        <f>IF($C321="","",SUMIFS(Trips!$Q5:$Q1004,Trips!$Z5:$Z1004,$R321,Trips!$D5:$D1004,$A321))</f>
        <v/>
      </c>
      <c r="H321" s="107">
        <f>IF(AND($C321="",$I321="",$J321=""),"",N($E321)+N($F321)+N($G321))</f>
        <v/>
      </c>
      <c r="I321" s="108">
        <f>IF($A321="","",IFERROR(1/(1/SUMIFS(Expenses!$F5:$F1004,Expenses!$B5:$B1004,"Cash Advance",Expenses!$J5:$J1004,$R321,Expenses!$E5:$E1004,$A321)),""))</f>
        <v/>
      </c>
      <c r="J321" s="108">
        <f>IF($A321="","",IFERROR(1/(1/SUMIFS(Expenses!$F5:$F1004,Expenses!$B5:$B1004,"Payroll Payout",Expenses!$J5:$J1004,$R321,Expenses!$E5:$E1004,$A321)),""))</f>
        <v/>
      </c>
      <c r="K321" s="109">
        <f>IF($H321="","",N($H321)-N($I321)-N($J321))</f>
        <v/>
      </c>
      <c r="L321" s="110">
        <f>IF($K321="","",IF($K321&gt;0.5,"TO PAY",IF($K321&lt;-0.5,"ADVANCE / OWES","SETTLED")))</f>
        <v/>
      </c>
      <c r="R321" s="111" t="n">
        <v>46692</v>
      </c>
    </row>
    <row r="322">
      <c r="A322" s="103">
        <f>IF(Setup!$A84="","",Setup!$A84)</f>
        <v/>
      </c>
      <c r="B322" s="104">
        <f>IF($A322="","",Setup!$B84)</f>
        <v/>
      </c>
      <c r="C322" s="105">
        <f>IF($A322="","",IF(COUNTIFS(Trips!$Z5:$Z1004,$R322,Trips!$D5:$D1004,$A322)+COUNTIFS(Trips!$Z5:$Z1004,$R322,Trips!$E5:$E1004,$A322)=0,"",COUNTIFS(Trips!$Z5:$Z1004,$R322,Trips!$D5:$D1004,$A322)+COUNTIFS(Trips!$Z5:$Z1004,$R322,Trips!$E5:$E1004,$A322)))</f>
        <v/>
      </c>
      <c r="D322" s="106">
        <f>IF($C322="","",SUMIFS(Trips!$K5:$K1004,Trips!$Z5:$Z1004,$R322,Trips!$D5:$D1004,$A322)+SUMIFS(Trips!$K5:$K1004,Trips!$Z5:$Z1004,$R322,Trips!$E5:$E1004,$A322))</f>
        <v/>
      </c>
      <c r="E322" s="107">
        <f>IF($C322="","",SUMIFS(Trips!$N5:$N1004,Trips!$Z5:$Z1004,$R322,Trips!$D5:$D1004,$A322)+SUMIFS(Trips!$O5:$O1004,Trips!$Z5:$Z1004,$R322,Trips!$E5:$E1004,$A322))</f>
        <v/>
      </c>
      <c r="F322" s="108">
        <f>IF($C322="","",SUMIFS(Trips!$P5:$P1004,Trips!$Z5:$Z1004,$R322,Trips!$D5:$D1004,$A322))</f>
        <v/>
      </c>
      <c r="G322" s="108">
        <f>IF($C322="","",SUMIFS(Trips!$Q5:$Q1004,Trips!$Z5:$Z1004,$R322,Trips!$D5:$D1004,$A322))</f>
        <v/>
      </c>
      <c r="H322" s="107">
        <f>IF(AND($C322="",$I322="",$J322=""),"",N($E322)+N($F322)+N($G322))</f>
        <v/>
      </c>
      <c r="I322" s="108">
        <f>IF($A322="","",IFERROR(1/(1/SUMIFS(Expenses!$F5:$F1004,Expenses!$B5:$B1004,"Cash Advance",Expenses!$J5:$J1004,$R322,Expenses!$E5:$E1004,$A322)),""))</f>
        <v/>
      </c>
      <c r="J322" s="108">
        <f>IF($A322="","",IFERROR(1/(1/SUMIFS(Expenses!$F5:$F1004,Expenses!$B5:$B1004,"Payroll Payout",Expenses!$J5:$J1004,$R322,Expenses!$E5:$E1004,$A322)),""))</f>
        <v/>
      </c>
      <c r="K322" s="109">
        <f>IF($H322="","",N($H322)-N($I322)-N($J322))</f>
        <v/>
      </c>
      <c r="L322" s="110">
        <f>IF($K322="","",IF($K322&gt;0.5,"TO PAY",IF($K322&lt;-0.5,"ADVANCE / OWES","SETTLED")))</f>
        <v/>
      </c>
      <c r="R322" s="111" t="n">
        <v>46692</v>
      </c>
    </row>
    <row r="323">
      <c r="A323" s="103">
        <f>IF(Setup!$A85="","",Setup!$A85)</f>
        <v/>
      </c>
      <c r="B323" s="104">
        <f>IF($A323="","",Setup!$B85)</f>
        <v/>
      </c>
      <c r="C323" s="105">
        <f>IF($A323="","",IF(COUNTIFS(Trips!$Z5:$Z1004,$R323,Trips!$D5:$D1004,$A323)+COUNTIFS(Trips!$Z5:$Z1004,$R323,Trips!$E5:$E1004,$A323)=0,"",COUNTIFS(Trips!$Z5:$Z1004,$R323,Trips!$D5:$D1004,$A323)+COUNTIFS(Trips!$Z5:$Z1004,$R323,Trips!$E5:$E1004,$A323)))</f>
        <v/>
      </c>
      <c r="D323" s="106">
        <f>IF($C323="","",SUMIFS(Trips!$K5:$K1004,Trips!$Z5:$Z1004,$R323,Trips!$D5:$D1004,$A323)+SUMIFS(Trips!$K5:$K1004,Trips!$Z5:$Z1004,$R323,Trips!$E5:$E1004,$A323))</f>
        <v/>
      </c>
      <c r="E323" s="107">
        <f>IF($C323="","",SUMIFS(Trips!$N5:$N1004,Trips!$Z5:$Z1004,$R323,Trips!$D5:$D1004,$A323)+SUMIFS(Trips!$O5:$O1004,Trips!$Z5:$Z1004,$R323,Trips!$E5:$E1004,$A323))</f>
        <v/>
      </c>
      <c r="F323" s="108">
        <f>IF($C323="","",SUMIFS(Trips!$P5:$P1004,Trips!$Z5:$Z1004,$R323,Trips!$D5:$D1004,$A323))</f>
        <v/>
      </c>
      <c r="G323" s="108">
        <f>IF($C323="","",SUMIFS(Trips!$Q5:$Q1004,Trips!$Z5:$Z1004,$R323,Trips!$D5:$D1004,$A323))</f>
        <v/>
      </c>
      <c r="H323" s="107">
        <f>IF(AND($C323="",$I323="",$J323=""),"",N($E323)+N($F323)+N($G323))</f>
        <v/>
      </c>
      <c r="I323" s="108">
        <f>IF($A323="","",IFERROR(1/(1/SUMIFS(Expenses!$F5:$F1004,Expenses!$B5:$B1004,"Cash Advance",Expenses!$J5:$J1004,$R323,Expenses!$E5:$E1004,$A323)),""))</f>
        <v/>
      </c>
      <c r="J323" s="108">
        <f>IF($A323="","",IFERROR(1/(1/SUMIFS(Expenses!$F5:$F1004,Expenses!$B5:$B1004,"Payroll Payout",Expenses!$J5:$J1004,$R323,Expenses!$E5:$E1004,$A323)),""))</f>
        <v/>
      </c>
      <c r="K323" s="109">
        <f>IF($H323="","",N($H323)-N($I323)-N($J323))</f>
        <v/>
      </c>
      <c r="L323" s="110">
        <f>IF($K323="","",IF($K323&gt;0.5,"TO PAY",IF($K323&lt;-0.5,"ADVANCE / OWES","SETTLED")))</f>
        <v/>
      </c>
      <c r="R323" s="111" t="n">
        <v>46692</v>
      </c>
    </row>
    <row r="324">
      <c r="A324" s="103">
        <f>IF(Setup!$A86="","",Setup!$A86)</f>
        <v/>
      </c>
      <c r="B324" s="104">
        <f>IF($A324="","",Setup!$B86)</f>
        <v/>
      </c>
      <c r="C324" s="105">
        <f>IF($A324="","",IF(COUNTIFS(Trips!$Z5:$Z1004,$R324,Trips!$D5:$D1004,$A324)+COUNTIFS(Trips!$Z5:$Z1004,$R324,Trips!$E5:$E1004,$A324)=0,"",COUNTIFS(Trips!$Z5:$Z1004,$R324,Trips!$D5:$D1004,$A324)+COUNTIFS(Trips!$Z5:$Z1004,$R324,Trips!$E5:$E1004,$A324)))</f>
        <v/>
      </c>
      <c r="D324" s="106">
        <f>IF($C324="","",SUMIFS(Trips!$K5:$K1004,Trips!$Z5:$Z1004,$R324,Trips!$D5:$D1004,$A324)+SUMIFS(Trips!$K5:$K1004,Trips!$Z5:$Z1004,$R324,Trips!$E5:$E1004,$A324))</f>
        <v/>
      </c>
      <c r="E324" s="107">
        <f>IF($C324="","",SUMIFS(Trips!$N5:$N1004,Trips!$Z5:$Z1004,$R324,Trips!$D5:$D1004,$A324)+SUMIFS(Trips!$O5:$O1004,Trips!$Z5:$Z1004,$R324,Trips!$E5:$E1004,$A324))</f>
        <v/>
      </c>
      <c r="F324" s="108">
        <f>IF($C324="","",SUMIFS(Trips!$P5:$P1004,Trips!$Z5:$Z1004,$R324,Trips!$D5:$D1004,$A324))</f>
        <v/>
      </c>
      <c r="G324" s="108">
        <f>IF($C324="","",SUMIFS(Trips!$Q5:$Q1004,Trips!$Z5:$Z1004,$R324,Trips!$D5:$D1004,$A324))</f>
        <v/>
      </c>
      <c r="H324" s="107">
        <f>IF(AND($C324="",$I324="",$J324=""),"",N($E324)+N($F324)+N($G324))</f>
        <v/>
      </c>
      <c r="I324" s="108">
        <f>IF($A324="","",IFERROR(1/(1/SUMIFS(Expenses!$F5:$F1004,Expenses!$B5:$B1004,"Cash Advance",Expenses!$J5:$J1004,$R324,Expenses!$E5:$E1004,$A324)),""))</f>
        <v/>
      </c>
      <c r="J324" s="108">
        <f>IF($A324="","",IFERROR(1/(1/SUMIFS(Expenses!$F5:$F1004,Expenses!$B5:$B1004,"Payroll Payout",Expenses!$J5:$J1004,$R324,Expenses!$E5:$E1004,$A324)),""))</f>
        <v/>
      </c>
      <c r="K324" s="109">
        <f>IF($H324="","",N($H324)-N($I324)-N($J324))</f>
        <v/>
      </c>
      <c r="L324" s="110">
        <f>IF($K324="","",IF($K324&gt;0.5,"TO PAY",IF($K324&lt;-0.5,"ADVANCE / OWES","SETTLED")))</f>
        <v/>
      </c>
      <c r="R324" s="111" t="n">
        <v>46692</v>
      </c>
    </row>
    <row r="325">
      <c r="A325" s="103">
        <f>IF(Setup!$A87="","",Setup!$A87)</f>
        <v/>
      </c>
      <c r="B325" s="104">
        <f>IF($A325="","",Setup!$B87)</f>
        <v/>
      </c>
      <c r="C325" s="105">
        <f>IF($A325="","",IF(COUNTIFS(Trips!$Z5:$Z1004,$R325,Trips!$D5:$D1004,$A325)+COUNTIFS(Trips!$Z5:$Z1004,$R325,Trips!$E5:$E1004,$A325)=0,"",COUNTIFS(Trips!$Z5:$Z1004,$R325,Trips!$D5:$D1004,$A325)+COUNTIFS(Trips!$Z5:$Z1004,$R325,Trips!$E5:$E1004,$A325)))</f>
        <v/>
      </c>
      <c r="D325" s="106">
        <f>IF($C325="","",SUMIFS(Trips!$K5:$K1004,Trips!$Z5:$Z1004,$R325,Trips!$D5:$D1004,$A325)+SUMIFS(Trips!$K5:$K1004,Trips!$Z5:$Z1004,$R325,Trips!$E5:$E1004,$A325))</f>
        <v/>
      </c>
      <c r="E325" s="107">
        <f>IF($C325="","",SUMIFS(Trips!$N5:$N1004,Trips!$Z5:$Z1004,$R325,Trips!$D5:$D1004,$A325)+SUMIFS(Trips!$O5:$O1004,Trips!$Z5:$Z1004,$R325,Trips!$E5:$E1004,$A325))</f>
        <v/>
      </c>
      <c r="F325" s="108">
        <f>IF($C325="","",SUMIFS(Trips!$P5:$P1004,Trips!$Z5:$Z1004,$R325,Trips!$D5:$D1004,$A325))</f>
        <v/>
      </c>
      <c r="G325" s="108">
        <f>IF($C325="","",SUMIFS(Trips!$Q5:$Q1004,Trips!$Z5:$Z1004,$R325,Trips!$D5:$D1004,$A325))</f>
        <v/>
      </c>
      <c r="H325" s="107">
        <f>IF(AND($C325="",$I325="",$J325=""),"",N($E325)+N($F325)+N($G325))</f>
        <v/>
      </c>
      <c r="I325" s="108">
        <f>IF($A325="","",IFERROR(1/(1/SUMIFS(Expenses!$F5:$F1004,Expenses!$B5:$B1004,"Cash Advance",Expenses!$J5:$J1004,$R325,Expenses!$E5:$E1004,$A325)),""))</f>
        <v/>
      </c>
      <c r="J325" s="108">
        <f>IF($A325="","",IFERROR(1/(1/SUMIFS(Expenses!$F5:$F1004,Expenses!$B5:$B1004,"Payroll Payout",Expenses!$J5:$J1004,$R325,Expenses!$E5:$E1004,$A325)),""))</f>
        <v/>
      </c>
      <c r="K325" s="109">
        <f>IF($H325="","",N($H325)-N($I325)-N($J325))</f>
        <v/>
      </c>
      <c r="L325" s="110">
        <f>IF($K325="","",IF($K325&gt;0.5,"TO PAY",IF($K325&lt;-0.5,"ADVANCE / OWES","SETTLED")))</f>
        <v/>
      </c>
      <c r="R325" s="111" t="n">
        <v>46692</v>
      </c>
    </row>
    <row r="326">
      <c r="A326" s="112" t="inlineStr">
        <is>
          <t>MONTH TOTAL</t>
        </is>
      </c>
      <c r="B326" s="113" t="n"/>
      <c r="C326" s="114">
        <f>IF(COUNT(C314:C325)=0,"",SUM(C314:C325))</f>
        <v/>
      </c>
      <c r="D326" s="115">
        <f>IF(COUNT(D314:D325)=0,"",SUM(D314:D325))</f>
        <v/>
      </c>
      <c r="E326" s="116">
        <f>IF(COUNT(E314:E325)=0,"",SUM(E314:E325))</f>
        <v/>
      </c>
      <c r="F326" s="116">
        <f>IF(COUNT(F314:F325)=0,"",SUM(F314:F325))</f>
        <v/>
      </c>
      <c r="G326" s="116">
        <f>IF(COUNT(G314:G325)=0,"",SUM(G314:G325))</f>
        <v/>
      </c>
      <c r="H326" s="116">
        <f>IF(COUNT(H314:H325)=0,"",SUM(H314:H325))</f>
        <v/>
      </c>
      <c r="I326" s="116">
        <f>IF(COUNT(I314:I325)=0,"",SUM(I314:I325))</f>
        <v/>
      </c>
      <c r="J326" s="116">
        <f>IF(COUNT(J314:J325)=0,"",SUM(J314:J325))</f>
        <v/>
      </c>
      <c r="K326" s="116">
        <f>IF(COUNT(K314:K325)=0,"",SUM(K314:K325))</f>
        <v/>
      </c>
      <c r="L326" s="117" t="n"/>
    </row>
    <row r="327" ht="24" customHeight="1">
      <c r="A327" s="102" t="inlineStr">
        <is>
          <t>DECEMBER 2027   ·   crew earnings &amp; settlement</t>
        </is>
      </c>
    </row>
    <row r="328">
      <c r="A328" s="103">
        <f>IF(Setup!$A76="","",Setup!$A76)</f>
        <v/>
      </c>
      <c r="B328" s="104">
        <f>IF($A328="","",Setup!$B76)</f>
        <v/>
      </c>
      <c r="C328" s="105">
        <f>IF($A328="","",IF(COUNTIFS(Trips!$Z5:$Z1004,$R328,Trips!$D5:$D1004,$A328)+COUNTIFS(Trips!$Z5:$Z1004,$R328,Trips!$E5:$E1004,$A328)=0,"",COUNTIFS(Trips!$Z5:$Z1004,$R328,Trips!$D5:$D1004,$A328)+COUNTIFS(Trips!$Z5:$Z1004,$R328,Trips!$E5:$E1004,$A328)))</f>
        <v/>
      </c>
      <c r="D328" s="106">
        <f>IF($C328="","",SUMIFS(Trips!$K5:$K1004,Trips!$Z5:$Z1004,$R328,Trips!$D5:$D1004,$A328)+SUMIFS(Trips!$K5:$K1004,Trips!$Z5:$Z1004,$R328,Trips!$E5:$E1004,$A328))</f>
        <v/>
      </c>
      <c r="E328" s="107">
        <f>IF($C328="","",SUMIFS(Trips!$N5:$N1004,Trips!$Z5:$Z1004,$R328,Trips!$D5:$D1004,$A328)+SUMIFS(Trips!$O5:$O1004,Trips!$Z5:$Z1004,$R328,Trips!$E5:$E1004,$A328))</f>
        <v/>
      </c>
      <c r="F328" s="108">
        <f>IF($C328="","",SUMIFS(Trips!$P5:$P1004,Trips!$Z5:$Z1004,$R328,Trips!$D5:$D1004,$A328))</f>
        <v/>
      </c>
      <c r="G328" s="108">
        <f>IF($C328="","",SUMIFS(Trips!$Q5:$Q1004,Trips!$Z5:$Z1004,$R328,Trips!$D5:$D1004,$A328))</f>
        <v/>
      </c>
      <c r="H328" s="107">
        <f>IF(AND($C328="",$I328="",$J328=""),"",N($E328)+N($F328)+N($G328))</f>
        <v/>
      </c>
      <c r="I328" s="108">
        <f>IF($A328="","",IFERROR(1/(1/SUMIFS(Expenses!$F5:$F1004,Expenses!$B5:$B1004,"Cash Advance",Expenses!$J5:$J1004,$R328,Expenses!$E5:$E1004,$A328)),""))</f>
        <v/>
      </c>
      <c r="J328" s="108">
        <f>IF($A328="","",IFERROR(1/(1/SUMIFS(Expenses!$F5:$F1004,Expenses!$B5:$B1004,"Payroll Payout",Expenses!$J5:$J1004,$R328,Expenses!$E5:$E1004,$A328)),""))</f>
        <v/>
      </c>
      <c r="K328" s="109">
        <f>IF($H328="","",N($H328)-N($I328)-N($J328))</f>
        <v/>
      </c>
      <c r="L328" s="110">
        <f>IF($K328="","",IF($K328&gt;0.5,"TO PAY",IF($K328&lt;-0.5,"ADVANCE / OWES","SETTLED")))</f>
        <v/>
      </c>
      <c r="R328" s="111" t="n">
        <v>46722</v>
      </c>
    </row>
    <row r="329">
      <c r="A329" s="103">
        <f>IF(Setup!$A77="","",Setup!$A77)</f>
        <v/>
      </c>
      <c r="B329" s="104">
        <f>IF($A329="","",Setup!$B77)</f>
        <v/>
      </c>
      <c r="C329" s="105">
        <f>IF($A329="","",IF(COUNTIFS(Trips!$Z5:$Z1004,$R329,Trips!$D5:$D1004,$A329)+COUNTIFS(Trips!$Z5:$Z1004,$R329,Trips!$E5:$E1004,$A329)=0,"",COUNTIFS(Trips!$Z5:$Z1004,$R329,Trips!$D5:$D1004,$A329)+COUNTIFS(Trips!$Z5:$Z1004,$R329,Trips!$E5:$E1004,$A329)))</f>
        <v/>
      </c>
      <c r="D329" s="106">
        <f>IF($C329="","",SUMIFS(Trips!$K5:$K1004,Trips!$Z5:$Z1004,$R329,Trips!$D5:$D1004,$A329)+SUMIFS(Trips!$K5:$K1004,Trips!$Z5:$Z1004,$R329,Trips!$E5:$E1004,$A329))</f>
        <v/>
      </c>
      <c r="E329" s="107">
        <f>IF($C329="","",SUMIFS(Trips!$N5:$N1004,Trips!$Z5:$Z1004,$R329,Trips!$D5:$D1004,$A329)+SUMIFS(Trips!$O5:$O1004,Trips!$Z5:$Z1004,$R329,Trips!$E5:$E1004,$A329))</f>
        <v/>
      </c>
      <c r="F329" s="108">
        <f>IF($C329="","",SUMIFS(Trips!$P5:$P1004,Trips!$Z5:$Z1004,$R329,Trips!$D5:$D1004,$A329))</f>
        <v/>
      </c>
      <c r="G329" s="108">
        <f>IF($C329="","",SUMIFS(Trips!$Q5:$Q1004,Trips!$Z5:$Z1004,$R329,Trips!$D5:$D1004,$A329))</f>
        <v/>
      </c>
      <c r="H329" s="107">
        <f>IF(AND($C329="",$I329="",$J329=""),"",N($E329)+N($F329)+N($G329))</f>
        <v/>
      </c>
      <c r="I329" s="108">
        <f>IF($A329="","",IFERROR(1/(1/SUMIFS(Expenses!$F5:$F1004,Expenses!$B5:$B1004,"Cash Advance",Expenses!$J5:$J1004,$R329,Expenses!$E5:$E1004,$A329)),""))</f>
        <v/>
      </c>
      <c r="J329" s="108">
        <f>IF($A329="","",IFERROR(1/(1/SUMIFS(Expenses!$F5:$F1004,Expenses!$B5:$B1004,"Payroll Payout",Expenses!$J5:$J1004,$R329,Expenses!$E5:$E1004,$A329)),""))</f>
        <v/>
      </c>
      <c r="K329" s="109">
        <f>IF($H329="","",N($H329)-N($I329)-N($J329))</f>
        <v/>
      </c>
      <c r="L329" s="110">
        <f>IF($K329="","",IF($K329&gt;0.5,"TO PAY",IF($K329&lt;-0.5,"ADVANCE / OWES","SETTLED")))</f>
        <v/>
      </c>
      <c r="R329" s="111" t="n">
        <v>46722</v>
      </c>
    </row>
    <row r="330">
      <c r="A330" s="103">
        <f>IF(Setup!$A78="","",Setup!$A78)</f>
        <v/>
      </c>
      <c r="B330" s="104">
        <f>IF($A330="","",Setup!$B78)</f>
        <v/>
      </c>
      <c r="C330" s="105">
        <f>IF($A330="","",IF(COUNTIFS(Trips!$Z5:$Z1004,$R330,Trips!$D5:$D1004,$A330)+COUNTIFS(Trips!$Z5:$Z1004,$R330,Trips!$E5:$E1004,$A330)=0,"",COUNTIFS(Trips!$Z5:$Z1004,$R330,Trips!$D5:$D1004,$A330)+COUNTIFS(Trips!$Z5:$Z1004,$R330,Trips!$E5:$E1004,$A330)))</f>
        <v/>
      </c>
      <c r="D330" s="106">
        <f>IF($C330="","",SUMIFS(Trips!$K5:$K1004,Trips!$Z5:$Z1004,$R330,Trips!$D5:$D1004,$A330)+SUMIFS(Trips!$K5:$K1004,Trips!$Z5:$Z1004,$R330,Trips!$E5:$E1004,$A330))</f>
        <v/>
      </c>
      <c r="E330" s="107">
        <f>IF($C330="","",SUMIFS(Trips!$N5:$N1004,Trips!$Z5:$Z1004,$R330,Trips!$D5:$D1004,$A330)+SUMIFS(Trips!$O5:$O1004,Trips!$Z5:$Z1004,$R330,Trips!$E5:$E1004,$A330))</f>
        <v/>
      </c>
      <c r="F330" s="108">
        <f>IF($C330="","",SUMIFS(Trips!$P5:$P1004,Trips!$Z5:$Z1004,$R330,Trips!$D5:$D1004,$A330))</f>
        <v/>
      </c>
      <c r="G330" s="108">
        <f>IF($C330="","",SUMIFS(Trips!$Q5:$Q1004,Trips!$Z5:$Z1004,$R330,Trips!$D5:$D1004,$A330))</f>
        <v/>
      </c>
      <c r="H330" s="107">
        <f>IF(AND($C330="",$I330="",$J330=""),"",N($E330)+N($F330)+N($G330))</f>
        <v/>
      </c>
      <c r="I330" s="108">
        <f>IF($A330="","",IFERROR(1/(1/SUMIFS(Expenses!$F5:$F1004,Expenses!$B5:$B1004,"Cash Advance",Expenses!$J5:$J1004,$R330,Expenses!$E5:$E1004,$A330)),""))</f>
        <v/>
      </c>
      <c r="J330" s="108">
        <f>IF($A330="","",IFERROR(1/(1/SUMIFS(Expenses!$F5:$F1004,Expenses!$B5:$B1004,"Payroll Payout",Expenses!$J5:$J1004,$R330,Expenses!$E5:$E1004,$A330)),""))</f>
        <v/>
      </c>
      <c r="K330" s="109">
        <f>IF($H330="","",N($H330)-N($I330)-N($J330))</f>
        <v/>
      </c>
      <c r="L330" s="110">
        <f>IF($K330="","",IF($K330&gt;0.5,"TO PAY",IF($K330&lt;-0.5,"ADVANCE / OWES","SETTLED")))</f>
        <v/>
      </c>
      <c r="R330" s="111" t="n">
        <v>46722</v>
      </c>
    </row>
    <row r="331">
      <c r="A331" s="103">
        <f>IF(Setup!$A79="","",Setup!$A79)</f>
        <v/>
      </c>
      <c r="B331" s="104">
        <f>IF($A331="","",Setup!$B79)</f>
        <v/>
      </c>
      <c r="C331" s="105">
        <f>IF($A331="","",IF(COUNTIFS(Trips!$Z5:$Z1004,$R331,Trips!$D5:$D1004,$A331)+COUNTIFS(Trips!$Z5:$Z1004,$R331,Trips!$E5:$E1004,$A331)=0,"",COUNTIFS(Trips!$Z5:$Z1004,$R331,Trips!$D5:$D1004,$A331)+COUNTIFS(Trips!$Z5:$Z1004,$R331,Trips!$E5:$E1004,$A331)))</f>
        <v/>
      </c>
      <c r="D331" s="106">
        <f>IF($C331="","",SUMIFS(Trips!$K5:$K1004,Trips!$Z5:$Z1004,$R331,Trips!$D5:$D1004,$A331)+SUMIFS(Trips!$K5:$K1004,Trips!$Z5:$Z1004,$R331,Trips!$E5:$E1004,$A331))</f>
        <v/>
      </c>
      <c r="E331" s="107">
        <f>IF($C331="","",SUMIFS(Trips!$N5:$N1004,Trips!$Z5:$Z1004,$R331,Trips!$D5:$D1004,$A331)+SUMIFS(Trips!$O5:$O1004,Trips!$Z5:$Z1004,$R331,Trips!$E5:$E1004,$A331))</f>
        <v/>
      </c>
      <c r="F331" s="108">
        <f>IF($C331="","",SUMIFS(Trips!$P5:$P1004,Trips!$Z5:$Z1004,$R331,Trips!$D5:$D1004,$A331))</f>
        <v/>
      </c>
      <c r="G331" s="108">
        <f>IF($C331="","",SUMIFS(Trips!$Q5:$Q1004,Trips!$Z5:$Z1004,$R331,Trips!$D5:$D1004,$A331))</f>
        <v/>
      </c>
      <c r="H331" s="107">
        <f>IF(AND($C331="",$I331="",$J331=""),"",N($E331)+N($F331)+N($G331))</f>
        <v/>
      </c>
      <c r="I331" s="108">
        <f>IF($A331="","",IFERROR(1/(1/SUMIFS(Expenses!$F5:$F1004,Expenses!$B5:$B1004,"Cash Advance",Expenses!$J5:$J1004,$R331,Expenses!$E5:$E1004,$A331)),""))</f>
        <v/>
      </c>
      <c r="J331" s="108">
        <f>IF($A331="","",IFERROR(1/(1/SUMIFS(Expenses!$F5:$F1004,Expenses!$B5:$B1004,"Payroll Payout",Expenses!$J5:$J1004,$R331,Expenses!$E5:$E1004,$A331)),""))</f>
        <v/>
      </c>
      <c r="K331" s="109">
        <f>IF($H331="","",N($H331)-N($I331)-N($J331))</f>
        <v/>
      </c>
      <c r="L331" s="110">
        <f>IF($K331="","",IF($K331&gt;0.5,"TO PAY",IF($K331&lt;-0.5,"ADVANCE / OWES","SETTLED")))</f>
        <v/>
      </c>
      <c r="R331" s="111" t="n">
        <v>46722</v>
      </c>
    </row>
    <row r="332">
      <c r="A332" s="103">
        <f>IF(Setup!$A80="","",Setup!$A80)</f>
        <v/>
      </c>
      <c r="B332" s="104">
        <f>IF($A332="","",Setup!$B80)</f>
        <v/>
      </c>
      <c r="C332" s="105">
        <f>IF($A332="","",IF(COUNTIFS(Trips!$Z5:$Z1004,$R332,Trips!$D5:$D1004,$A332)+COUNTIFS(Trips!$Z5:$Z1004,$R332,Trips!$E5:$E1004,$A332)=0,"",COUNTIFS(Trips!$Z5:$Z1004,$R332,Trips!$D5:$D1004,$A332)+COUNTIFS(Trips!$Z5:$Z1004,$R332,Trips!$E5:$E1004,$A332)))</f>
        <v/>
      </c>
      <c r="D332" s="106">
        <f>IF($C332="","",SUMIFS(Trips!$K5:$K1004,Trips!$Z5:$Z1004,$R332,Trips!$D5:$D1004,$A332)+SUMIFS(Trips!$K5:$K1004,Trips!$Z5:$Z1004,$R332,Trips!$E5:$E1004,$A332))</f>
        <v/>
      </c>
      <c r="E332" s="107">
        <f>IF($C332="","",SUMIFS(Trips!$N5:$N1004,Trips!$Z5:$Z1004,$R332,Trips!$D5:$D1004,$A332)+SUMIFS(Trips!$O5:$O1004,Trips!$Z5:$Z1004,$R332,Trips!$E5:$E1004,$A332))</f>
        <v/>
      </c>
      <c r="F332" s="108">
        <f>IF($C332="","",SUMIFS(Trips!$P5:$P1004,Trips!$Z5:$Z1004,$R332,Trips!$D5:$D1004,$A332))</f>
        <v/>
      </c>
      <c r="G332" s="108">
        <f>IF($C332="","",SUMIFS(Trips!$Q5:$Q1004,Trips!$Z5:$Z1004,$R332,Trips!$D5:$D1004,$A332))</f>
        <v/>
      </c>
      <c r="H332" s="107">
        <f>IF(AND($C332="",$I332="",$J332=""),"",N($E332)+N($F332)+N($G332))</f>
        <v/>
      </c>
      <c r="I332" s="108">
        <f>IF($A332="","",IFERROR(1/(1/SUMIFS(Expenses!$F5:$F1004,Expenses!$B5:$B1004,"Cash Advance",Expenses!$J5:$J1004,$R332,Expenses!$E5:$E1004,$A332)),""))</f>
        <v/>
      </c>
      <c r="J332" s="108">
        <f>IF($A332="","",IFERROR(1/(1/SUMIFS(Expenses!$F5:$F1004,Expenses!$B5:$B1004,"Payroll Payout",Expenses!$J5:$J1004,$R332,Expenses!$E5:$E1004,$A332)),""))</f>
        <v/>
      </c>
      <c r="K332" s="109">
        <f>IF($H332="","",N($H332)-N($I332)-N($J332))</f>
        <v/>
      </c>
      <c r="L332" s="110">
        <f>IF($K332="","",IF($K332&gt;0.5,"TO PAY",IF($K332&lt;-0.5,"ADVANCE / OWES","SETTLED")))</f>
        <v/>
      </c>
      <c r="R332" s="111" t="n">
        <v>46722</v>
      </c>
    </row>
    <row r="333">
      <c r="A333" s="103">
        <f>IF(Setup!$A81="","",Setup!$A81)</f>
        <v/>
      </c>
      <c r="B333" s="104">
        <f>IF($A333="","",Setup!$B81)</f>
        <v/>
      </c>
      <c r="C333" s="105">
        <f>IF($A333="","",IF(COUNTIFS(Trips!$Z5:$Z1004,$R333,Trips!$D5:$D1004,$A333)+COUNTIFS(Trips!$Z5:$Z1004,$R333,Trips!$E5:$E1004,$A333)=0,"",COUNTIFS(Trips!$Z5:$Z1004,$R333,Trips!$D5:$D1004,$A333)+COUNTIFS(Trips!$Z5:$Z1004,$R333,Trips!$E5:$E1004,$A333)))</f>
        <v/>
      </c>
      <c r="D333" s="106">
        <f>IF($C333="","",SUMIFS(Trips!$K5:$K1004,Trips!$Z5:$Z1004,$R333,Trips!$D5:$D1004,$A333)+SUMIFS(Trips!$K5:$K1004,Trips!$Z5:$Z1004,$R333,Trips!$E5:$E1004,$A333))</f>
        <v/>
      </c>
      <c r="E333" s="107">
        <f>IF($C333="","",SUMIFS(Trips!$N5:$N1004,Trips!$Z5:$Z1004,$R333,Trips!$D5:$D1004,$A333)+SUMIFS(Trips!$O5:$O1004,Trips!$Z5:$Z1004,$R333,Trips!$E5:$E1004,$A333))</f>
        <v/>
      </c>
      <c r="F333" s="108">
        <f>IF($C333="","",SUMIFS(Trips!$P5:$P1004,Trips!$Z5:$Z1004,$R333,Trips!$D5:$D1004,$A333))</f>
        <v/>
      </c>
      <c r="G333" s="108">
        <f>IF($C333="","",SUMIFS(Trips!$Q5:$Q1004,Trips!$Z5:$Z1004,$R333,Trips!$D5:$D1004,$A333))</f>
        <v/>
      </c>
      <c r="H333" s="107">
        <f>IF(AND($C333="",$I333="",$J333=""),"",N($E333)+N($F333)+N($G333))</f>
        <v/>
      </c>
      <c r="I333" s="108">
        <f>IF($A333="","",IFERROR(1/(1/SUMIFS(Expenses!$F5:$F1004,Expenses!$B5:$B1004,"Cash Advance",Expenses!$J5:$J1004,$R333,Expenses!$E5:$E1004,$A333)),""))</f>
        <v/>
      </c>
      <c r="J333" s="108">
        <f>IF($A333="","",IFERROR(1/(1/SUMIFS(Expenses!$F5:$F1004,Expenses!$B5:$B1004,"Payroll Payout",Expenses!$J5:$J1004,$R333,Expenses!$E5:$E1004,$A333)),""))</f>
        <v/>
      </c>
      <c r="K333" s="109">
        <f>IF($H333="","",N($H333)-N($I333)-N($J333))</f>
        <v/>
      </c>
      <c r="L333" s="110">
        <f>IF($K333="","",IF($K333&gt;0.5,"TO PAY",IF($K333&lt;-0.5,"ADVANCE / OWES","SETTLED")))</f>
        <v/>
      </c>
      <c r="R333" s="111" t="n">
        <v>46722</v>
      </c>
    </row>
    <row r="334">
      <c r="A334" s="103">
        <f>IF(Setup!$A82="","",Setup!$A82)</f>
        <v/>
      </c>
      <c r="B334" s="104">
        <f>IF($A334="","",Setup!$B82)</f>
        <v/>
      </c>
      <c r="C334" s="105">
        <f>IF($A334="","",IF(COUNTIFS(Trips!$Z5:$Z1004,$R334,Trips!$D5:$D1004,$A334)+COUNTIFS(Trips!$Z5:$Z1004,$R334,Trips!$E5:$E1004,$A334)=0,"",COUNTIFS(Trips!$Z5:$Z1004,$R334,Trips!$D5:$D1004,$A334)+COUNTIFS(Trips!$Z5:$Z1004,$R334,Trips!$E5:$E1004,$A334)))</f>
        <v/>
      </c>
      <c r="D334" s="106">
        <f>IF($C334="","",SUMIFS(Trips!$K5:$K1004,Trips!$Z5:$Z1004,$R334,Trips!$D5:$D1004,$A334)+SUMIFS(Trips!$K5:$K1004,Trips!$Z5:$Z1004,$R334,Trips!$E5:$E1004,$A334))</f>
        <v/>
      </c>
      <c r="E334" s="107">
        <f>IF($C334="","",SUMIFS(Trips!$N5:$N1004,Trips!$Z5:$Z1004,$R334,Trips!$D5:$D1004,$A334)+SUMIFS(Trips!$O5:$O1004,Trips!$Z5:$Z1004,$R334,Trips!$E5:$E1004,$A334))</f>
        <v/>
      </c>
      <c r="F334" s="108">
        <f>IF($C334="","",SUMIFS(Trips!$P5:$P1004,Trips!$Z5:$Z1004,$R334,Trips!$D5:$D1004,$A334))</f>
        <v/>
      </c>
      <c r="G334" s="108">
        <f>IF($C334="","",SUMIFS(Trips!$Q5:$Q1004,Trips!$Z5:$Z1004,$R334,Trips!$D5:$D1004,$A334))</f>
        <v/>
      </c>
      <c r="H334" s="107">
        <f>IF(AND($C334="",$I334="",$J334=""),"",N($E334)+N($F334)+N($G334))</f>
        <v/>
      </c>
      <c r="I334" s="108">
        <f>IF($A334="","",IFERROR(1/(1/SUMIFS(Expenses!$F5:$F1004,Expenses!$B5:$B1004,"Cash Advance",Expenses!$J5:$J1004,$R334,Expenses!$E5:$E1004,$A334)),""))</f>
        <v/>
      </c>
      <c r="J334" s="108">
        <f>IF($A334="","",IFERROR(1/(1/SUMIFS(Expenses!$F5:$F1004,Expenses!$B5:$B1004,"Payroll Payout",Expenses!$J5:$J1004,$R334,Expenses!$E5:$E1004,$A334)),""))</f>
        <v/>
      </c>
      <c r="K334" s="109">
        <f>IF($H334="","",N($H334)-N($I334)-N($J334))</f>
        <v/>
      </c>
      <c r="L334" s="110">
        <f>IF($K334="","",IF($K334&gt;0.5,"TO PAY",IF($K334&lt;-0.5,"ADVANCE / OWES","SETTLED")))</f>
        <v/>
      </c>
      <c r="R334" s="111" t="n">
        <v>46722</v>
      </c>
    </row>
    <row r="335">
      <c r="A335" s="103">
        <f>IF(Setup!$A83="","",Setup!$A83)</f>
        <v/>
      </c>
      <c r="B335" s="104">
        <f>IF($A335="","",Setup!$B83)</f>
        <v/>
      </c>
      <c r="C335" s="105">
        <f>IF($A335="","",IF(COUNTIFS(Trips!$Z5:$Z1004,$R335,Trips!$D5:$D1004,$A335)+COUNTIFS(Trips!$Z5:$Z1004,$R335,Trips!$E5:$E1004,$A335)=0,"",COUNTIFS(Trips!$Z5:$Z1004,$R335,Trips!$D5:$D1004,$A335)+COUNTIFS(Trips!$Z5:$Z1004,$R335,Trips!$E5:$E1004,$A335)))</f>
        <v/>
      </c>
      <c r="D335" s="106">
        <f>IF($C335="","",SUMIFS(Trips!$K5:$K1004,Trips!$Z5:$Z1004,$R335,Trips!$D5:$D1004,$A335)+SUMIFS(Trips!$K5:$K1004,Trips!$Z5:$Z1004,$R335,Trips!$E5:$E1004,$A335))</f>
        <v/>
      </c>
      <c r="E335" s="107">
        <f>IF($C335="","",SUMIFS(Trips!$N5:$N1004,Trips!$Z5:$Z1004,$R335,Trips!$D5:$D1004,$A335)+SUMIFS(Trips!$O5:$O1004,Trips!$Z5:$Z1004,$R335,Trips!$E5:$E1004,$A335))</f>
        <v/>
      </c>
      <c r="F335" s="108">
        <f>IF($C335="","",SUMIFS(Trips!$P5:$P1004,Trips!$Z5:$Z1004,$R335,Trips!$D5:$D1004,$A335))</f>
        <v/>
      </c>
      <c r="G335" s="108">
        <f>IF($C335="","",SUMIFS(Trips!$Q5:$Q1004,Trips!$Z5:$Z1004,$R335,Trips!$D5:$D1004,$A335))</f>
        <v/>
      </c>
      <c r="H335" s="107">
        <f>IF(AND($C335="",$I335="",$J335=""),"",N($E335)+N($F335)+N($G335))</f>
        <v/>
      </c>
      <c r="I335" s="108">
        <f>IF($A335="","",IFERROR(1/(1/SUMIFS(Expenses!$F5:$F1004,Expenses!$B5:$B1004,"Cash Advance",Expenses!$J5:$J1004,$R335,Expenses!$E5:$E1004,$A335)),""))</f>
        <v/>
      </c>
      <c r="J335" s="108">
        <f>IF($A335="","",IFERROR(1/(1/SUMIFS(Expenses!$F5:$F1004,Expenses!$B5:$B1004,"Payroll Payout",Expenses!$J5:$J1004,$R335,Expenses!$E5:$E1004,$A335)),""))</f>
        <v/>
      </c>
      <c r="K335" s="109">
        <f>IF($H335="","",N($H335)-N($I335)-N($J335))</f>
        <v/>
      </c>
      <c r="L335" s="110">
        <f>IF($K335="","",IF($K335&gt;0.5,"TO PAY",IF($K335&lt;-0.5,"ADVANCE / OWES","SETTLED")))</f>
        <v/>
      </c>
      <c r="R335" s="111" t="n">
        <v>46722</v>
      </c>
    </row>
    <row r="336">
      <c r="A336" s="103">
        <f>IF(Setup!$A84="","",Setup!$A84)</f>
        <v/>
      </c>
      <c r="B336" s="104">
        <f>IF($A336="","",Setup!$B84)</f>
        <v/>
      </c>
      <c r="C336" s="105">
        <f>IF($A336="","",IF(COUNTIFS(Trips!$Z5:$Z1004,$R336,Trips!$D5:$D1004,$A336)+COUNTIFS(Trips!$Z5:$Z1004,$R336,Trips!$E5:$E1004,$A336)=0,"",COUNTIFS(Trips!$Z5:$Z1004,$R336,Trips!$D5:$D1004,$A336)+COUNTIFS(Trips!$Z5:$Z1004,$R336,Trips!$E5:$E1004,$A336)))</f>
        <v/>
      </c>
      <c r="D336" s="106">
        <f>IF($C336="","",SUMIFS(Trips!$K5:$K1004,Trips!$Z5:$Z1004,$R336,Trips!$D5:$D1004,$A336)+SUMIFS(Trips!$K5:$K1004,Trips!$Z5:$Z1004,$R336,Trips!$E5:$E1004,$A336))</f>
        <v/>
      </c>
      <c r="E336" s="107">
        <f>IF($C336="","",SUMIFS(Trips!$N5:$N1004,Trips!$Z5:$Z1004,$R336,Trips!$D5:$D1004,$A336)+SUMIFS(Trips!$O5:$O1004,Trips!$Z5:$Z1004,$R336,Trips!$E5:$E1004,$A336))</f>
        <v/>
      </c>
      <c r="F336" s="108">
        <f>IF($C336="","",SUMIFS(Trips!$P5:$P1004,Trips!$Z5:$Z1004,$R336,Trips!$D5:$D1004,$A336))</f>
        <v/>
      </c>
      <c r="G336" s="108">
        <f>IF($C336="","",SUMIFS(Trips!$Q5:$Q1004,Trips!$Z5:$Z1004,$R336,Trips!$D5:$D1004,$A336))</f>
        <v/>
      </c>
      <c r="H336" s="107">
        <f>IF(AND($C336="",$I336="",$J336=""),"",N($E336)+N($F336)+N($G336))</f>
        <v/>
      </c>
      <c r="I336" s="108">
        <f>IF($A336="","",IFERROR(1/(1/SUMIFS(Expenses!$F5:$F1004,Expenses!$B5:$B1004,"Cash Advance",Expenses!$J5:$J1004,$R336,Expenses!$E5:$E1004,$A336)),""))</f>
        <v/>
      </c>
      <c r="J336" s="108">
        <f>IF($A336="","",IFERROR(1/(1/SUMIFS(Expenses!$F5:$F1004,Expenses!$B5:$B1004,"Payroll Payout",Expenses!$J5:$J1004,$R336,Expenses!$E5:$E1004,$A336)),""))</f>
        <v/>
      </c>
      <c r="K336" s="109">
        <f>IF($H336="","",N($H336)-N($I336)-N($J336))</f>
        <v/>
      </c>
      <c r="L336" s="110">
        <f>IF($K336="","",IF($K336&gt;0.5,"TO PAY",IF($K336&lt;-0.5,"ADVANCE / OWES","SETTLED")))</f>
        <v/>
      </c>
      <c r="R336" s="111" t="n">
        <v>46722</v>
      </c>
    </row>
    <row r="337">
      <c r="A337" s="103">
        <f>IF(Setup!$A85="","",Setup!$A85)</f>
        <v/>
      </c>
      <c r="B337" s="104">
        <f>IF($A337="","",Setup!$B85)</f>
        <v/>
      </c>
      <c r="C337" s="105">
        <f>IF($A337="","",IF(COUNTIFS(Trips!$Z5:$Z1004,$R337,Trips!$D5:$D1004,$A337)+COUNTIFS(Trips!$Z5:$Z1004,$R337,Trips!$E5:$E1004,$A337)=0,"",COUNTIFS(Trips!$Z5:$Z1004,$R337,Trips!$D5:$D1004,$A337)+COUNTIFS(Trips!$Z5:$Z1004,$R337,Trips!$E5:$E1004,$A337)))</f>
        <v/>
      </c>
      <c r="D337" s="106">
        <f>IF($C337="","",SUMIFS(Trips!$K5:$K1004,Trips!$Z5:$Z1004,$R337,Trips!$D5:$D1004,$A337)+SUMIFS(Trips!$K5:$K1004,Trips!$Z5:$Z1004,$R337,Trips!$E5:$E1004,$A337))</f>
        <v/>
      </c>
      <c r="E337" s="107">
        <f>IF($C337="","",SUMIFS(Trips!$N5:$N1004,Trips!$Z5:$Z1004,$R337,Trips!$D5:$D1004,$A337)+SUMIFS(Trips!$O5:$O1004,Trips!$Z5:$Z1004,$R337,Trips!$E5:$E1004,$A337))</f>
        <v/>
      </c>
      <c r="F337" s="108">
        <f>IF($C337="","",SUMIFS(Trips!$P5:$P1004,Trips!$Z5:$Z1004,$R337,Trips!$D5:$D1004,$A337))</f>
        <v/>
      </c>
      <c r="G337" s="108">
        <f>IF($C337="","",SUMIFS(Trips!$Q5:$Q1004,Trips!$Z5:$Z1004,$R337,Trips!$D5:$D1004,$A337))</f>
        <v/>
      </c>
      <c r="H337" s="107">
        <f>IF(AND($C337="",$I337="",$J337=""),"",N($E337)+N($F337)+N($G337))</f>
        <v/>
      </c>
      <c r="I337" s="108">
        <f>IF($A337="","",IFERROR(1/(1/SUMIFS(Expenses!$F5:$F1004,Expenses!$B5:$B1004,"Cash Advance",Expenses!$J5:$J1004,$R337,Expenses!$E5:$E1004,$A337)),""))</f>
        <v/>
      </c>
      <c r="J337" s="108">
        <f>IF($A337="","",IFERROR(1/(1/SUMIFS(Expenses!$F5:$F1004,Expenses!$B5:$B1004,"Payroll Payout",Expenses!$J5:$J1004,$R337,Expenses!$E5:$E1004,$A337)),""))</f>
        <v/>
      </c>
      <c r="K337" s="109">
        <f>IF($H337="","",N($H337)-N($I337)-N($J337))</f>
        <v/>
      </c>
      <c r="L337" s="110">
        <f>IF($K337="","",IF($K337&gt;0.5,"TO PAY",IF($K337&lt;-0.5,"ADVANCE / OWES","SETTLED")))</f>
        <v/>
      </c>
      <c r="R337" s="111" t="n">
        <v>46722</v>
      </c>
    </row>
    <row r="338">
      <c r="A338" s="103">
        <f>IF(Setup!$A86="","",Setup!$A86)</f>
        <v/>
      </c>
      <c r="B338" s="104">
        <f>IF($A338="","",Setup!$B86)</f>
        <v/>
      </c>
      <c r="C338" s="105">
        <f>IF($A338="","",IF(COUNTIFS(Trips!$Z5:$Z1004,$R338,Trips!$D5:$D1004,$A338)+COUNTIFS(Trips!$Z5:$Z1004,$R338,Trips!$E5:$E1004,$A338)=0,"",COUNTIFS(Trips!$Z5:$Z1004,$R338,Trips!$D5:$D1004,$A338)+COUNTIFS(Trips!$Z5:$Z1004,$R338,Trips!$E5:$E1004,$A338)))</f>
        <v/>
      </c>
      <c r="D338" s="106">
        <f>IF($C338="","",SUMIFS(Trips!$K5:$K1004,Trips!$Z5:$Z1004,$R338,Trips!$D5:$D1004,$A338)+SUMIFS(Trips!$K5:$K1004,Trips!$Z5:$Z1004,$R338,Trips!$E5:$E1004,$A338))</f>
        <v/>
      </c>
      <c r="E338" s="107">
        <f>IF($C338="","",SUMIFS(Trips!$N5:$N1004,Trips!$Z5:$Z1004,$R338,Trips!$D5:$D1004,$A338)+SUMIFS(Trips!$O5:$O1004,Trips!$Z5:$Z1004,$R338,Trips!$E5:$E1004,$A338))</f>
        <v/>
      </c>
      <c r="F338" s="108">
        <f>IF($C338="","",SUMIFS(Trips!$P5:$P1004,Trips!$Z5:$Z1004,$R338,Trips!$D5:$D1004,$A338))</f>
        <v/>
      </c>
      <c r="G338" s="108">
        <f>IF($C338="","",SUMIFS(Trips!$Q5:$Q1004,Trips!$Z5:$Z1004,$R338,Trips!$D5:$D1004,$A338))</f>
        <v/>
      </c>
      <c r="H338" s="107">
        <f>IF(AND($C338="",$I338="",$J338=""),"",N($E338)+N($F338)+N($G338))</f>
        <v/>
      </c>
      <c r="I338" s="108">
        <f>IF($A338="","",IFERROR(1/(1/SUMIFS(Expenses!$F5:$F1004,Expenses!$B5:$B1004,"Cash Advance",Expenses!$J5:$J1004,$R338,Expenses!$E5:$E1004,$A338)),""))</f>
        <v/>
      </c>
      <c r="J338" s="108">
        <f>IF($A338="","",IFERROR(1/(1/SUMIFS(Expenses!$F5:$F1004,Expenses!$B5:$B1004,"Payroll Payout",Expenses!$J5:$J1004,$R338,Expenses!$E5:$E1004,$A338)),""))</f>
        <v/>
      </c>
      <c r="K338" s="109">
        <f>IF($H338="","",N($H338)-N($I338)-N($J338))</f>
        <v/>
      </c>
      <c r="L338" s="110">
        <f>IF($K338="","",IF($K338&gt;0.5,"TO PAY",IF($K338&lt;-0.5,"ADVANCE / OWES","SETTLED")))</f>
        <v/>
      </c>
      <c r="R338" s="111" t="n">
        <v>46722</v>
      </c>
    </row>
    <row r="339">
      <c r="A339" s="103">
        <f>IF(Setup!$A87="","",Setup!$A87)</f>
        <v/>
      </c>
      <c r="B339" s="104">
        <f>IF($A339="","",Setup!$B87)</f>
        <v/>
      </c>
      <c r="C339" s="105">
        <f>IF($A339="","",IF(COUNTIFS(Trips!$Z5:$Z1004,$R339,Trips!$D5:$D1004,$A339)+COUNTIFS(Trips!$Z5:$Z1004,$R339,Trips!$E5:$E1004,$A339)=0,"",COUNTIFS(Trips!$Z5:$Z1004,$R339,Trips!$D5:$D1004,$A339)+COUNTIFS(Trips!$Z5:$Z1004,$R339,Trips!$E5:$E1004,$A339)))</f>
        <v/>
      </c>
      <c r="D339" s="106">
        <f>IF($C339="","",SUMIFS(Trips!$K5:$K1004,Trips!$Z5:$Z1004,$R339,Trips!$D5:$D1004,$A339)+SUMIFS(Trips!$K5:$K1004,Trips!$Z5:$Z1004,$R339,Trips!$E5:$E1004,$A339))</f>
        <v/>
      </c>
      <c r="E339" s="107">
        <f>IF($C339="","",SUMIFS(Trips!$N5:$N1004,Trips!$Z5:$Z1004,$R339,Trips!$D5:$D1004,$A339)+SUMIFS(Trips!$O5:$O1004,Trips!$Z5:$Z1004,$R339,Trips!$E5:$E1004,$A339))</f>
        <v/>
      </c>
      <c r="F339" s="108">
        <f>IF($C339="","",SUMIFS(Trips!$P5:$P1004,Trips!$Z5:$Z1004,$R339,Trips!$D5:$D1004,$A339))</f>
        <v/>
      </c>
      <c r="G339" s="108">
        <f>IF($C339="","",SUMIFS(Trips!$Q5:$Q1004,Trips!$Z5:$Z1004,$R339,Trips!$D5:$D1004,$A339))</f>
        <v/>
      </c>
      <c r="H339" s="107">
        <f>IF(AND($C339="",$I339="",$J339=""),"",N($E339)+N($F339)+N($G339))</f>
        <v/>
      </c>
      <c r="I339" s="108">
        <f>IF($A339="","",IFERROR(1/(1/SUMIFS(Expenses!$F5:$F1004,Expenses!$B5:$B1004,"Cash Advance",Expenses!$J5:$J1004,$R339,Expenses!$E5:$E1004,$A339)),""))</f>
        <v/>
      </c>
      <c r="J339" s="108">
        <f>IF($A339="","",IFERROR(1/(1/SUMIFS(Expenses!$F5:$F1004,Expenses!$B5:$B1004,"Payroll Payout",Expenses!$J5:$J1004,$R339,Expenses!$E5:$E1004,$A339)),""))</f>
        <v/>
      </c>
      <c r="K339" s="109">
        <f>IF($H339="","",N($H339)-N($I339)-N($J339))</f>
        <v/>
      </c>
      <c r="L339" s="110">
        <f>IF($K339="","",IF($K339&gt;0.5,"TO PAY",IF($K339&lt;-0.5,"ADVANCE / OWES","SETTLED")))</f>
        <v/>
      </c>
      <c r="R339" s="111" t="n">
        <v>46722</v>
      </c>
    </row>
    <row r="340">
      <c r="A340" s="112" t="inlineStr">
        <is>
          <t>MONTH TOTAL</t>
        </is>
      </c>
      <c r="B340" s="113" t="n"/>
      <c r="C340" s="114">
        <f>IF(COUNT(C328:C339)=0,"",SUM(C328:C339))</f>
        <v/>
      </c>
      <c r="D340" s="115">
        <f>IF(COUNT(D328:D339)=0,"",SUM(D328:D339))</f>
        <v/>
      </c>
      <c r="E340" s="116">
        <f>IF(COUNT(E328:E339)=0,"",SUM(E328:E339))</f>
        <v/>
      </c>
      <c r="F340" s="116">
        <f>IF(COUNT(F328:F339)=0,"",SUM(F328:F339))</f>
        <v/>
      </c>
      <c r="G340" s="116">
        <f>IF(COUNT(G328:G339)=0,"",SUM(G328:G339))</f>
        <v/>
      </c>
      <c r="H340" s="116">
        <f>IF(COUNT(H328:H339)=0,"",SUM(H328:H339))</f>
        <v/>
      </c>
      <c r="I340" s="116">
        <f>IF(COUNT(I328:I339)=0,"",SUM(I328:I339))</f>
        <v/>
      </c>
      <c r="J340" s="116">
        <f>IF(COUNT(J328:J339)=0,"",SUM(J328:J339))</f>
        <v/>
      </c>
      <c r="K340" s="116">
        <f>IF(COUNT(K328:K339)=0,"",SUM(K328:K339))</f>
        <v/>
      </c>
      <c r="L340" s="117" t="n"/>
    </row>
    <row r="342">
      <c r="A342" s="9" t="inlineStr">
        <is>
          <t>BALANCE = total earned – cash advance – payout released. Positive = you still owe the crew. Negative = the crew still owes you (unsettled advance).</t>
        </is>
      </c>
    </row>
    <row r="343">
      <c r="A343" s="9" t="inlineStr">
        <is>
          <t>To cover a new year, copy the last month block (block header + crew rows + total row) and change the month key in the hidden column R.</t>
        </is>
      </c>
    </row>
  </sheetData>
  <mergeCells count="50">
    <mergeCell ref="A130:B130"/>
    <mergeCell ref="A187:L187"/>
    <mergeCell ref="A270:B270"/>
    <mergeCell ref="A186:B186"/>
    <mergeCell ref="A284:B284"/>
    <mergeCell ref="A60:B60"/>
    <mergeCell ref="A243:L243"/>
    <mergeCell ref="A75:L75"/>
    <mergeCell ref="A340:B340"/>
    <mergeCell ref="A89:L89"/>
    <mergeCell ref="A88:B88"/>
    <mergeCell ref="A145:L145"/>
    <mergeCell ref="A228:B228"/>
    <mergeCell ref="A285:L285"/>
    <mergeCell ref="A2:L2"/>
    <mergeCell ref="A256:B256"/>
    <mergeCell ref="A33:L33"/>
    <mergeCell ref="A172:B172"/>
    <mergeCell ref="A313:L313"/>
    <mergeCell ref="A47:L47"/>
    <mergeCell ref="A5:L5"/>
    <mergeCell ref="A46:B46"/>
    <mergeCell ref="A159:L159"/>
    <mergeCell ref="A74:B74"/>
    <mergeCell ref="A326:B326"/>
    <mergeCell ref="A18:B18"/>
    <mergeCell ref="A158:B158"/>
    <mergeCell ref="A215:L215"/>
    <mergeCell ref="A131:L131"/>
    <mergeCell ref="A214:B214"/>
    <mergeCell ref="A327:L327"/>
    <mergeCell ref="A19:L19"/>
    <mergeCell ref="A242:B242"/>
    <mergeCell ref="A298:B298"/>
    <mergeCell ref="A117:L117"/>
    <mergeCell ref="A299:L299"/>
    <mergeCell ref="A32:B32"/>
    <mergeCell ref="A116:B116"/>
    <mergeCell ref="A173:L173"/>
    <mergeCell ref="A229:L229"/>
    <mergeCell ref="A312:B312"/>
    <mergeCell ref="A144:B144"/>
    <mergeCell ref="A200:B200"/>
    <mergeCell ref="A201:L201"/>
    <mergeCell ref="A257:L257"/>
    <mergeCell ref="A1:L1"/>
    <mergeCell ref="A103:L103"/>
    <mergeCell ref="A61:L61"/>
    <mergeCell ref="A102:B102"/>
    <mergeCell ref="A271:L271"/>
  </mergeCells>
  <conditionalFormatting sqref="K5:K340">
    <cfRule type="cellIs" priority="1" operator="greaterThan" dxfId="8">
      <formula>0.5</formula>
    </cfRule>
    <cfRule type="cellIs" priority="2" operator="lessThan" dxfId="5">
      <formula>-0.5</formula>
    </cfRule>
  </conditionalFormatting>
  <conditionalFormatting sqref="L5:L340">
    <cfRule type="expression" priority="3" dxfId="3">
      <formula>$L5="TO PAY"</formula>
    </cfRule>
    <cfRule type="expression" priority="4" dxfId="2">
      <formula>$L5="ADVANCE / OWES"</formula>
    </cfRule>
  </conditionalFormatting>
  <pageMargins left="0.75" right="0.75" top="1" bottom="1" header="0.5" footer="0.5"/>
</worksheet>
</file>

<file path=xl/worksheets/sheet5.xml><?xml version="1.0" encoding="utf-8"?>
<worksheet xmlns="http://schemas.openxmlformats.org/spreadsheetml/2006/main">
  <sheetPr>
    <tabColor rgb="0013315C"/>
    <outlinePr summaryBelow="1" summaryRight="1"/>
    <pageSetUpPr/>
  </sheetPr>
  <dimension ref="A1:Q171"/>
  <sheetViews>
    <sheetView showGridLines="0" workbookViewId="0">
      <selection activeCell="A1" sqref="A1"/>
    </sheetView>
  </sheetViews>
  <sheetFormatPr baseColWidth="8" defaultRowHeight="15"/>
  <cols>
    <col width="34" customWidth="1" min="1" max="1"/>
    <col width="26" customWidth="1" min="2" max="2"/>
    <col width="22" customWidth="1" min="3" max="3"/>
    <col width="14" customWidth="1" min="4" max="4"/>
    <col width="16" customWidth="1" min="5" max="5"/>
    <col width="14" customWidth="1" min="6" max="6"/>
    <col width="13" customWidth="1" min="7" max="7"/>
    <col width="15" customWidth="1" min="8" max="8"/>
    <col width="15" customWidth="1" min="9" max="9"/>
    <col width="17" customWidth="1" min="10" max="10"/>
    <col width="14" customWidth="1" min="11" max="11"/>
    <col width="20" customWidth="1" min="12" max="12"/>
    <col width="12" customWidth="1" min="13" max="13"/>
    <col hidden="1" width="13" customWidth="1" min="16" max="16"/>
    <col hidden="1" width="13" customWidth="1" min="17" max="17"/>
  </cols>
  <sheetData>
    <row r="1" ht="40" customHeight="1">
      <c r="A1" s="77" t="inlineStr">
        <is>
          <t>🚚  SETUP  —  one-time configuration</t>
        </is>
      </c>
    </row>
    <row r="2" ht="20" customHeight="1">
      <c r="A2" s="78" t="inlineStr">
        <is>
          <t>Fill this once. Everything else (rates, crew, loans, expense types) is driven from here.</t>
        </is>
      </c>
    </row>
    <row r="4" ht="22" customHeight="1">
      <c r="A4" s="118" t="inlineStr">
        <is>
          <t>1 · BUSINESS PROFILE</t>
        </is>
      </c>
    </row>
    <row r="5">
      <c r="A5" s="119" t="inlineStr">
        <is>
          <t>Company Name</t>
        </is>
      </c>
      <c r="B5" s="120" t="inlineStr">
        <is>
          <t>J&amp;Z Trucking Services</t>
        </is>
      </c>
      <c r="C5" s="121" t="n"/>
      <c r="D5" s="122" t="n"/>
    </row>
    <row r="6">
      <c r="A6" s="119" t="inlineStr">
        <is>
          <t>Owner / Proprietor</t>
        </is>
      </c>
      <c r="B6" s="120" t="inlineStr"/>
      <c r="C6" s="121" t="n"/>
      <c r="D6" s="122" t="n"/>
    </row>
    <row r="7">
      <c r="A7" s="119" t="inlineStr">
        <is>
          <t>Contact Number</t>
        </is>
      </c>
      <c r="B7" s="120" t="inlineStr"/>
      <c r="C7" s="121" t="n"/>
      <c r="D7" s="122" t="n"/>
    </row>
    <row r="8">
      <c r="A8" s="119" t="inlineStr">
        <is>
          <t>Business Address</t>
        </is>
      </c>
      <c r="B8" s="120" t="inlineStr"/>
      <c r="C8" s="121" t="n"/>
      <c r="D8" s="122" t="n"/>
    </row>
    <row r="9">
      <c r="A9" s="119" t="inlineStr">
        <is>
          <t>TIN (for invoicing)</t>
        </is>
      </c>
      <c r="B9" s="120" t="inlineStr"/>
      <c r="C9" s="121" t="n"/>
      <c r="D9" s="122" t="n"/>
    </row>
    <row r="10">
      <c r="A10" s="119" t="inlineStr">
        <is>
          <t>Currency</t>
        </is>
      </c>
      <c r="B10" s="120" t="inlineStr">
        <is>
          <t>₱ PHP – Philippine Peso</t>
        </is>
      </c>
      <c r="C10" s="121" t="n"/>
      <c r="D10" s="122" t="n"/>
    </row>
    <row r="12" ht="22" customHeight="1">
      <c r="A12" s="118" t="inlineStr">
        <is>
          <t>2 · MONEY RULES  (edit the yellow cells — every trip recalculates)</t>
        </is>
      </c>
    </row>
    <row r="13">
      <c r="A13" s="119" t="inlineStr">
        <is>
          <t>Withholding tax on gross fee</t>
        </is>
      </c>
      <c r="B13" s="123" t="n">
        <v>0.02</v>
      </c>
      <c r="C13" s="124" t="inlineStr">
        <is>
          <t>Deducted from the hauling fee before crew shares.</t>
        </is>
      </c>
    </row>
    <row r="14">
      <c r="A14" s="119" t="inlineStr">
        <is>
          <t>Driver share of NET fee</t>
        </is>
      </c>
      <c r="B14" s="123" t="n">
        <v>0.1</v>
      </c>
      <c r="C14" s="124" t="inlineStr">
        <is>
          <t>Net fee = gross fee less withholding tax.</t>
        </is>
      </c>
    </row>
    <row r="15">
      <c r="A15" s="119" t="inlineStr">
        <is>
          <t>Helper share of NET fee</t>
        </is>
      </c>
      <c r="B15" s="123" t="n">
        <v>0.05</v>
      </c>
      <c r="C15" s="124" t="inlineStr">
        <is>
          <t>Same base as the driver share.</t>
        </is>
      </c>
    </row>
    <row r="16">
      <c r="A16" s="119" t="inlineStr">
        <is>
          <t>Default fuel surcharge</t>
        </is>
      </c>
      <c r="B16" s="123" t="n">
        <v>0.18</v>
      </c>
      <c r="C16" s="124" t="inlineStr">
        <is>
          <t>Added on top of the rate table on every trip (editable per trip).</t>
        </is>
      </c>
    </row>
    <row r="17">
      <c r="A17" s="119" t="inlineStr">
        <is>
          <t>Default allowance per trip</t>
        </is>
      </c>
      <c r="B17" s="125" t="n">
        <v>500</v>
      </c>
      <c r="C17" s="124" t="inlineStr">
        <is>
          <t>Cash given to the driver per trip (editable per trip).</t>
        </is>
      </c>
    </row>
    <row r="19" ht="22" customHeight="1">
      <c r="A19" s="118" t="inlineStr">
        <is>
          <t>3 · RATE TABLE  —  ₱ per TON (from J&amp;Z Bulk Rate sheet, before fuel surcharge)</t>
        </is>
      </c>
    </row>
    <row r="20" ht="28" customHeight="1">
      <c r="A20" s="126" t="inlineStr">
        <is>
          <t>SOURCE (origin)</t>
        </is>
      </c>
      <c r="B20" s="126" t="inlineStr">
        <is>
          <t>DESTINATION</t>
        </is>
      </c>
      <c r="C20" s="126" t="inlineStr">
        <is>
          <t>RATE ₱ / TON</t>
        </is>
      </c>
      <c r="D20" s="126" t="inlineStr">
        <is>
          <t>SURCHARGE</t>
        </is>
      </c>
      <c r="E20" s="126" t="inlineStr">
        <is>
          <t>EFFECTIVE ₱/TON</t>
        </is>
      </c>
      <c r="P20" s="92" t="inlineStr">
        <is>
          <t>KEY (hidden)</t>
        </is>
      </c>
    </row>
    <row r="21">
      <c r="A21" s="127" t="inlineStr">
        <is>
          <t>BATAAN</t>
        </is>
      </c>
      <c r="B21" s="127" t="inlineStr">
        <is>
          <t>TARLAC</t>
        </is>
      </c>
      <c r="C21" s="128" t="n">
        <v>820</v>
      </c>
      <c r="D21" s="129">
        <f>IF($C21="","",Setup!$B$16)</f>
        <v/>
      </c>
      <c r="E21" s="130">
        <f>IF($C21="","",ROUND($C21*(1+$D21),2))</f>
        <v/>
      </c>
      <c r="P21" s="92">
        <f>IF($C21="","",UPPER(TRIM($A21))&amp;"|"&amp;UPPER(TRIM($B21)))</f>
        <v/>
      </c>
      <c r="Q21" s="92">
        <f>IF($C21="","","|"&amp;UPPER(TRIM($B21)))</f>
        <v/>
      </c>
    </row>
    <row r="22">
      <c r="A22" s="131" t="inlineStr">
        <is>
          <t>BATAAN</t>
        </is>
      </c>
      <c r="B22" s="131" t="inlineStr">
        <is>
          <t>BMPP</t>
        </is>
      </c>
      <c r="C22" s="128" t="n">
        <v>950</v>
      </c>
      <c r="D22" s="132">
        <f>IF($C22="","",Setup!$B$16)</f>
        <v/>
      </c>
      <c r="E22" s="133">
        <f>IF($C22="","",ROUND($C22*(1+$D22),2))</f>
        <v/>
      </c>
      <c r="P22" s="92">
        <f>IF($C22="","",UPPER(TRIM($A22))&amp;"|"&amp;UPPER(TRIM($B22)))</f>
        <v/>
      </c>
      <c r="Q22" s="92">
        <f>IF($C22="","","|"&amp;UPPER(TRIM($B22)))</f>
        <v/>
      </c>
    </row>
    <row r="23">
      <c r="A23" s="127" t="inlineStr">
        <is>
          <t>BATAAN</t>
        </is>
      </c>
      <c r="B23" s="127" t="inlineStr">
        <is>
          <t>BULACAN</t>
        </is>
      </c>
      <c r="C23" s="128" t="n">
        <v>870</v>
      </c>
      <c r="D23" s="129">
        <f>IF($C23="","",Setup!$B$16)</f>
        <v/>
      </c>
      <c r="E23" s="130">
        <f>IF($C23="","",ROUND($C23*(1+$D23),2))</f>
        <v/>
      </c>
      <c r="P23" s="92">
        <f>IF($C23="","",UPPER(TRIM($A23))&amp;"|"&amp;UPPER(TRIM($B23)))</f>
        <v/>
      </c>
      <c r="Q23" s="92">
        <f>IF($C23="","","|"&amp;UPPER(TRIM($B23)))</f>
        <v/>
      </c>
    </row>
    <row r="24">
      <c r="A24" s="131" t="inlineStr">
        <is>
          <t>BATAAN</t>
        </is>
      </c>
      <c r="B24" s="131" t="inlineStr">
        <is>
          <t>BMEG BATAAN</t>
        </is>
      </c>
      <c r="C24" s="128" t="n">
        <v>104</v>
      </c>
      <c r="D24" s="132">
        <f>IF($C24="","",Setup!$B$16)</f>
        <v/>
      </c>
      <c r="E24" s="133">
        <f>IF($C24="","",ROUND($C24*(1+$D24),2))</f>
        <v/>
      </c>
      <c r="P24" s="92">
        <f>IF($C24="","",UPPER(TRIM($A24))&amp;"|"&amp;UPPER(TRIM($B24)))</f>
        <v/>
      </c>
      <c r="Q24" s="92">
        <f>IF($C24="","","|"&amp;UPPER(TRIM($B24)))</f>
        <v/>
      </c>
    </row>
    <row r="25">
      <c r="A25" s="127" t="inlineStr">
        <is>
          <t>BATAAN</t>
        </is>
      </c>
      <c r="B25" s="127" t="inlineStr">
        <is>
          <t>BATAAN EXTERNAL WHSE</t>
        </is>
      </c>
      <c r="C25" s="128" t="n">
        <v>104</v>
      </c>
      <c r="D25" s="129">
        <f>IF($C25="","",Setup!$B$16)</f>
        <v/>
      </c>
      <c r="E25" s="130">
        <f>IF($C25="","",ROUND($C25*(1+$D25),2))</f>
        <v/>
      </c>
      <c r="P25" s="92">
        <f>IF($C25="","",UPPER(TRIM($A25))&amp;"|"&amp;UPPER(TRIM($B25)))</f>
        <v/>
      </c>
      <c r="Q25" s="92">
        <f>IF($C25="","","|"&amp;UPPER(TRIM($B25)))</f>
        <v/>
      </c>
    </row>
    <row r="26">
      <c r="A26" s="131" t="inlineStr">
        <is>
          <t>BATAAN</t>
        </is>
      </c>
      <c r="B26" s="131" t="inlineStr">
        <is>
          <t>ISABELA</t>
        </is>
      </c>
      <c r="C26" s="128" t="n">
        <v>2100</v>
      </c>
      <c r="D26" s="132">
        <f>IF($C26="","",Setup!$B$16)</f>
        <v/>
      </c>
      <c r="E26" s="133">
        <f>IF($C26="","",ROUND($C26*(1+$D26),2))</f>
        <v/>
      </c>
      <c r="P26" s="92">
        <f>IF($C26="","",UPPER(TRIM($A26))&amp;"|"&amp;UPPER(TRIM($B26)))</f>
        <v/>
      </c>
      <c r="Q26" s="92">
        <f>IF($C26="","","|"&amp;UPPER(TRIM($B26)))</f>
        <v/>
      </c>
    </row>
    <row r="27">
      <c r="A27" s="127" t="inlineStr">
        <is>
          <t>BATAAN</t>
        </is>
      </c>
      <c r="B27" s="127" t="inlineStr">
        <is>
          <t>ARMOR</t>
        </is>
      </c>
      <c r="C27" s="128" t="n">
        <v>900</v>
      </c>
      <c r="D27" s="129">
        <f>IF($C27="","",Setup!$B$16)</f>
        <v/>
      </c>
      <c r="E27" s="130">
        <f>IF($C27="","",ROUND($C27*(1+$D27),2))</f>
        <v/>
      </c>
      <c r="P27" s="92">
        <f>IF($C27="","",UPPER(TRIM($A27))&amp;"|"&amp;UPPER(TRIM($B27)))</f>
        <v/>
      </c>
      <c r="Q27" s="92">
        <f>IF($C27="","","|"&amp;UPPER(TRIM($B27)))</f>
        <v/>
      </c>
    </row>
    <row r="28">
      <c r="A28" s="131" t="inlineStr">
        <is>
          <t>ORION</t>
        </is>
      </c>
      <c r="B28" s="131" t="inlineStr">
        <is>
          <t>BATAAN</t>
        </is>
      </c>
      <c r="C28" s="128" t="n">
        <v>350</v>
      </c>
      <c r="D28" s="132">
        <f>IF($C28="","",Setup!$B$16)</f>
        <v/>
      </c>
      <c r="E28" s="133">
        <f>IF($C28="","",ROUND($C28*(1+$D28),2))</f>
        <v/>
      </c>
      <c r="P28" s="92">
        <f>IF($C28="","",UPPER(TRIM($A28))&amp;"|"&amp;UPPER(TRIM($B28)))</f>
        <v/>
      </c>
      <c r="Q28" s="92">
        <f>IF($C28="","","|"&amp;UPPER(TRIM($B28)))</f>
        <v/>
      </c>
    </row>
    <row r="29">
      <c r="A29" s="127" t="inlineStr">
        <is>
          <t>ORION</t>
        </is>
      </c>
      <c r="B29" s="127" t="inlineStr">
        <is>
          <t>TARLAC</t>
        </is>
      </c>
      <c r="C29" s="128" t="n">
        <v>730</v>
      </c>
      <c r="D29" s="129">
        <f>IF($C29="","",Setup!$B$16)</f>
        <v/>
      </c>
      <c r="E29" s="130">
        <f>IF($C29="","",ROUND($C29*(1+$D29),2))</f>
        <v/>
      </c>
      <c r="P29" s="92">
        <f>IF($C29="","",UPPER(TRIM($A29))&amp;"|"&amp;UPPER(TRIM($B29)))</f>
        <v/>
      </c>
      <c r="Q29" s="92">
        <f>IF($C29="","","|"&amp;UPPER(TRIM($B29)))</f>
        <v/>
      </c>
    </row>
    <row r="30">
      <c r="A30" s="131" t="inlineStr">
        <is>
          <t>ORION</t>
        </is>
      </c>
      <c r="B30" s="131" t="inlineStr">
        <is>
          <t>BMPP</t>
        </is>
      </c>
      <c r="C30" s="128" t="n">
        <v>900</v>
      </c>
      <c r="D30" s="132">
        <f>IF($C30="","",Setup!$B$16)</f>
        <v/>
      </c>
      <c r="E30" s="133">
        <f>IF($C30="","",ROUND($C30*(1+$D30),2))</f>
        <v/>
      </c>
      <c r="P30" s="92">
        <f>IF($C30="","",UPPER(TRIM($A30))&amp;"|"&amp;UPPER(TRIM($B30)))</f>
        <v/>
      </c>
      <c r="Q30" s="92">
        <f>IF($C30="","","|"&amp;UPPER(TRIM($B30)))</f>
        <v/>
      </c>
    </row>
    <row r="31">
      <c r="A31" s="127" t="inlineStr">
        <is>
          <t>ORION</t>
        </is>
      </c>
      <c r="B31" s="127" t="inlineStr">
        <is>
          <t>ROSALES</t>
        </is>
      </c>
      <c r="C31" s="128" t="n">
        <v>790</v>
      </c>
      <c r="D31" s="129">
        <f>IF($C31="","",Setup!$B$16)</f>
        <v/>
      </c>
      <c r="E31" s="130">
        <f>IF($C31="","",ROUND($C31*(1+$D31),2))</f>
        <v/>
      </c>
      <c r="P31" s="92">
        <f>IF($C31="","",UPPER(TRIM($A31))&amp;"|"&amp;UPPER(TRIM($B31)))</f>
        <v/>
      </c>
      <c r="Q31" s="92">
        <f>IF($C31="","","|"&amp;UPPER(TRIM($B31)))</f>
        <v/>
      </c>
    </row>
    <row r="32">
      <c r="A32" s="131" t="inlineStr">
        <is>
          <t>ORION</t>
        </is>
      </c>
      <c r="B32" s="131" t="inlineStr">
        <is>
          <t>BULACAN</t>
        </is>
      </c>
      <c r="C32" s="128" t="n">
        <v>710</v>
      </c>
      <c r="D32" s="132">
        <f>IF($C32="","",Setup!$B$16)</f>
        <v/>
      </c>
      <c r="E32" s="133">
        <f>IF($C32="","",ROUND($C32*(1+$D32),2))</f>
        <v/>
      </c>
      <c r="P32" s="92">
        <f>IF($C32="","",UPPER(TRIM($A32))&amp;"|"&amp;UPPER(TRIM($B32)))</f>
        <v/>
      </c>
      <c r="Q32" s="92">
        <f>IF($C32="","","|"&amp;UPPER(TRIM($B32)))</f>
        <v/>
      </c>
    </row>
    <row r="33">
      <c r="A33" s="127" t="inlineStr">
        <is>
          <t>ORION</t>
        </is>
      </c>
      <c r="B33" s="127" t="inlineStr">
        <is>
          <t>ISABELA</t>
        </is>
      </c>
      <c r="C33" s="128" t="n">
        <v>1000</v>
      </c>
      <c r="D33" s="129">
        <f>IF($C33="","",Setup!$B$16)</f>
        <v/>
      </c>
      <c r="E33" s="130">
        <f>IF($C33="","",ROUND($C33*(1+$D33),2))</f>
        <v/>
      </c>
      <c r="P33" s="92">
        <f>IF($C33="","",UPPER(TRIM($A33))&amp;"|"&amp;UPPER(TRIM($B33)))</f>
        <v/>
      </c>
      <c r="Q33" s="92">
        <f>IF($C33="","","|"&amp;UPPER(TRIM($B33)))</f>
        <v/>
      </c>
    </row>
    <row r="34">
      <c r="A34" s="131" t="inlineStr">
        <is>
          <t>ORION</t>
        </is>
      </c>
      <c r="B34" s="131" t="inlineStr">
        <is>
          <t>CAPAS</t>
        </is>
      </c>
      <c r="C34" s="128" t="n">
        <v>550</v>
      </c>
      <c r="D34" s="132">
        <f>IF($C34="","",Setup!$B$16)</f>
        <v/>
      </c>
      <c r="E34" s="133">
        <f>IF($C34="","",ROUND($C34*(1+$D34),2))</f>
        <v/>
      </c>
      <c r="P34" s="92">
        <f>IF($C34="","",UPPER(TRIM($A34))&amp;"|"&amp;UPPER(TRIM($B34)))</f>
        <v/>
      </c>
      <c r="Q34" s="92">
        <f>IF($C34="","","|"&amp;UPPER(TRIM($B34)))</f>
        <v/>
      </c>
    </row>
    <row r="35">
      <c r="A35" s="127" t="inlineStr">
        <is>
          <t>MABINI, BATANGAS</t>
        </is>
      </c>
      <c r="B35" s="127" t="inlineStr">
        <is>
          <t>IBAAN EXT.</t>
        </is>
      </c>
      <c r="C35" s="128" t="n">
        <v>320</v>
      </c>
      <c r="D35" s="129">
        <f>IF($C35="","",Setup!$B$16)</f>
        <v/>
      </c>
      <c r="E35" s="130">
        <f>IF($C35="","",ROUND($C35*(1+$D35),2))</f>
        <v/>
      </c>
      <c r="P35" s="92">
        <f>IF($C35="","",UPPER(TRIM($A35))&amp;"|"&amp;UPPER(TRIM($B35)))</f>
        <v/>
      </c>
      <c r="Q35" s="92">
        <f>IF($C35="","","|"&amp;UPPER(TRIM($B35)))</f>
        <v/>
      </c>
    </row>
    <row r="36">
      <c r="A36" s="131" t="inlineStr">
        <is>
          <t>MABINI, BATANGAS</t>
        </is>
      </c>
      <c r="B36" s="131" t="inlineStr">
        <is>
          <t>MASAYA EXT.</t>
        </is>
      </c>
      <c r="C36" s="128" t="n">
        <v>320</v>
      </c>
      <c r="D36" s="132">
        <f>IF($C36="","",Setup!$B$16)</f>
        <v/>
      </c>
      <c r="E36" s="133">
        <f>IF($C36="","",ROUND($C36*(1+$D36),2))</f>
        <v/>
      </c>
      <c r="P36" s="92">
        <f>IF($C36="","",UPPER(TRIM($A36))&amp;"|"&amp;UPPER(TRIM($B36)))</f>
        <v/>
      </c>
      <c r="Q36" s="92">
        <f>IF($C36="","","|"&amp;UPPER(TRIM($B36)))</f>
        <v/>
      </c>
    </row>
    <row r="37">
      <c r="A37" s="127" t="inlineStr">
        <is>
          <t>MABINI, BATANGAS</t>
        </is>
      </c>
      <c r="B37" s="127" t="inlineStr">
        <is>
          <t>ARMOR</t>
        </is>
      </c>
      <c r="C37" s="128" t="n">
        <v>420</v>
      </c>
      <c r="D37" s="129">
        <f>IF($C37="","",Setup!$B$16)</f>
        <v/>
      </c>
      <c r="E37" s="130">
        <f>IF($C37="","",ROUND($C37*(1+$D37),2))</f>
        <v/>
      </c>
      <c r="P37" s="92">
        <f>IF($C37="","",UPPER(TRIM($A37))&amp;"|"&amp;UPPER(TRIM($B37)))</f>
        <v/>
      </c>
      <c r="Q37" s="92">
        <f>IF($C37="","","|"&amp;UPPER(TRIM($B37)))</f>
        <v/>
      </c>
    </row>
    <row r="38">
      <c r="A38" s="131" t="inlineStr">
        <is>
          <t>MABINI, BATANGAS</t>
        </is>
      </c>
      <c r="B38" s="131" t="inlineStr">
        <is>
          <t>TARLAC</t>
        </is>
      </c>
      <c r="C38" s="128" t="n">
        <v>1300</v>
      </c>
      <c r="D38" s="132">
        <f>IF($C38="","",Setup!$B$16)</f>
        <v/>
      </c>
      <c r="E38" s="133">
        <f>IF($C38="","",ROUND($C38*(1+$D38),2))</f>
        <v/>
      </c>
      <c r="P38" s="92">
        <f>IF($C38="","",UPPER(TRIM($A38))&amp;"|"&amp;UPPER(TRIM($B38)))</f>
        <v/>
      </c>
      <c r="Q38" s="92">
        <f>IF($C38="","","|"&amp;UPPER(TRIM($B38)))</f>
        <v/>
      </c>
    </row>
    <row r="39">
      <c r="A39" s="127" t="inlineStr">
        <is>
          <t>MABINI, BATANGAS</t>
        </is>
      </c>
      <c r="B39" s="127" t="inlineStr">
        <is>
          <t>BMPP</t>
        </is>
      </c>
      <c r="C39" s="128" t="n">
        <v>1450</v>
      </c>
      <c r="D39" s="129">
        <f>IF($C39="","",Setup!$B$16)</f>
        <v/>
      </c>
      <c r="E39" s="130">
        <f>IF($C39="","",ROUND($C39*(1+$D39),2))</f>
        <v/>
      </c>
      <c r="P39" s="92">
        <f>IF($C39="","",UPPER(TRIM($A39))&amp;"|"&amp;UPPER(TRIM($B39)))</f>
        <v/>
      </c>
      <c r="Q39" s="92">
        <f>IF($C39="","","|"&amp;UPPER(TRIM($B39)))</f>
        <v/>
      </c>
    </row>
    <row r="40">
      <c r="A40" s="131" t="inlineStr">
        <is>
          <t>MABINI, BATANGAS</t>
        </is>
      </c>
      <c r="B40" s="131" t="inlineStr">
        <is>
          <t>BATAAN</t>
        </is>
      </c>
      <c r="C40" s="128" t="n">
        <v>1460</v>
      </c>
      <c r="D40" s="132">
        <f>IF($C40="","",Setup!$B$16)</f>
        <v/>
      </c>
      <c r="E40" s="133">
        <f>IF($C40="","",ROUND($C40*(1+$D40),2))</f>
        <v/>
      </c>
      <c r="P40" s="92">
        <f>IF($C40="","",UPPER(TRIM($A40))&amp;"|"&amp;UPPER(TRIM($B40)))</f>
        <v/>
      </c>
      <c r="Q40" s="92">
        <f>IF($C40="","","|"&amp;UPPER(TRIM($B40)))</f>
        <v/>
      </c>
    </row>
    <row r="41">
      <c r="A41" s="127" t="inlineStr">
        <is>
          <t>MABINI, BATANGAS</t>
        </is>
      </c>
      <c r="B41" s="127" t="inlineStr">
        <is>
          <t>BULACAN</t>
        </is>
      </c>
      <c r="C41" s="128" t="n">
        <v>920</v>
      </c>
      <c r="D41" s="129">
        <f>IF($C41="","",Setup!$B$16)</f>
        <v/>
      </c>
      <c r="E41" s="130">
        <f>IF($C41="","",ROUND($C41*(1+$D41),2))</f>
        <v/>
      </c>
      <c r="P41" s="92">
        <f>IF($C41="","",UPPER(TRIM($A41))&amp;"|"&amp;UPPER(TRIM($B41)))</f>
        <v/>
      </c>
      <c r="Q41" s="92">
        <f>IF($C41="","","|"&amp;UPPER(TRIM($B41)))</f>
        <v/>
      </c>
    </row>
    <row r="42">
      <c r="A42" s="131" t="inlineStr">
        <is>
          <t>MABINI, BATANGAS</t>
        </is>
      </c>
      <c r="B42" s="131" t="inlineStr">
        <is>
          <t>ISABELA</t>
        </is>
      </c>
      <c r="C42" s="128" t="n">
        <v>1000</v>
      </c>
      <c r="D42" s="132">
        <f>IF($C42="","",Setup!$B$16)</f>
        <v/>
      </c>
      <c r="E42" s="133">
        <f>IF($C42="","",ROUND($C42*(1+$D42),2))</f>
        <v/>
      </c>
      <c r="P42" s="92">
        <f>IF($C42="","",UPPER(TRIM($A42))&amp;"|"&amp;UPPER(TRIM($B42)))</f>
        <v/>
      </c>
      <c r="Q42" s="92">
        <f>IF($C42="","","|"&amp;UPPER(TRIM($B42)))</f>
        <v/>
      </c>
    </row>
    <row r="43">
      <c r="A43" s="127" t="inlineStr">
        <is>
          <t>MABINI, BATANGAS</t>
        </is>
      </c>
      <c r="B43" s="127" t="inlineStr">
        <is>
          <t>MONCADA</t>
        </is>
      </c>
      <c r="C43" s="128" t="n">
        <v>975</v>
      </c>
      <c r="D43" s="129">
        <f>IF($C43="","",Setup!$B$16)</f>
        <v/>
      </c>
      <c r="E43" s="130">
        <f>IF($C43="","",ROUND($C43*(1+$D43),2))</f>
        <v/>
      </c>
      <c r="P43" s="92">
        <f>IF($C43="","",UPPER(TRIM($A43))&amp;"|"&amp;UPPER(TRIM($B43)))</f>
        <v/>
      </c>
      <c r="Q43" s="92">
        <f>IF($C43="","","|"&amp;UPPER(TRIM($B43)))</f>
        <v/>
      </c>
    </row>
    <row r="44">
      <c r="A44" s="131" t="inlineStr"/>
      <c r="B44" s="131" t="inlineStr"/>
      <c r="C44" s="134" t="n"/>
      <c r="D44" s="132">
        <f>IF($C44="","",Setup!$B$16)</f>
        <v/>
      </c>
      <c r="E44" s="133">
        <f>IF($C44="","",ROUND($C44*(1+$D44),2))</f>
        <v/>
      </c>
      <c r="P44" s="92">
        <f>IF($C44="","",UPPER(TRIM($A44))&amp;"|"&amp;UPPER(TRIM($B44)))</f>
        <v/>
      </c>
      <c r="Q44" s="92">
        <f>IF($C44="","","|"&amp;UPPER(TRIM($B44)))</f>
        <v/>
      </c>
    </row>
    <row r="45">
      <c r="A45" s="127" t="inlineStr"/>
      <c r="B45" s="127" t="inlineStr"/>
      <c r="C45" s="135" t="n"/>
      <c r="D45" s="129">
        <f>IF($C45="","",Setup!$B$16)</f>
        <v/>
      </c>
      <c r="E45" s="130">
        <f>IF($C45="","",ROUND($C45*(1+$D45),2))</f>
        <v/>
      </c>
      <c r="P45" s="92">
        <f>IF($C45="","",UPPER(TRIM($A45))&amp;"|"&amp;UPPER(TRIM($B45)))</f>
        <v/>
      </c>
      <c r="Q45" s="92">
        <f>IF($C45="","","|"&amp;UPPER(TRIM($B45)))</f>
        <v/>
      </c>
    </row>
    <row r="46">
      <c r="A46" s="131" t="inlineStr"/>
      <c r="B46" s="131" t="inlineStr"/>
      <c r="C46" s="134" t="n"/>
      <c r="D46" s="132">
        <f>IF($C46="","",Setup!$B$16)</f>
        <v/>
      </c>
      <c r="E46" s="133">
        <f>IF($C46="","",ROUND($C46*(1+$D46),2))</f>
        <v/>
      </c>
      <c r="P46" s="92">
        <f>IF($C46="","",UPPER(TRIM($A46))&amp;"|"&amp;UPPER(TRIM($B46)))</f>
        <v/>
      </c>
      <c r="Q46" s="92">
        <f>IF($C46="","","|"&amp;UPPER(TRIM($B46)))</f>
        <v/>
      </c>
    </row>
    <row r="47">
      <c r="A47" s="127" t="inlineStr"/>
      <c r="B47" s="127" t="inlineStr"/>
      <c r="C47" s="135" t="n"/>
      <c r="D47" s="129">
        <f>IF($C47="","",Setup!$B$16)</f>
        <v/>
      </c>
      <c r="E47" s="130">
        <f>IF($C47="","",ROUND($C47*(1+$D47),2))</f>
        <v/>
      </c>
      <c r="P47" s="92">
        <f>IF($C47="","",UPPER(TRIM($A47))&amp;"|"&amp;UPPER(TRIM($B47)))</f>
        <v/>
      </c>
      <c r="Q47" s="92">
        <f>IF($C47="","","|"&amp;UPPER(TRIM($B47)))</f>
        <v/>
      </c>
    </row>
    <row r="48">
      <c r="A48" s="131" t="inlineStr"/>
      <c r="B48" s="131" t="inlineStr"/>
      <c r="C48" s="134" t="n"/>
      <c r="D48" s="132">
        <f>IF($C48="","",Setup!$B$16)</f>
        <v/>
      </c>
      <c r="E48" s="133">
        <f>IF($C48="","",ROUND($C48*(1+$D48),2))</f>
        <v/>
      </c>
      <c r="P48" s="92">
        <f>IF($C48="","",UPPER(TRIM($A48))&amp;"|"&amp;UPPER(TRIM($B48)))</f>
        <v/>
      </c>
      <c r="Q48" s="92">
        <f>IF($C48="","","|"&amp;UPPER(TRIM($B48)))</f>
        <v/>
      </c>
    </row>
    <row r="49">
      <c r="A49" s="127" t="inlineStr"/>
      <c r="B49" s="127" t="inlineStr"/>
      <c r="C49" s="135" t="n"/>
      <c r="D49" s="129">
        <f>IF($C49="","",Setup!$B$16)</f>
        <v/>
      </c>
      <c r="E49" s="130">
        <f>IF($C49="","",ROUND($C49*(1+$D49),2))</f>
        <v/>
      </c>
      <c r="P49" s="92">
        <f>IF($C49="","",UPPER(TRIM($A49))&amp;"|"&amp;UPPER(TRIM($B49)))</f>
        <v/>
      </c>
      <c r="Q49" s="92">
        <f>IF($C49="","","|"&amp;UPPER(TRIM($B49)))</f>
        <v/>
      </c>
    </row>
    <row r="50">
      <c r="A50" s="131" t="inlineStr"/>
      <c r="B50" s="131" t="inlineStr"/>
      <c r="C50" s="134" t="n"/>
      <c r="D50" s="132">
        <f>IF($C50="","",Setup!$B$16)</f>
        <v/>
      </c>
      <c r="E50" s="133">
        <f>IF($C50="","",ROUND($C50*(1+$D50),2))</f>
        <v/>
      </c>
      <c r="P50" s="92">
        <f>IF($C50="","",UPPER(TRIM($A50))&amp;"|"&amp;UPPER(TRIM($B50)))</f>
        <v/>
      </c>
      <c r="Q50" s="92">
        <f>IF($C50="","","|"&amp;UPPER(TRIM($B50)))</f>
        <v/>
      </c>
    </row>
    <row r="51">
      <c r="A51" s="127" t="inlineStr"/>
      <c r="B51" s="127" t="inlineStr"/>
      <c r="C51" s="135" t="n"/>
      <c r="D51" s="129">
        <f>IF($C51="","",Setup!$B$16)</f>
        <v/>
      </c>
      <c r="E51" s="130">
        <f>IF($C51="","",ROUND($C51*(1+$D51),2))</f>
        <v/>
      </c>
      <c r="P51" s="92">
        <f>IF($C51="","",UPPER(TRIM($A51))&amp;"|"&amp;UPPER(TRIM($B51)))</f>
        <v/>
      </c>
      <c r="Q51" s="92">
        <f>IF($C51="","","|"&amp;UPPER(TRIM($B51)))</f>
        <v/>
      </c>
    </row>
    <row r="52">
      <c r="A52" s="131" t="inlineStr"/>
      <c r="B52" s="131" t="inlineStr"/>
      <c r="C52" s="134" t="n"/>
      <c r="D52" s="132">
        <f>IF($C52="","",Setup!$B$16)</f>
        <v/>
      </c>
      <c r="E52" s="133">
        <f>IF($C52="","",ROUND($C52*(1+$D52),2))</f>
        <v/>
      </c>
      <c r="P52" s="92">
        <f>IF($C52="","",UPPER(TRIM($A52))&amp;"|"&amp;UPPER(TRIM($B52)))</f>
        <v/>
      </c>
      <c r="Q52" s="92">
        <f>IF($C52="","","|"&amp;UPPER(TRIM($B52)))</f>
        <v/>
      </c>
    </row>
    <row r="53">
      <c r="A53" s="127" t="inlineStr"/>
      <c r="B53" s="127" t="inlineStr"/>
      <c r="C53" s="135" t="n"/>
      <c r="D53" s="129">
        <f>IF($C53="","",Setup!$B$16)</f>
        <v/>
      </c>
      <c r="E53" s="130">
        <f>IF($C53="","",ROUND($C53*(1+$D53),2))</f>
        <v/>
      </c>
      <c r="P53" s="92">
        <f>IF($C53="","",UPPER(TRIM($A53))&amp;"|"&amp;UPPER(TRIM($B53)))</f>
        <v/>
      </c>
      <c r="Q53" s="92">
        <f>IF($C53="","","|"&amp;UPPER(TRIM($B53)))</f>
        <v/>
      </c>
    </row>
    <row r="54">
      <c r="A54" s="131" t="inlineStr"/>
      <c r="B54" s="131" t="inlineStr"/>
      <c r="C54" s="134" t="n"/>
      <c r="D54" s="132">
        <f>IF($C54="","",Setup!$B$16)</f>
        <v/>
      </c>
      <c r="E54" s="133">
        <f>IF($C54="","",ROUND($C54*(1+$D54),2))</f>
        <v/>
      </c>
      <c r="P54" s="92">
        <f>IF($C54="","",UPPER(TRIM($A54))&amp;"|"&amp;UPPER(TRIM($B54)))</f>
        <v/>
      </c>
      <c r="Q54" s="92">
        <f>IF($C54="","","|"&amp;UPPER(TRIM($B54)))</f>
        <v/>
      </c>
    </row>
    <row r="55">
      <c r="A55" s="127" t="inlineStr"/>
      <c r="B55" s="127" t="inlineStr"/>
      <c r="C55" s="135" t="n"/>
      <c r="D55" s="129">
        <f>IF($C55="","",Setup!$B$16)</f>
        <v/>
      </c>
      <c r="E55" s="130">
        <f>IF($C55="","",ROUND($C55*(1+$D55),2))</f>
        <v/>
      </c>
      <c r="P55" s="92">
        <f>IF($C55="","",UPPER(TRIM($A55))&amp;"|"&amp;UPPER(TRIM($B55)))</f>
        <v/>
      </c>
      <c r="Q55" s="92">
        <f>IF($C55="","","|"&amp;UPPER(TRIM($B55)))</f>
        <v/>
      </c>
    </row>
    <row r="56">
      <c r="A56" s="131" t="inlineStr"/>
      <c r="B56" s="131" t="inlineStr"/>
      <c r="C56" s="134" t="n"/>
      <c r="D56" s="132">
        <f>IF($C56="","",Setup!$B$16)</f>
        <v/>
      </c>
      <c r="E56" s="133">
        <f>IF($C56="","",ROUND($C56*(1+$D56),2))</f>
        <v/>
      </c>
      <c r="P56" s="92">
        <f>IF($C56="","",UPPER(TRIM($A56))&amp;"|"&amp;UPPER(TRIM($B56)))</f>
        <v/>
      </c>
      <c r="Q56" s="92">
        <f>IF($C56="","","|"&amp;UPPER(TRIM($B56)))</f>
        <v/>
      </c>
    </row>
    <row r="57">
      <c r="A57" s="127" t="inlineStr"/>
      <c r="B57" s="127" t="inlineStr"/>
      <c r="C57" s="135" t="n"/>
      <c r="D57" s="129">
        <f>IF($C57="","",Setup!$B$16)</f>
        <v/>
      </c>
      <c r="E57" s="130">
        <f>IF($C57="","",ROUND($C57*(1+$D57),2))</f>
        <v/>
      </c>
      <c r="P57" s="92">
        <f>IF($C57="","",UPPER(TRIM($A57))&amp;"|"&amp;UPPER(TRIM($B57)))</f>
        <v/>
      </c>
      <c r="Q57" s="92">
        <f>IF($C57="","","|"&amp;UPPER(TRIM($B57)))</f>
        <v/>
      </c>
    </row>
    <row r="58">
      <c r="A58" s="131" t="inlineStr"/>
      <c r="B58" s="131" t="inlineStr"/>
      <c r="C58" s="134" t="n"/>
      <c r="D58" s="132">
        <f>IF($C58="","",Setup!$B$16)</f>
        <v/>
      </c>
      <c r="E58" s="133">
        <f>IF($C58="","",ROUND($C58*(1+$D58),2))</f>
        <v/>
      </c>
      <c r="P58" s="92">
        <f>IF($C58="","",UPPER(TRIM($A58))&amp;"|"&amp;UPPER(TRIM($B58)))</f>
        <v/>
      </c>
      <c r="Q58" s="92">
        <f>IF($C58="","","|"&amp;UPPER(TRIM($B58)))</f>
        <v/>
      </c>
    </row>
    <row r="59">
      <c r="A59" s="127" t="inlineStr"/>
      <c r="B59" s="127" t="inlineStr"/>
      <c r="C59" s="135" t="n"/>
      <c r="D59" s="129">
        <f>IF($C59="","",Setup!$B$16)</f>
        <v/>
      </c>
      <c r="E59" s="130">
        <f>IF($C59="","",ROUND($C59*(1+$D59),2))</f>
        <v/>
      </c>
      <c r="P59" s="92">
        <f>IF($C59="","",UPPER(TRIM($A59))&amp;"|"&amp;UPPER(TRIM($B59)))</f>
        <v/>
      </c>
      <c r="Q59" s="92">
        <f>IF($C59="","","|"&amp;UPPER(TRIM($B59)))</f>
        <v/>
      </c>
    </row>
    <row r="60">
      <c r="A60" s="131" t="inlineStr"/>
      <c r="B60" s="131" t="inlineStr"/>
      <c r="C60" s="134" t="n"/>
      <c r="D60" s="132">
        <f>IF($C60="","",Setup!$B$16)</f>
        <v/>
      </c>
      <c r="E60" s="133">
        <f>IF($C60="","",ROUND($C60*(1+$D60),2))</f>
        <v/>
      </c>
      <c r="P60" s="92">
        <f>IF($C60="","",UPPER(TRIM($A60))&amp;"|"&amp;UPPER(TRIM($B60)))</f>
        <v/>
      </c>
      <c r="Q60" s="92">
        <f>IF($C60="","","|"&amp;UPPER(TRIM($B60)))</f>
        <v/>
      </c>
    </row>
    <row r="61" ht="22" customHeight="1">
      <c r="A61" s="118" t="inlineStr">
        <is>
          <t>4 · TRUCKS / UNITS  (add a row when you buy your next truck)</t>
        </is>
      </c>
    </row>
    <row r="62" ht="28" customHeight="1">
      <c r="A62" s="126" t="inlineStr">
        <is>
          <t>UNIT / TRUCK NAME</t>
        </is>
      </c>
      <c r="B62" s="126" t="inlineStr">
        <is>
          <t>PLATE NO.</t>
        </is>
      </c>
      <c r="C62" s="126" t="inlineStr">
        <is>
          <t>CAPACITY (tons)</t>
        </is>
      </c>
      <c r="D62" s="126" t="inlineStr">
        <is>
          <t>STATUS</t>
        </is>
      </c>
      <c r="E62" s="126" t="inlineStr">
        <is>
          <t>ASSIGNED DRIVER</t>
        </is>
      </c>
      <c r="F62" s="126" t="inlineStr">
        <is>
          <t>LENDER</t>
        </is>
      </c>
    </row>
    <row r="63">
      <c r="A63" s="127" t="inlineStr">
        <is>
          <t>TRUCK 1</t>
        </is>
      </c>
      <c r="B63" s="127" t="inlineStr">
        <is>
          <t>NCR 1234</t>
        </is>
      </c>
      <c r="C63" s="136" t="n">
        <v>20</v>
      </c>
      <c r="D63" s="127" t="inlineStr">
        <is>
          <t>Active</t>
        </is>
      </c>
      <c r="E63" s="127" t="inlineStr">
        <is>
          <t>R. Dela Cruz</t>
        </is>
      </c>
      <c r="F63" s="127" t="inlineStr">
        <is>
          <t>BDO Leasing</t>
        </is>
      </c>
    </row>
    <row r="64">
      <c r="A64" s="131" t="inlineStr"/>
      <c r="B64" s="131" t="inlineStr"/>
      <c r="C64" s="137" t="n"/>
      <c r="D64" s="131" t="inlineStr"/>
      <c r="E64" s="131" t="inlineStr"/>
      <c r="F64" s="131" t="inlineStr"/>
    </row>
    <row r="65">
      <c r="A65" s="127" t="inlineStr"/>
      <c r="B65" s="127" t="inlineStr"/>
      <c r="C65" s="136" t="n"/>
      <c r="D65" s="127" t="inlineStr"/>
      <c r="E65" s="127" t="inlineStr"/>
      <c r="F65" s="127" t="inlineStr"/>
    </row>
    <row r="66">
      <c r="A66" s="131" t="inlineStr"/>
      <c r="B66" s="131" t="inlineStr"/>
      <c r="C66" s="137" t="n"/>
      <c r="D66" s="131" t="inlineStr"/>
      <c r="E66" s="131" t="inlineStr"/>
      <c r="F66" s="131" t="inlineStr"/>
    </row>
    <row r="67">
      <c r="A67" s="127" t="inlineStr"/>
      <c r="B67" s="127" t="inlineStr"/>
      <c r="C67" s="136" t="n"/>
      <c r="D67" s="127" t="inlineStr"/>
      <c r="E67" s="127" t="inlineStr"/>
      <c r="F67" s="127" t="inlineStr"/>
    </row>
    <row r="68">
      <c r="A68" s="131" t="inlineStr"/>
      <c r="B68" s="131" t="inlineStr"/>
      <c r="C68" s="137" t="n"/>
      <c r="D68" s="131" t="inlineStr"/>
      <c r="E68" s="131" t="inlineStr"/>
      <c r="F68" s="131" t="inlineStr"/>
    </row>
    <row r="69">
      <c r="A69" s="127" t="inlineStr"/>
      <c r="B69" s="127" t="inlineStr"/>
      <c r="C69" s="136" t="n"/>
      <c r="D69" s="127" t="inlineStr"/>
      <c r="E69" s="127" t="inlineStr"/>
      <c r="F69" s="127" t="inlineStr"/>
    </row>
    <row r="70">
      <c r="A70" s="131" t="inlineStr"/>
      <c r="B70" s="131" t="inlineStr"/>
      <c r="C70" s="137" t="n"/>
      <c r="D70" s="131" t="inlineStr"/>
      <c r="E70" s="131" t="inlineStr"/>
      <c r="F70" s="131" t="inlineStr"/>
    </row>
    <row r="71">
      <c r="A71" s="127" t="inlineStr"/>
      <c r="B71" s="127" t="inlineStr"/>
      <c r="C71" s="136" t="n"/>
      <c r="D71" s="127" t="inlineStr"/>
      <c r="E71" s="127" t="inlineStr"/>
      <c r="F71" s="127" t="inlineStr"/>
    </row>
    <row r="72">
      <c r="A72" s="131" t="inlineStr"/>
      <c r="B72" s="131" t="inlineStr"/>
      <c r="C72" s="137" t="n"/>
      <c r="D72" s="131" t="inlineStr"/>
      <c r="E72" s="131" t="inlineStr"/>
      <c r="F72" s="131" t="inlineStr"/>
    </row>
    <row r="74" ht="22" customHeight="1">
      <c r="A74" s="118" t="inlineStr">
        <is>
          <t>5 · CREW  (drivers &amp; helpers)  —  share % can differ per person</t>
        </is>
      </c>
    </row>
    <row r="75" ht="28" customHeight="1">
      <c r="A75" s="126" t="inlineStr">
        <is>
          <t>NAME</t>
        </is>
      </c>
      <c r="B75" s="126" t="inlineStr">
        <is>
          <t>ROLE</t>
        </is>
      </c>
      <c r="C75" s="126" t="inlineStr">
        <is>
          <t>SHARE % (blank = default)</t>
        </is>
      </c>
      <c r="D75" s="126" t="inlineStr">
        <is>
          <t>PHONE</t>
        </is>
      </c>
    </row>
    <row r="76">
      <c r="A76" s="127" t="inlineStr">
        <is>
          <t>R. Dela Cruz</t>
        </is>
      </c>
      <c r="B76" s="138" t="inlineStr">
        <is>
          <t>Driver</t>
        </is>
      </c>
      <c r="C76" s="139" t="n">
        <v>0.1</v>
      </c>
      <c r="D76" s="140" t="inlineStr">
        <is>
          <t>0917 000 0001</t>
        </is>
      </c>
    </row>
    <row r="77">
      <c r="A77" s="131" t="inlineStr">
        <is>
          <t>M. Reyes</t>
        </is>
      </c>
      <c r="B77" s="141" t="inlineStr">
        <is>
          <t>Driver</t>
        </is>
      </c>
      <c r="C77" s="142" t="n">
        <v>0.1</v>
      </c>
      <c r="D77" s="143" t="inlineStr">
        <is>
          <t>0917 000 0002</t>
        </is>
      </c>
    </row>
    <row r="78">
      <c r="A78" s="127" t="inlineStr">
        <is>
          <t>J. Santos</t>
        </is>
      </c>
      <c r="B78" s="138" t="inlineStr">
        <is>
          <t>Helper</t>
        </is>
      </c>
      <c r="C78" s="139" t="n">
        <v>0.05</v>
      </c>
      <c r="D78" s="140" t="inlineStr">
        <is>
          <t>0917 000 0003</t>
        </is>
      </c>
    </row>
    <row r="79">
      <c r="A79" s="131" t="inlineStr">
        <is>
          <t>A. Bautista</t>
        </is>
      </c>
      <c r="B79" s="141" t="inlineStr">
        <is>
          <t>Helper</t>
        </is>
      </c>
      <c r="C79" s="142" t="n">
        <v>0.05</v>
      </c>
      <c r="D79" s="143" t="inlineStr">
        <is>
          <t>0917 000 0004</t>
        </is>
      </c>
    </row>
    <row r="80">
      <c r="A80" s="127" t="inlineStr"/>
      <c r="B80" s="138" t="inlineStr"/>
      <c r="C80" s="139" t="n"/>
      <c r="D80" s="140" t="inlineStr"/>
    </row>
    <row r="81">
      <c r="A81" s="131" t="inlineStr"/>
      <c r="B81" s="141" t="inlineStr"/>
      <c r="C81" s="142" t="n"/>
      <c r="D81" s="143" t="inlineStr"/>
    </row>
    <row r="82">
      <c r="A82" s="127" t="inlineStr"/>
      <c r="B82" s="138" t="inlineStr"/>
      <c r="C82" s="139" t="n"/>
      <c r="D82" s="140" t="inlineStr"/>
    </row>
    <row r="83">
      <c r="A83" s="131" t="inlineStr"/>
      <c r="B83" s="141" t="inlineStr"/>
      <c r="C83" s="142" t="n"/>
      <c r="D83" s="143" t="inlineStr"/>
    </row>
    <row r="84">
      <c r="A84" s="127" t="inlineStr"/>
      <c r="B84" s="138" t="inlineStr"/>
      <c r="C84" s="139" t="n"/>
      <c r="D84" s="140" t="inlineStr"/>
    </row>
    <row r="85">
      <c r="A85" s="131" t="inlineStr"/>
      <c r="B85" s="141" t="inlineStr"/>
      <c r="C85" s="142" t="n"/>
      <c r="D85" s="143" t="inlineStr"/>
    </row>
    <row r="86">
      <c r="A86" s="127" t="inlineStr"/>
      <c r="B86" s="138" t="inlineStr"/>
      <c r="C86" s="139" t="n"/>
      <c r="D86" s="140" t="inlineStr"/>
    </row>
    <row r="87">
      <c r="A87" s="131" t="inlineStr"/>
      <c r="B87" s="141" t="inlineStr"/>
      <c r="C87" s="142" t="n"/>
      <c r="D87" s="143" t="inlineStr"/>
    </row>
    <row r="97" ht="22" customHeight="1">
      <c r="A97" s="118" t="inlineStr">
        <is>
          <t>6 · EXPENSE TYPES  →  COST GROUP  (used by the Dashboard P&amp;L — keep the group names as they are)</t>
        </is>
      </c>
    </row>
    <row r="98" ht="28" customHeight="1">
      <c r="A98" s="126" t="inlineStr">
        <is>
          <t>EXPENSE TYPE  (dropdown in Expenses)</t>
        </is>
      </c>
      <c r="B98" s="126" t="inlineStr">
        <is>
          <t>COST GROUP</t>
        </is>
      </c>
      <c r="C98" s="126" t="inlineStr">
        <is>
          <t>WHAT BELONGS HERE</t>
        </is>
      </c>
    </row>
    <row r="99">
      <c r="A99" s="127" t="inlineStr">
        <is>
          <t>Fuel – Trip</t>
        </is>
      </c>
      <c r="B99" s="144" t="inlineStr">
        <is>
          <t>Vehicle</t>
        </is>
      </c>
      <c r="C99" s="145" t="inlineStr">
        <is>
          <t>Fuel bought per trip (or log fuel in the Trips sheet instead — not both)</t>
        </is>
      </c>
    </row>
    <row r="100">
      <c r="A100" s="131" t="inlineStr">
        <is>
          <t>Fuel – Bulk Purchase</t>
        </is>
      </c>
      <c r="B100" s="146" t="inlineStr">
        <is>
          <t>Vehicle</t>
        </is>
      </c>
      <c r="C100" s="147" t="inlineStr">
        <is>
          <t>Liters bought in bulk / delivered to your tank</t>
        </is>
      </c>
    </row>
    <row r="101">
      <c r="A101" s="127" t="inlineStr">
        <is>
          <t>Toll &amp; Parking</t>
        </is>
      </c>
      <c r="B101" s="144" t="inlineStr">
        <is>
          <t>Vehicle</t>
        </is>
      </c>
      <c r="C101" s="145" t="inlineStr">
        <is>
          <t>RFID load, expressway tolls, parking</t>
        </is>
      </c>
    </row>
    <row r="102">
      <c r="A102" s="131" t="inlineStr">
        <is>
          <t>Repairs &amp; Maintenance</t>
        </is>
      </c>
      <c r="B102" s="146" t="inlineStr">
        <is>
          <t>Vehicle</t>
        </is>
      </c>
      <c r="C102" s="147" t="inlineStr">
        <is>
          <t>PMS, mechanic, labour, engine repair</t>
        </is>
      </c>
    </row>
    <row r="103">
      <c r="A103" s="127" t="inlineStr">
        <is>
          <t>Tires &amp; Batteries</t>
        </is>
      </c>
      <c r="B103" s="144" t="inlineStr">
        <is>
          <t>Vehicle</t>
        </is>
      </c>
      <c r="C103" s="145" t="inlineStr">
        <is>
          <t>New tires, retread, battery</t>
        </is>
      </c>
    </row>
    <row r="104">
      <c r="A104" s="131" t="inlineStr">
        <is>
          <t>Spare Parts &amp; Lubricants</t>
        </is>
      </c>
      <c r="B104" s="146" t="inlineStr">
        <is>
          <t>Vehicle</t>
        </is>
      </c>
      <c r="C104" s="147" t="inlineStr">
        <is>
          <t>Filters, oil, belts, bulbs</t>
        </is>
      </c>
    </row>
    <row r="105">
      <c r="A105" s="127" t="inlineStr">
        <is>
          <t>Insurance</t>
        </is>
      </c>
      <c r="B105" s="144" t="inlineStr">
        <is>
          <t>Vehicle</t>
        </is>
      </c>
      <c r="C105" s="145" t="inlineStr">
        <is>
          <t>Comprehensive / CTPL premium</t>
        </is>
      </c>
    </row>
    <row r="106">
      <c r="A106" s="131" t="inlineStr">
        <is>
          <t>LTO Registration</t>
        </is>
      </c>
      <c r="B106" s="146" t="inlineStr">
        <is>
          <t>Vehicle</t>
        </is>
      </c>
      <c r="C106" s="147" t="inlineStr">
        <is>
          <t>Registration, emission test, MVIC</t>
        </is>
      </c>
    </row>
    <row r="107">
      <c r="A107" s="127" t="inlineStr">
        <is>
          <t>Truck Washing</t>
        </is>
      </c>
      <c r="B107" s="144" t="inlineStr">
        <is>
          <t>Vehicle</t>
        </is>
      </c>
      <c r="C107" s="145" t="inlineStr">
        <is>
          <t>Carwash, greasing</t>
        </is>
      </c>
    </row>
    <row r="108">
      <c r="A108" s="131" t="inlineStr">
        <is>
          <t>Truck Accessories</t>
        </is>
      </c>
      <c r="B108" s="146" t="inlineStr">
        <is>
          <t>Vehicle</t>
        </is>
      </c>
      <c r="C108" s="147" t="inlineStr">
        <is>
          <t>Tarpaulin, mats, tools, weighing fees</t>
        </is>
      </c>
    </row>
    <row r="109">
      <c r="A109" s="127" t="inlineStr">
        <is>
          <t>Loan Payment</t>
        </is>
      </c>
      <c r="B109" s="144" t="inlineStr">
        <is>
          <t>Financing</t>
        </is>
      </c>
      <c r="C109" s="145" t="inlineStr">
        <is>
          <t>Monthly amortisation to any lender</t>
        </is>
      </c>
    </row>
    <row r="110">
      <c r="A110" s="131" t="inlineStr">
        <is>
          <t>Cash Advance</t>
        </is>
      </c>
      <c r="B110" s="146" t="inlineStr">
        <is>
          <t>Transfer</t>
        </is>
      </c>
      <c r="C110" s="147" t="inlineStr">
        <is>
          <t>Cash given to crew — settled in Payroll (NOT an extra cost)</t>
        </is>
      </c>
    </row>
    <row r="111">
      <c r="A111" s="127" t="inlineStr">
        <is>
          <t>Payroll Payout</t>
        </is>
      </c>
      <c r="B111" s="144" t="inlineStr">
        <is>
          <t>Transfer</t>
        </is>
      </c>
      <c r="C111" s="145" t="inlineStr">
        <is>
          <t>Cash released to crew — settled in Payroll (NOT an extra cost)</t>
        </is>
      </c>
    </row>
    <row r="112">
      <c r="A112" s="131" t="inlineStr">
        <is>
          <t>Reimbursement Payout</t>
        </is>
      </c>
      <c r="B112" s="146" t="inlineStr">
        <is>
          <t>Transfer</t>
        </is>
      </c>
      <c r="C112" s="147" t="inlineStr">
        <is>
          <t>Paying back the driver's receipts already logged in Trips</t>
        </is>
      </c>
    </row>
    <row r="113">
      <c r="A113" s="127" t="inlineStr">
        <is>
          <t>Office / Staff Salary</t>
        </is>
      </c>
      <c r="B113" s="144" t="inlineStr">
        <is>
          <t>Overhead</t>
        </is>
      </c>
      <c r="C113" s="145" t="inlineStr">
        <is>
          <t>Dispatcher, bookkeeper, office staff</t>
        </is>
      </c>
    </row>
    <row r="114">
      <c r="A114" s="131" t="inlineStr">
        <is>
          <t>Rent</t>
        </is>
      </c>
      <c r="B114" s="146" t="inlineStr">
        <is>
          <t>Overhead</t>
        </is>
      </c>
      <c r="C114" s="147" t="inlineStr">
        <is>
          <t>Yard / office / parking rent</t>
        </is>
      </c>
    </row>
    <row r="115">
      <c r="A115" s="127" t="inlineStr">
        <is>
          <t>Utilities</t>
        </is>
      </c>
      <c r="B115" s="144" t="inlineStr">
        <is>
          <t>Overhead</t>
        </is>
      </c>
      <c r="C115" s="145" t="inlineStr">
        <is>
          <t>Electricity, water, internet, phone</t>
        </is>
      </c>
    </row>
    <row r="116">
      <c r="A116" s="131" t="inlineStr">
        <is>
          <t>Office Supplies</t>
        </is>
      </c>
      <c r="B116" s="146" t="inlineStr">
        <is>
          <t>Overhead</t>
        </is>
      </c>
      <c r="C116" s="147" t="inlineStr">
        <is>
          <t>Printer, forms, bond paper</t>
        </is>
      </c>
    </row>
    <row r="117">
      <c r="A117" s="127" t="inlineStr">
        <is>
          <t>Professional Fees</t>
        </is>
      </c>
      <c r="B117" s="144" t="inlineStr">
        <is>
          <t>Overhead</t>
        </is>
      </c>
      <c r="C117" s="145" t="inlineStr">
        <is>
          <t>Accountant, lawyer, broker's fee</t>
        </is>
      </c>
    </row>
    <row r="118">
      <c r="A118" s="131" t="inlineStr">
        <is>
          <t>Bank Charges</t>
        </is>
      </c>
      <c r="B118" s="146" t="inlineStr">
        <is>
          <t>Overhead</t>
        </is>
      </c>
      <c r="C118" s="147" t="inlineStr">
        <is>
          <t>Transfer fees, interest on overdraft</t>
        </is>
      </c>
    </row>
    <row r="119">
      <c r="A119" s="127" t="inlineStr">
        <is>
          <t>Permits &amp; Regulatory</t>
        </is>
      </c>
      <c r="B119" s="144" t="inlineStr">
        <is>
          <t>Overhead</t>
        </is>
      </c>
      <c r="C119" s="145" t="inlineStr">
        <is>
          <t>Mayor's permit, BIR, LTFRB, insurance broker</t>
        </is>
      </c>
    </row>
    <row r="120">
      <c r="A120" s="131" t="inlineStr">
        <is>
          <t>Miscellaneous</t>
        </is>
      </c>
      <c r="B120" s="146" t="inlineStr">
        <is>
          <t>Overhead</t>
        </is>
      </c>
      <c r="C120" s="147" t="inlineStr">
        <is>
          <t>Small costs that fit nowhere else</t>
        </is>
      </c>
    </row>
    <row r="121">
      <c r="A121" s="127" t="inlineStr">
        <is>
          <t>Owner's Draw</t>
        </is>
      </c>
      <c r="B121" s="144" t="inlineStr">
        <is>
          <t>Other</t>
        </is>
      </c>
      <c r="C121" s="145" t="inlineStr">
        <is>
          <t>Owner's personal withdrawal — excluded from P&amp;L</t>
        </is>
      </c>
    </row>
    <row r="122">
      <c r="A122" s="131" t="inlineStr">
        <is>
          <t>Equipment / Asset Purchase</t>
        </is>
      </c>
      <c r="B122" s="146" t="inlineStr">
        <is>
          <t>Other</t>
        </is>
      </c>
      <c r="C122" s="147" t="inlineStr">
        <is>
          <t>Capital outlay — excluded from P&amp;L</t>
        </is>
      </c>
    </row>
    <row r="123">
      <c r="A123" s="127" t="inlineStr"/>
      <c r="B123" s="144" t="inlineStr"/>
      <c r="C123" s="145" t="inlineStr"/>
    </row>
    <row r="124">
      <c r="A124" s="131" t="inlineStr"/>
      <c r="B124" s="146" t="inlineStr"/>
      <c r="C124" s="147" t="inlineStr"/>
    </row>
    <row r="125">
      <c r="A125" s="127" t="inlineStr"/>
      <c r="B125" s="144" t="inlineStr"/>
      <c r="C125" s="145" t="inlineStr"/>
    </row>
    <row r="126">
      <c r="A126" s="131" t="inlineStr"/>
      <c r="B126" s="146" t="inlineStr"/>
      <c r="C126" s="147" t="inlineStr"/>
    </row>
    <row r="127">
      <c r="A127" s="127" t="inlineStr"/>
      <c r="B127" s="144" t="inlineStr"/>
      <c r="C127" s="145" t="inlineStr"/>
    </row>
    <row r="128">
      <c r="A128" s="131" t="inlineStr"/>
      <c r="B128" s="146" t="inlineStr"/>
      <c r="C128" s="147" t="inlineStr"/>
    </row>
    <row r="131" ht="22" customHeight="1">
      <c r="A131" s="118" t="inlineStr">
        <is>
          <t>7 · LOANS / FINANCING  (every lender for every truck — self-updating balance)</t>
        </is>
      </c>
    </row>
    <row r="132" ht="28" customHeight="1">
      <c r="A132" s="126" t="inlineStr">
        <is>
          <t>LENDER</t>
        </is>
      </c>
      <c r="B132" s="126" t="inlineStr">
        <is>
          <t>FOR TRUCK</t>
        </is>
      </c>
      <c r="C132" s="126" t="inlineStr">
        <is>
          <t>PRINCIPAL BORROWED</t>
        </is>
      </c>
      <c r="D132" s="126" t="inlineStr">
        <is>
          <t>ANNUAL RATE</t>
        </is>
      </c>
      <c r="E132" s="126" t="inlineStr">
        <is>
          <t>MONTHLY AMORT.</t>
        </is>
      </c>
      <c r="F132" s="126" t="inlineStr">
        <is>
          <t>TERM (months)</t>
        </is>
      </c>
      <c r="G132" s="126" t="inlineStr">
        <is>
          <t>START DATE</t>
        </is>
      </c>
      <c r="H132" s="126" t="inlineStr">
        <is>
          <t>PAYMENTS MADE</t>
        </is>
      </c>
      <c r="I132" s="126" t="inlineStr">
        <is>
          <t>TOTAL PAID</t>
        </is>
      </c>
      <c r="J132" s="126" t="inlineStr">
        <is>
          <t>MONTHS LEFT</t>
        </is>
      </c>
      <c r="K132" s="126" t="inlineStr">
        <is>
          <t>REMAINING BALANCE</t>
        </is>
      </c>
      <c r="L132" s="126" t="inlineStr">
        <is>
          <t>REMAINING OBLIGATION</t>
        </is>
      </c>
      <c r="M132" s="126" t="inlineStr">
        <is>
          <t>PROGRESS</t>
        </is>
      </c>
    </row>
    <row r="133">
      <c r="A133" s="148" t="inlineStr">
        <is>
          <t>BDO Leasing</t>
        </is>
      </c>
      <c r="B133" s="138" t="inlineStr">
        <is>
          <t>TRUCK 1</t>
        </is>
      </c>
      <c r="C133" s="149" t="n">
        <v>1200000</v>
      </c>
      <c r="D133" s="139" t="n">
        <v>0.12</v>
      </c>
      <c r="E133" s="149" t="n">
        <v>32000</v>
      </c>
      <c r="F133" s="150" t="n">
        <v>48</v>
      </c>
      <c r="G133" s="151" t="n">
        <v>45809</v>
      </c>
      <c r="H133" s="152">
        <f>IF($A133="","",COUNTIFS(Expenses!$B$5:$B$1004,"Loan Payment",Expenses!$E$5:$E$1004,$A133))</f>
        <v/>
      </c>
      <c r="I133" s="153">
        <f>IF($A133="","",SUMIFS(Expenses!$F$5:$F$1004,Expenses!$B$5:$B$1004,"Loan Payment",Expenses!$E$5:$E$1004,$A133))</f>
        <v/>
      </c>
      <c r="J133" s="152">
        <f>IF($A133="","",MAX(0,$F133-$H133))</f>
        <v/>
      </c>
      <c r="K133" s="154">
        <f>IF($A133="","",MAX(0,$C133-$I133))</f>
        <v/>
      </c>
      <c r="L133" s="155">
        <f>IF($A133="","",MAX(0,$J133*$E133))</f>
        <v/>
      </c>
      <c r="M133" s="156">
        <f>IF($A133="","",IF($C133=0,0,MIN(1,$I133/$C133)))</f>
        <v/>
      </c>
    </row>
    <row r="134">
      <c r="A134" s="157" t="inlineStr">
        <is>
          <t>Security Bank</t>
        </is>
      </c>
      <c r="B134" s="141" t="inlineStr">
        <is>
          <t>TRUCK 1</t>
        </is>
      </c>
      <c r="C134" s="158" t="n">
        <v>600000</v>
      </c>
      <c r="D134" s="142" t="n">
        <v>0.14</v>
      </c>
      <c r="E134" s="158" t="n">
        <v>18500</v>
      </c>
      <c r="F134" s="159" t="n">
        <v>36</v>
      </c>
      <c r="G134" s="160" t="n">
        <v>45901</v>
      </c>
      <c r="H134" s="152">
        <f>IF($A134="","",COUNTIFS(Expenses!$B$5:$B$1004,"Loan Payment",Expenses!$E$5:$E$1004,$A134))</f>
        <v/>
      </c>
      <c r="I134" s="153">
        <f>IF($A134="","",SUMIFS(Expenses!$F$5:$F$1004,Expenses!$B$5:$B$1004,"Loan Payment",Expenses!$E$5:$E$1004,$A134))</f>
        <v/>
      </c>
      <c r="J134" s="152">
        <f>IF($A134="","",MAX(0,$F134-$H134))</f>
        <v/>
      </c>
      <c r="K134" s="154">
        <f>IF($A134="","",MAX(0,$C134-$I134))</f>
        <v/>
      </c>
      <c r="L134" s="155">
        <f>IF($A134="","",MAX(0,$J134*$E134))</f>
        <v/>
      </c>
      <c r="M134" s="156">
        <f>IF($A134="","",IF($C134=0,0,MIN(1,$I134/$C134)))</f>
        <v/>
      </c>
    </row>
    <row r="135">
      <c r="A135" s="148" t="inlineStr">
        <is>
          <t>Private Lender</t>
        </is>
      </c>
      <c r="B135" s="138" t="inlineStr">
        <is>
          <t>TRUCK 1</t>
        </is>
      </c>
      <c r="C135" s="149" t="n">
        <v>300000</v>
      </c>
      <c r="D135" s="139" t="n">
        <v>0</v>
      </c>
      <c r="E135" s="149" t="n">
        <v>12500</v>
      </c>
      <c r="F135" s="150" t="n">
        <v>24</v>
      </c>
      <c r="G135" s="151" t="n">
        <v>46023</v>
      </c>
      <c r="H135" s="152">
        <f>IF($A135="","",COUNTIFS(Expenses!$B$5:$B$1004,"Loan Payment",Expenses!$E$5:$E$1004,$A135))</f>
        <v/>
      </c>
      <c r="I135" s="153">
        <f>IF($A135="","",SUMIFS(Expenses!$F$5:$F$1004,Expenses!$B$5:$B$1004,"Loan Payment",Expenses!$E$5:$E$1004,$A135))</f>
        <v/>
      </c>
      <c r="J135" s="152">
        <f>IF($A135="","",MAX(0,$F135-$H135))</f>
        <v/>
      </c>
      <c r="K135" s="154">
        <f>IF($A135="","",MAX(0,$C135-$I135))</f>
        <v/>
      </c>
      <c r="L135" s="155">
        <f>IF($A135="","",MAX(0,$J135*$E135))</f>
        <v/>
      </c>
      <c r="M135" s="156">
        <f>IF($A135="","",IF($C135=0,0,MIN(1,$I135/$C135)))</f>
        <v/>
      </c>
    </row>
    <row r="136">
      <c r="A136" s="157" t="inlineStr"/>
      <c r="B136" s="141" t="inlineStr"/>
      <c r="C136" s="158" t="n"/>
      <c r="D136" s="142" t="n"/>
      <c r="E136" s="158" t="n"/>
      <c r="F136" s="159" t="n"/>
      <c r="G136" s="160" t="n"/>
      <c r="H136" s="152">
        <f>IF($A136="","",COUNTIFS(Expenses!$B$5:$B$1004,"Loan Payment",Expenses!$E$5:$E$1004,$A136))</f>
        <v/>
      </c>
      <c r="I136" s="153">
        <f>IF($A136="","",SUMIFS(Expenses!$F$5:$F$1004,Expenses!$B$5:$B$1004,"Loan Payment",Expenses!$E$5:$E$1004,$A136))</f>
        <v/>
      </c>
      <c r="J136" s="152">
        <f>IF($A136="","",MAX(0,$F136-$H136))</f>
        <v/>
      </c>
      <c r="K136" s="154">
        <f>IF($A136="","",MAX(0,$C136-$I136))</f>
        <v/>
      </c>
      <c r="L136" s="155">
        <f>IF($A136="","",MAX(0,$J136*$E136))</f>
        <v/>
      </c>
      <c r="M136" s="156">
        <f>IF($A136="","",IF($C136=0,0,MIN(1,$I136/$C136)))</f>
        <v/>
      </c>
    </row>
    <row r="137">
      <c r="A137" s="148" t="inlineStr"/>
      <c r="B137" s="138" t="inlineStr"/>
      <c r="C137" s="149" t="n"/>
      <c r="D137" s="139" t="n"/>
      <c r="E137" s="149" t="n"/>
      <c r="F137" s="150" t="n"/>
      <c r="G137" s="151" t="n"/>
      <c r="H137" s="152">
        <f>IF($A137="","",COUNTIFS(Expenses!$B$5:$B$1004,"Loan Payment",Expenses!$E$5:$E$1004,$A137))</f>
        <v/>
      </c>
      <c r="I137" s="153">
        <f>IF($A137="","",SUMIFS(Expenses!$F$5:$F$1004,Expenses!$B$5:$B$1004,"Loan Payment",Expenses!$E$5:$E$1004,$A137))</f>
        <v/>
      </c>
      <c r="J137" s="152">
        <f>IF($A137="","",MAX(0,$F137-$H137))</f>
        <v/>
      </c>
      <c r="K137" s="154">
        <f>IF($A137="","",MAX(0,$C137-$I137))</f>
        <v/>
      </c>
      <c r="L137" s="155">
        <f>IF($A137="","",MAX(0,$J137*$E137))</f>
        <v/>
      </c>
      <c r="M137" s="156">
        <f>IF($A137="","",IF($C137=0,0,MIN(1,$I137/$C137)))</f>
        <v/>
      </c>
    </row>
    <row r="138">
      <c r="A138" s="157" t="inlineStr"/>
      <c r="B138" s="141" t="inlineStr"/>
      <c r="C138" s="158" t="n"/>
      <c r="D138" s="142" t="n"/>
      <c r="E138" s="158" t="n"/>
      <c r="F138" s="159" t="n"/>
      <c r="G138" s="160" t="n"/>
      <c r="H138" s="152">
        <f>IF($A138="","",COUNTIFS(Expenses!$B$5:$B$1004,"Loan Payment",Expenses!$E$5:$E$1004,$A138))</f>
        <v/>
      </c>
      <c r="I138" s="153">
        <f>IF($A138="","",SUMIFS(Expenses!$F$5:$F$1004,Expenses!$B$5:$B$1004,"Loan Payment",Expenses!$E$5:$E$1004,$A138))</f>
        <v/>
      </c>
      <c r="J138" s="152">
        <f>IF($A138="","",MAX(0,$F138-$H138))</f>
        <v/>
      </c>
      <c r="K138" s="154">
        <f>IF($A138="","",MAX(0,$C138-$I138))</f>
        <v/>
      </c>
      <c r="L138" s="155">
        <f>IF($A138="","",MAX(0,$J138*$E138))</f>
        <v/>
      </c>
      <c r="M138" s="156">
        <f>IF($A138="","",IF($C138=0,0,MIN(1,$I138/$C138)))</f>
        <v/>
      </c>
    </row>
    <row r="139">
      <c r="A139" s="9" t="inlineStr">
        <is>
          <t>Remaining Balance = principal less everything already paid (cash view). Remaining Obligation = months left × amortisation = what you still have to produce in cash.</t>
        </is>
      </c>
    </row>
    <row r="143" ht="22" customHeight="1">
      <c r="A143" s="118" t="inlineStr">
        <is>
          <t>8 · DESTINATION LIST  (feeds the dashboard ranking — add a name when you open a new lane)</t>
        </is>
      </c>
    </row>
    <row r="144" ht="28" customHeight="1">
      <c r="A144" s="126" t="inlineStr">
        <is>
          <t>DESTINATION (as typed in Trips)</t>
        </is>
      </c>
      <c r="B144" s="126" t="inlineStr">
        <is>
          <t>SOURCE (as typed in Trips)</t>
        </is>
      </c>
    </row>
    <row r="145">
      <c r="A145" s="161" t="inlineStr">
        <is>
          <t>ARMOR</t>
        </is>
      </c>
    </row>
    <row r="146">
      <c r="A146" s="162" t="inlineStr">
        <is>
          <t>BATAAN</t>
        </is>
      </c>
    </row>
    <row r="147">
      <c r="A147" s="161" t="inlineStr">
        <is>
          <t>BATAAN EXTERNAL WHSE</t>
        </is>
      </c>
    </row>
    <row r="148">
      <c r="A148" s="162" t="inlineStr">
        <is>
          <t>BMEG BATAAN</t>
        </is>
      </c>
    </row>
    <row r="149">
      <c r="A149" s="161" t="inlineStr">
        <is>
          <t>BMPP</t>
        </is>
      </c>
    </row>
    <row r="150">
      <c r="A150" s="162" t="inlineStr">
        <is>
          <t>BULACAN</t>
        </is>
      </c>
    </row>
    <row r="151">
      <c r="A151" s="161" t="inlineStr">
        <is>
          <t>CAPAS</t>
        </is>
      </c>
    </row>
    <row r="152">
      <c r="A152" s="162" t="inlineStr">
        <is>
          <t>IBAAN EXT.</t>
        </is>
      </c>
    </row>
    <row r="153">
      <c r="A153" s="161" t="inlineStr">
        <is>
          <t>ISABELA</t>
        </is>
      </c>
    </row>
    <row r="154">
      <c r="A154" s="162" t="inlineStr">
        <is>
          <t>MASAYA EXT.</t>
        </is>
      </c>
    </row>
    <row r="155">
      <c r="A155" s="161" t="inlineStr">
        <is>
          <t>MONCADA</t>
        </is>
      </c>
    </row>
    <row r="156">
      <c r="A156" s="162" t="inlineStr">
        <is>
          <t>ROSALES</t>
        </is>
      </c>
    </row>
    <row r="157">
      <c r="A157" s="161" t="inlineStr">
        <is>
          <t>TARLAC</t>
        </is>
      </c>
    </row>
    <row r="158">
      <c r="A158" s="162" t="inlineStr"/>
    </row>
    <row r="159">
      <c r="A159" s="161" t="inlineStr"/>
    </row>
    <row r="160">
      <c r="A160" s="162" t="inlineStr"/>
    </row>
    <row r="161">
      <c r="A161" s="161" t="inlineStr"/>
    </row>
    <row r="162">
      <c r="A162" s="162" t="inlineStr"/>
    </row>
    <row r="163">
      <c r="A163" s="161" t="inlineStr"/>
    </row>
    <row r="164">
      <c r="A164" s="162" t="inlineStr"/>
    </row>
    <row r="166" ht="22" customHeight="1">
      <c r="A166" s="118" t="inlineStr">
        <is>
          <t>9 · OTHER LISTS</t>
        </is>
      </c>
    </row>
    <row r="167" ht="28" customHeight="1">
      <c r="A167" s="126" t="inlineStr">
        <is>
          <t>PAYMENT METHOD</t>
        </is>
      </c>
      <c r="B167" s="126" t="inlineStr">
        <is>
          <t>STATUS</t>
        </is>
      </c>
      <c r="C167" s="126" t="inlineStr">
        <is>
          <t>SOURCE (dropdown on Trips)</t>
        </is>
      </c>
    </row>
    <row r="168">
      <c r="A168" s="163" t="inlineStr">
        <is>
          <t>Cash</t>
        </is>
      </c>
      <c r="B168" s="164" t="inlineStr">
        <is>
          <t>Active</t>
        </is>
      </c>
      <c r="C168" s="163" t="inlineStr">
        <is>
          <t>BATAAN</t>
        </is>
      </c>
    </row>
    <row r="169">
      <c r="A169" s="163" t="inlineStr">
        <is>
          <t>GCash</t>
        </is>
      </c>
      <c r="B169" s="164" t="inlineStr">
        <is>
          <t>Active</t>
        </is>
      </c>
      <c r="C169" s="163" t="inlineStr">
        <is>
          <t>ORION</t>
        </is>
      </c>
    </row>
    <row r="170">
      <c r="A170" s="163" t="inlineStr">
        <is>
          <t>Bank Transfer</t>
        </is>
      </c>
      <c r="B170" s="164" t="inlineStr">
        <is>
          <t>Active</t>
        </is>
      </c>
      <c r="C170" s="163" t="inlineStr">
        <is>
          <t>MABINI, BATANGAS</t>
        </is>
      </c>
    </row>
    <row r="171">
      <c r="A171" s="163" t="inlineStr">
        <is>
          <t>Check</t>
        </is>
      </c>
      <c r="B171" s="164" t="inlineStr">
        <is>
          <t>Active</t>
        </is>
      </c>
      <c r="C171" s="163" t="inlineStr">
        <is>
          <t>OTHER</t>
        </is>
      </c>
    </row>
  </sheetData>
  <mergeCells count="53">
    <mergeCell ref="C110:F110"/>
    <mergeCell ref="C17:F17"/>
    <mergeCell ref="C119:F119"/>
    <mergeCell ref="C106:F106"/>
    <mergeCell ref="C122:F122"/>
    <mergeCell ref="B8:D8"/>
    <mergeCell ref="A74:L74"/>
    <mergeCell ref="C125:F125"/>
    <mergeCell ref="A12:L12"/>
    <mergeCell ref="B10:D10"/>
    <mergeCell ref="C13:F13"/>
    <mergeCell ref="C111:F111"/>
    <mergeCell ref="C102:F102"/>
    <mergeCell ref="A139:L139"/>
    <mergeCell ref="C101:F101"/>
    <mergeCell ref="B9:D9"/>
    <mergeCell ref="C15:F15"/>
    <mergeCell ref="A97:L97"/>
    <mergeCell ref="C108:F108"/>
    <mergeCell ref="C104:F104"/>
    <mergeCell ref="B6:D6"/>
    <mergeCell ref="C107:F107"/>
    <mergeCell ref="C14:F14"/>
    <mergeCell ref="A4:L4"/>
    <mergeCell ref="C116:F116"/>
    <mergeCell ref="A131:L131"/>
    <mergeCell ref="C126:F126"/>
    <mergeCell ref="B5:D5"/>
    <mergeCell ref="A1:M1"/>
    <mergeCell ref="C128:F128"/>
    <mergeCell ref="A19:L19"/>
    <mergeCell ref="C113:F113"/>
    <mergeCell ref="C16:F16"/>
    <mergeCell ref="C100:F100"/>
    <mergeCell ref="C112:F112"/>
    <mergeCell ref="C103:F103"/>
    <mergeCell ref="C109:F109"/>
    <mergeCell ref="C121:F121"/>
    <mergeCell ref="B7:D7"/>
    <mergeCell ref="C117:F117"/>
    <mergeCell ref="C99:F99"/>
    <mergeCell ref="A143:L143"/>
    <mergeCell ref="C127:F127"/>
    <mergeCell ref="C124:F124"/>
    <mergeCell ref="C118:F118"/>
    <mergeCell ref="A166:L166"/>
    <mergeCell ref="C114:F114"/>
    <mergeCell ref="C105:F105"/>
    <mergeCell ref="A61:L61"/>
    <mergeCell ref="C115:F115"/>
    <mergeCell ref="C120:F120"/>
    <mergeCell ref="A2:M2"/>
    <mergeCell ref="C123:F123"/>
  </mergeCells>
  <pageMargins left="0.75" right="0.75" top="1" bottom="1" header="0.5" footer="0.5"/>
</worksheet>
</file>

<file path=xl/worksheets/sheet6.xml><?xml version="1.0" encoding="utf-8"?>
<worksheet xmlns="http://schemas.openxmlformats.org/spreadsheetml/2006/main">
  <sheetPr>
    <tabColor rgb="00667085"/>
    <outlinePr summaryBelow="1" summaryRight="1"/>
    <pageSetUpPr/>
  </sheetPr>
  <dimension ref="A1:D54"/>
  <sheetViews>
    <sheetView showGridLines="0" workbookViewId="0">
      <selection activeCell="A1" sqref="A1"/>
    </sheetView>
  </sheetViews>
  <sheetFormatPr baseColWidth="8" defaultRowHeight="15"/>
  <cols>
    <col width="2" customWidth="1" min="1" max="1"/>
    <col width="3" customWidth="1" min="2" max="2"/>
    <col width="100" customWidth="1" min="3" max="3"/>
    <col width="2" customWidth="1" min="4" max="4"/>
  </cols>
  <sheetData>
    <row r="1" ht="42" customHeight="1">
      <c r="A1" s="77" t="inlineStr">
        <is>
          <t>📘  READ ME  —  how this workbook runs your trucking business</t>
        </is>
      </c>
    </row>
    <row r="2" ht="20" customHeight="1">
      <c r="A2" s="78" t="inlineStr">
        <is>
          <t>5-minute setup, then 30 seconds per trip. Written for one truck today and ten trucks later.</t>
        </is>
      </c>
    </row>
    <row r="4" ht="24" customHeight="1">
      <c r="B4" s="102" t="inlineStr">
        <is>
          <t>1 · WHAT THIS WORKBOOK DOES</t>
        </is>
      </c>
    </row>
    <row r="5" ht="28.4" customHeight="1">
      <c r="B5" s="165" t="inlineStr">
        <is>
          <t>It answers four questions every single day: Did this trip make money? Did this month make money? What do I still owe the crew? What do I still owe the bank?</t>
        </is>
      </c>
    </row>
    <row r="6" ht="40.59999999999999" customHeight="1">
      <c r="B6" s="165" t="inlineStr">
        <is>
          <t>You type trips and receipts. The workbook computes the hauling fee from your rate table, adds the fuel surcharge, withholds the 2% tax, computes the driver's and helper's share, deducts fuel / toll / allowance / reimbursables, and rolls everything up into a profit &amp; loss, a per-truck result, a loan book and payroll.</t>
        </is>
      </c>
    </row>
    <row r="7" ht="6" customHeight="1"/>
    <row r="8" ht="24" customHeight="1">
      <c r="B8" s="102" t="inlineStr">
        <is>
          <t>2 · THE THREE RULES</t>
        </is>
      </c>
    </row>
    <row r="9" ht="52.8" customHeight="1">
      <c r="B9" s="165" t="inlineStr">
        <is>
          <t>①  SETUP is filled once — rates, crew, trucks, loans, expense types.
②  TRIPS = one row per delivery.  EXPENSES = one row per receipt.
③  Never type a number that the workbook can compute. White columns are yours, grey columns are mine.</t>
        </is>
      </c>
    </row>
    <row r="10" ht="6" customHeight="1"/>
    <row r="11" ht="24" customHeight="1">
      <c r="B11" s="102" t="inlineStr">
        <is>
          <t>3 · THE SHEETS</t>
        </is>
      </c>
    </row>
    <row r="12" ht="40.59999999999999" customHeight="1">
      <c r="B12" s="166" t="inlineStr">
        <is>
          <t>▪  DASHBOARD
Read-only. Two filters at the top (month + truck) drive the whole page: 12 KPI cards, 4 charts, the P&amp;L, per-truck result, loan book, destination ranking and the crew settlement.</t>
        </is>
      </c>
    </row>
    <row r="13" ht="40.59999999999999" customHeight="1">
      <c r="B13" s="166" t="inlineStr">
        <is>
          <t>▪  TRIPS
The only sheet you touch daily. Date, invoice #, truck, driver, helper, source, destination, tons and the actual cash you spent per trip. Everything else in that row is computed.</t>
        </is>
      </c>
    </row>
    <row r="14" ht="40.59999999999999" customHeight="1">
      <c r="B14" s="166" t="inlineStr">
        <is>
          <t>▪  EXPENSES
One row per receipt: fuel, repairs, tires, insurance, LTO, rent, utilities, loan amortisation, cash advances, payroll releases, owner's draw.</t>
        </is>
      </c>
    </row>
    <row r="15" ht="40.59999999999999" customHeight="1">
      <c r="B15" s="166" t="inlineStr">
        <is>
          <t>▪  PAYROLL
Fully automatic, monthly, one block per month, one row per crew member. Salary = the share earned on every trip. It also clears cash advances and payouts so you know the real balance per person.</t>
        </is>
      </c>
    </row>
    <row r="16" ht="40.59999999999999" customHeight="1">
      <c r="B16" s="166" t="inlineStr">
        <is>
          <t>▪  SETUP
Your master data: business profile, tax/surcharge/share percentages, the J&amp;Z rate table, trucks, crew, expense types, loans and the dropdown lists.</t>
        </is>
      </c>
    </row>
    <row r="17" ht="28.4" customHeight="1">
      <c r="B17" s="166" t="inlineStr">
        <is>
          <t>▪  CALC
Hidden engine. Do not edit, do not delete — it holds the totals the dashboard reads.</t>
        </is>
      </c>
    </row>
    <row r="18" ht="6" customHeight="1"/>
    <row r="19" ht="24" customHeight="1">
      <c r="B19" s="102" t="inlineStr">
        <is>
          <t>4 · HOW THE HAULING FEE IS COMPUTED (matches your J&amp;Z rate sheet)</t>
        </is>
      </c>
    </row>
    <row r="20" ht="126" customHeight="1">
      <c r="B20" s="166" t="inlineStr">
        <is>
          <t>RATE  =  the amount on your J&amp;Z Bulk Rate sheet for that source → destination, in ₱ per TON.
GROSS FEE  =  TONS  ×  RATE  ×  ( 1 + FUEL SURCHARGE ).  The surcharge defaults to 18% from Setup §2; type a different % on a single trip (for example 20%) and only that trip changes.
2% TAX  =  GROSS FEE × 2%, withheld by the client.
NET FEE  =  GROSS FEE − 2% TAX.  This is the base for the crew shares.
DRIVER  =  NET FEE × 10%     HELPER  =  NET FEE × 5%
The percentages live in Setup §2 and can be overridden per person in Setup §5 (leave the % blank to use the default).</t>
        </is>
      </c>
    </row>
    <row r="21" ht="28.4" customHeight="1">
      <c r="B21" s="167" t="inlineStr">
        <is>
          <t>Example — BATAAN → BMPP at ₱950/ton, 20 tons:  950 × 20 = 19,000  × 1.18 = ₱22,420 gross.  Tax 2% = ₱448.40  →  net ₱21,971.60.  Driver 10% = ₱2,197.16, helper 5% = ₱1,098.58.</t>
        </is>
      </c>
    </row>
    <row r="22" ht="6" customHeight="1"/>
    <row r="23" ht="24" customHeight="1">
      <c r="B23" s="102" t="inlineStr">
        <is>
          <t>5 · WHAT COUNTS AS A COST (and what does not)</t>
        </is>
      </c>
    </row>
    <row r="24" ht="28.4" customHeight="1">
      <c r="B24" s="165" t="inlineStr">
        <is>
          <t>Trip profit  =  GROSS FEE − 2% TAX − driver share − helper share − allowance − reimbursables − fuel − toll &amp; parking − other trip cost.</t>
        </is>
      </c>
    </row>
    <row r="25" ht="28.4" customHeight="1">
      <c r="B25" s="165" t="inlineStr">
        <is>
          <t>Operating profit  =  trip profit (all trips in the month)  −  booked Vehicle expenses  −  booked Overhead expenses.    Cash profit after loans  =  operating profit  −  loan amortisation actually paid.</t>
        </is>
      </c>
    </row>
    <row r="26" ht="40.59999999999999" customHeight="1">
      <c r="B26" s="166" t="inlineStr">
        <is>
          <t>NOT costs: cash advances, payroll payouts, reimbursable payouts, owner's draw and asset purchases. They are money moving between your pocket and your crew — the real cost was already booked when the trip or the receipt was logged. They are grouped as TRANSFER / OTHER so they never inflate your expenses.</t>
        </is>
      </c>
    </row>
    <row r="27" ht="28.4" customHeight="1">
      <c r="B27" s="168" t="inlineStr">
        <is>
          <t>Log fuel and toll per trip in the TRIPS sheet. Use EXPENSES → ‘Fuel – Bulk Purchase’ only when you buy in bulk, otherwise you will count the same diesel twice.</t>
        </is>
      </c>
    </row>
    <row r="28" ht="6" customHeight="1"/>
    <row r="29" ht="24" customHeight="1">
      <c r="B29" s="102" t="inlineStr">
        <is>
          <t>6 · YOUR ROUTINE</t>
        </is>
      </c>
    </row>
    <row r="30" ht="126" customHeight="1">
      <c r="B30" s="166" t="inlineStr">
        <is>
          <t>•  EVERY TRIP (30 seconds): Trips → new row → date, invoice #, truck, driver, helper, source, destination, tons, allowance, fuel, toll. Done — fee, tax, shares and profit appear by themselves.
•  EVERY RECEIPT: Expenses → new row → date, type, description, truck, paid to, amount, method, receipt Y/N.
•  EVERY PAYDAY: log the release in Expenses with type ‘Payroll Payout’ and the crew name in PAID TO. Payroll clears the balance automatically. Cash advances work the same way with ‘Cash Advance’.
•  MONTHLY: open the Dashboard, set MONTH, read the P&amp;L, check ‘Cash profit after loans’. If it is positive you can service the loans and still keep money. Then check STILL TO PAY CREW and UNPAID INVOICES, and collect.</t>
        </is>
      </c>
    </row>
    <row r="31" ht="6" customHeight="1"/>
    <row r="32" ht="24" customHeight="1">
      <c r="B32" s="102" t="inlineStr">
        <is>
          <t>7 · GROWING THE BUSINESS</t>
        </is>
      </c>
    </row>
    <row r="33" ht="28.4" customHeight="1">
      <c r="B33" s="166" t="inlineStr">
        <is>
          <t>▪  New truck  —  Setup §4 → add a row (name, plate, capacity, status, driver). It appears in every dropdown, on the dashboard truck table and in the charts — no formula edits.</t>
        </is>
      </c>
    </row>
    <row r="34" ht="28.4" customHeight="1">
      <c r="B34" s="166" t="inlineStr">
        <is>
          <t>▪  New driver / helper  —  Setup §5 → add name + role. Leave SHARE % blank to inherit 10% / 5%. Payroll picks it up for every month automatically.</t>
        </is>
      </c>
    </row>
    <row r="35" ht="40.59999999999999" customHeight="1">
      <c r="B35" s="166" t="inlineStr">
        <is>
          <t>▪  New destination  —  Setup §3 → add one row: SOURCE, DESTINATION, RATE. Also add the destination to Setup §8 so it appears in the ranking. Trips resolves the rate by source + destination; if the lane is one-way it still matches on destination alone.</t>
        </is>
      </c>
    </row>
    <row r="36" ht="28.4" customHeight="1">
      <c r="B36" s="166" t="inlineStr">
        <is>
          <t>▪  New loan  —  Setup §7 → lender, truck, principal, rate, monthly amortisation, term, start date. Payments are counted from the Expenses sheet the moment you log them as ‘Loan Payment’ with that lender in PAID TO.</t>
        </is>
      </c>
    </row>
    <row r="37" ht="28.4" customHeight="1">
      <c r="B37" s="166" t="inlineStr">
        <is>
          <t>▪  New year  —  Copy the last month block on the Payroll sheet and change the hidden month key in column R. The dashboard month list already covers 24 months.</t>
        </is>
      </c>
    </row>
    <row r="38" ht="6" customHeight="1"/>
    <row r="39" ht="24" customHeight="1">
      <c r="B39" s="102" t="inlineStr">
        <is>
          <t>8 · USING IT IN GOOGLE SHEETS</t>
        </is>
      </c>
    </row>
    <row r="40" ht="28.4" customHeight="1">
      <c r="B40" s="165" t="inlineStr">
        <is>
          <t>File → Import → Upload → select this file → Import location: ‘Replace spreadsheet’. Formulas, dropdowns, conditional colours and the dashboard all convert. Two things behave differently:</t>
        </is>
      </c>
    </row>
    <row r="41" ht="52.8" customHeight="1">
      <c r="B41" s="166" t="inlineStr">
        <is>
          <t>•  Charts: Google Sheets re-draws them on import. If a series arrives empty, click the chart → three dots → Edit chart → re-pick the range on the Calc tab.
•  The month filter: if the dropdown does not survive the import, type the date in the MONTH cell (any day of the month works — it snaps to the 1st).</t>
        </is>
      </c>
    </row>
    <row r="42" ht="16.2" customHeight="1">
      <c r="B42" s="169" t="inlineStr">
        <is>
          <t>Tip: keep the Calc tab hidden (right-click → Hide sheet). Deleting it breaks the dashboard.</t>
        </is>
      </c>
    </row>
    <row r="43" ht="6" customHeight="1"/>
    <row r="44" ht="24" customHeight="1">
      <c r="B44" s="102" t="inlineStr">
        <is>
          <t>9 · IF SOMETHING LOOKS WRONG</t>
        </is>
      </c>
    </row>
    <row r="45" ht="40.59999999999999" customHeight="1">
      <c r="B45" s="166" t="inlineStr">
        <is>
          <t>▪  ‘NO RATE’ in the RATE / TON column
     →  That destination is not in Setup §3, or the spelling differs. Pick the destination from the dropdown, or add the lane to the rate table.</t>
        </is>
      </c>
    </row>
    <row r="46" ht="28.4" customHeight="1">
      <c r="B46" s="166" t="inlineStr">
        <is>
          <t>▪  ‘CHECK TYPE’ in the COST GROUP column
     →  The expense type is not in Setup §6. Pick from the dropdown.</t>
        </is>
      </c>
    </row>
    <row r="47" ht="28.4" customHeight="1">
      <c r="B47" s="166" t="inlineStr">
        <is>
          <t>▪  A crew member has no pay
     →  The name in the trip must match Setup §5 exactly (use the dropdown).</t>
        </is>
      </c>
    </row>
    <row r="48" ht="28.4" customHeight="1">
      <c r="B48" s="166" t="inlineStr">
        <is>
          <t>▪  A trip shows no allowance
     →  Blank allowance uses the default in Setup §2 — type 0 if no allowance was given.</t>
        </is>
      </c>
    </row>
    <row r="49" ht="40.59999999999999" customHeight="1">
      <c r="B49" s="166" t="inlineStr">
        <is>
          <t>▪  A cost is missing from the P&amp;L
     →  Check its COST GROUP: Transfer and Other are deliberately excluded from profit.</t>
        </is>
      </c>
    </row>
    <row r="50" ht="40.59999999999999" customHeight="1">
      <c r="B50" s="166" t="inlineStr">
        <is>
          <t>▪  A crew member still shows a balance
     →  The payout or advance must carry that person's name in PAID TO/CREDITOR.</t>
        </is>
      </c>
    </row>
    <row r="51" ht="6" customHeight="1"/>
    <row r="52" ht="24" customHeight="1">
      <c r="B52" s="102" t="inlineStr">
        <is>
          <t>10 · IMPORTANT</t>
        </is>
      </c>
    </row>
    <row r="53" ht="40.59999999999999" customHeight="1">
      <c r="B53" s="168" t="inlineStr">
        <is>
          <t>The workbook opens with 45 sample trips and 29 sample expenses so you can see the dashboard working. Before you start for real, delete the sample rows (select the filled rows on Trips and on Expenses → right-click → Delete rows / Clear contents) — or keep one month as a reference and delete the rest.</t>
        </is>
      </c>
    </row>
    <row r="54" ht="28.4" customHeight="1">
      <c r="B54" s="170" t="inlineStr">
        <is>
          <t>Log every peso. A trucking business rarely fails because of the rate — it fails because the diesel, the toll and the 5% helper share were never written down.</t>
        </is>
      </c>
    </row>
  </sheetData>
  <mergeCells count="44">
    <mergeCell ref="B11:D11"/>
    <mergeCell ref="B42:D42"/>
    <mergeCell ref="B14:D14"/>
    <mergeCell ref="B23:D23"/>
    <mergeCell ref="B8:D8"/>
    <mergeCell ref="B17:D17"/>
    <mergeCell ref="B13:D13"/>
    <mergeCell ref="B44:D44"/>
    <mergeCell ref="B53:D53"/>
    <mergeCell ref="B29:D29"/>
    <mergeCell ref="B34:D34"/>
    <mergeCell ref="B19:D19"/>
    <mergeCell ref="B37:D37"/>
    <mergeCell ref="B49:D49"/>
    <mergeCell ref="B40:D40"/>
    <mergeCell ref="B9:D9"/>
    <mergeCell ref="B30:D30"/>
    <mergeCell ref="B15:D15"/>
    <mergeCell ref="B6:D6"/>
    <mergeCell ref="B24:D24"/>
    <mergeCell ref="B20:D20"/>
    <mergeCell ref="B33:D33"/>
    <mergeCell ref="A1:D1"/>
    <mergeCell ref="B5:D5"/>
    <mergeCell ref="B36:D36"/>
    <mergeCell ref="B45:D45"/>
    <mergeCell ref="B41:D41"/>
    <mergeCell ref="B32:D32"/>
    <mergeCell ref="B4:D4"/>
    <mergeCell ref="B35:D35"/>
    <mergeCell ref="B26:D26"/>
    <mergeCell ref="B50:D50"/>
    <mergeCell ref="B25:D25"/>
    <mergeCell ref="B47:D47"/>
    <mergeCell ref="B16:D16"/>
    <mergeCell ref="B54:D54"/>
    <mergeCell ref="B46:D46"/>
    <mergeCell ref="B27:D27"/>
    <mergeCell ref="B52:D52"/>
    <mergeCell ref="B21:D21"/>
    <mergeCell ref="A2:D2"/>
    <mergeCell ref="B12:D12"/>
    <mergeCell ref="B39:D39"/>
    <mergeCell ref="B48:D48"/>
  </mergeCells>
  <pageMargins left="0.75" right="0.75" top="1" bottom="1" header="0.5" footer="0.5"/>
</worksheet>
</file>

<file path=xl/worksheets/sheet7.xml><?xml version="1.0" encoding="utf-8"?>
<worksheet xmlns="http://schemas.openxmlformats.org/spreadsheetml/2006/main">
  <sheetPr>
    <tabColor rgb="00D5DBE1"/>
    <outlinePr summaryBelow="1" summaryRight="1"/>
    <pageSetUpPr/>
  </sheetPr>
  <dimension ref="A1:AB100"/>
  <sheetViews>
    <sheetView showGridLines="0" workbookViewId="0">
      <selection activeCell="A1" sqref="A1"/>
    </sheetView>
  </sheetViews>
  <sheetFormatPr baseColWidth="8" defaultRowHeight="15"/>
  <sheetData>
    <row r="1">
      <c r="A1" s="171" t="inlineStr">
        <is>
          <t>CALC — engine sheet (do not edit, do not delete)</t>
        </is>
      </c>
      <c r="AA1" s="172" t="inlineStr">
        <is>
          <t>MONTH LIST (dropdown)</t>
        </is>
      </c>
      <c r="AB1" s="173" t="inlineStr">
        <is>
          <t>All</t>
        </is>
      </c>
    </row>
    <row r="2">
      <c r="A2" s="174" t="inlineStr">
        <is>
          <t>Every dashboard number is computed from here — the two filters are typed on the Dashboard.</t>
        </is>
      </c>
      <c r="AA2" s="175">
        <f>$A$23</f>
        <v/>
      </c>
      <c r="AB2" s="173">
        <f>IF(Setup!$A$63="","",Setup!$A$63)</f>
        <v/>
      </c>
    </row>
    <row r="3">
      <c r="A3" s="176" t="inlineStr">
        <is>
          <t>Selected month</t>
        </is>
      </c>
      <c r="B3" s="177">
        <f>IF(Dashboard!$C$4="","",DATE(YEAR(Dashboard!$C$4),MONTH(Dashboard!$C$4),1))</f>
        <v/>
      </c>
      <c r="AA3" s="175">
        <f>$A$24</f>
        <v/>
      </c>
      <c r="AB3" s="173">
        <f>IF(Setup!$A$64="","",Setup!$A$64)</f>
        <v/>
      </c>
    </row>
    <row r="4">
      <c r="A4" s="176" t="inlineStr">
        <is>
          <t>Selected truck</t>
        </is>
      </c>
      <c r="B4" s="178">
        <f>Dashboard!$F$4</f>
        <v/>
      </c>
      <c r="AA4" s="175">
        <f>$A$25</f>
        <v/>
      </c>
      <c r="AB4" s="173">
        <f>IF(Setup!$A$65="","",Setup!$A$65)</f>
        <v/>
      </c>
    </row>
    <row r="5">
      <c r="Q5" s="179" t="inlineStr">
        <is>
          <t>P&amp;L — selected month (filtered)</t>
        </is>
      </c>
      <c r="R5" s="179" t="inlineStr">
        <is>
          <t>LINE</t>
        </is>
      </c>
      <c r="AA5" s="175">
        <f>$A$26</f>
        <v/>
      </c>
      <c r="AB5" s="173">
        <f>IF(Setup!$A$66="","",Setup!$A$66)</f>
        <v/>
      </c>
    </row>
    <row r="6">
      <c r="A6" s="180" t="inlineStr">
        <is>
          <t>KEY FIGURES (read by the dashboard)</t>
        </is>
      </c>
      <c r="B6" s="181" t="inlineStr"/>
      <c r="C6" s="179" t="inlineStr">
        <is>
          <t>KPI</t>
        </is>
      </c>
      <c r="D6" s="181" t="inlineStr"/>
      <c r="E6" s="181" t="inlineStr"/>
      <c r="F6" s="181" t="inlineStr"/>
      <c r="AA6" s="175">
        <f>$A$27</f>
        <v/>
      </c>
      <c r="AB6" s="173">
        <f>IF(Setup!$A$67="","",Setup!$A$67)</f>
        <v/>
      </c>
    </row>
    <row r="7">
      <c r="B7" s="182">
        <f>IF($B$4="All",SUMIFS(Trips!$K5:$K1004,Trips!$Z5:$Z1004,$B$3),SUMIFS(Trips!$K5:$K1004,Trips!$Z5:$Z1004,$B$3,Trips!$C5:$C1004,$B$4))</f>
        <v/>
      </c>
      <c r="C7" s="183" t="inlineStr">
        <is>
          <t>Revenue — selected month</t>
        </is>
      </c>
      <c r="Q7" s="184">
        <f>IF($B$4="All",SUMIFS(Trips!$K5:$K1004,Trips!$Z5:$Z1004,$B$3),SUMIFS(Trips!$K5:$K1004,Trips!$Z5:$Z1004,$B$3,Trips!$C5:$C1004,$B$4))</f>
        <v/>
      </c>
      <c r="R7" s="183" t="inlineStr">
        <is>
          <t>Gross hauling fee</t>
        </is>
      </c>
      <c r="AA7" s="175">
        <f>$A$28</f>
        <v/>
      </c>
      <c r="AB7" s="173">
        <f>IF(Setup!$A$68="","",Setup!$A$68)</f>
        <v/>
      </c>
    </row>
    <row r="8">
      <c r="B8" s="182">
        <f>IF($B$4="All",SUMIFS(Trips!$V5:$V1004,Trips!$Z5:$Z1004,$B$3),SUMIFS(Trips!$V5:$V1004,Trips!$Z5:$Z1004,$B$3,Trips!$C5:$C1004,$B$4))</f>
        <v/>
      </c>
      <c r="C8" s="183" t="inlineStr">
        <is>
          <t>Net profit — selected month</t>
        </is>
      </c>
      <c r="Q8" s="184">
        <f>IF($B$4="All",SUMIFS(Trips!$L5:$L1004,Trips!$Z5:$Z1004,$B$3),SUMIFS(Trips!$L5:$L1004,Trips!$Z5:$Z1004,$B$3,Trips!$C5:$C1004,$B$4))</f>
        <v/>
      </c>
      <c r="R8" s="183" t="inlineStr">
        <is>
          <t>Withholding tax (2%)</t>
        </is>
      </c>
      <c r="AA8" s="175">
        <f>$A$29</f>
        <v/>
      </c>
      <c r="AB8" s="173">
        <f>IF(Setup!$A$69="","",Setup!$A$69)</f>
        <v/>
      </c>
    </row>
    <row r="9">
      <c r="B9" s="185">
        <f>IF($B$7=0,"",$B$8/$B$7)</f>
        <v/>
      </c>
      <c r="C9" s="183" t="inlineStr">
        <is>
          <t>Gross margin — selected month</t>
        </is>
      </c>
      <c r="Q9" s="184">
        <f>Q7-Q8</f>
        <v/>
      </c>
      <c r="R9" s="183" t="inlineStr">
        <is>
          <t>Net hauling fee</t>
        </is>
      </c>
      <c r="AA9" s="175">
        <f>$A$30</f>
        <v/>
      </c>
      <c r="AB9" s="173">
        <f>IF(Setup!$A$70="","",Setup!$A$70)</f>
        <v/>
      </c>
    </row>
    <row r="10">
      <c r="B10" s="186">
        <f>IF($B$4="All",COUNTIFS(Trips!$Z5:$Z1004,$B$3),COUNTIFS(Trips!$Z5:$Z1004,$B$3,Trips!$C5:$C1004,$B$4))</f>
        <v/>
      </c>
      <c r="C10" s="183" t="inlineStr">
        <is>
          <t>Trips — selected month</t>
        </is>
      </c>
      <c r="Q10" s="184">
        <f>IF($B$4="All",SUMIFS(Trips!$N5:$N1004,Trips!$Z5:$Z1004,$B$3),SUMIFS(Trips!$N5:$N1004,Trips!$Z5:$Z1004,$B$3,Trips!$C5:$C1004,$B$4))</f>
        <v/>
      </c>
      <c r="R10" s="183" t="inlineStr">
        <is>
          <t>Driver share</t>
        </is>
      </c>
      <c r="AA10" s="175">
        <f>$A$31</f>
        <v/>
      </c>
      <c r="AB10" s="173">
        <f>IF(Setup!$A$71="","",Setup!$A$71)</f>
        <v/>
      </c>
    </row>
    <row r="11">
      <c r="B11" s="187">
        <f>IF($B$4="All",SUMIFS(Trips!$H5:$H1004,Trips!$Z5:$Z1004,$B$3),SUMIFS(Trips!$H5:$H1004,Trips!$Z5:$Z1004,$B$3,Trips!$C5:$C1004,$B$4))</f>
        <v/>
      </c>
      <c r="C11" s="183" t="inlineStr">
        <is>
          <t>Tons hauled — selected month</t>
        </is>
      </c>
      <c r="Q11" s="184">
        <f>IF($B$4="All",SUMIFS(Trips!$O5:$O1004,Trips!$Z5:$Z1004,$B$3),SUMIFS(Trips!$O5:$O1004,Trips!$Z5:$Z1004,$B$3,Trips!$C5:$C1004,$B$4))</f>
        <v/>
      </c>
      <c r="R11" s="183" t="inlineStr">
        <is>
          <t>Helper share</t>
        </is>
      </c>
      <c r="AA11" s="175">
        <f>$A$32</f>
        <v/>
      </c>
      <c r="AB11" s="173">
        <f>IF(Setup!$A$72="","",Setup!$A$72)</f>
        <v/>
      </c>
    </row>
    <row r="12">
      <c r="B12" s="182">
        <f>IF($B$4="All",SUM(Trips!$K5:$K1004),SUMIFS(Trips!$K5:$K1004,Trips!$C5:$C1004,$B$4))</f>
        <v/>
      </c>
      <c r="C12" s="183" t="inlineStr">
        <is>
          <t>Revenue — all months</t>
        </is>
      </c>
      <c r="Q12" s="184">
        <f>IF($B$4="All",SUMIFS(Trips!$P5:$P1004,Trips!$Z5:$Z1004,$B$3),SUMIFS(Trips!$P5:$P1004,Trips!$Z5:$Z1004,$B$3,Trips!$C5:$C1004,$B$4))</f>
        <v/>
      </c>
      <c r="R12" s="183" t="inlineStr">
        <is>
          <t>Driver allowance</t>
        </is>
      </c>
      <c r="AA12" s="175">
        <f>$A$33</f>
        <v/>
      </c>
    </row>
    <row r="13">
      <c r="B13" s="182">
        <f>IF($B$4="All",SUM(Trips!$V5:$V1004),SUMIFS(Trips!$V5:$V1004,Trips!$C5:$C1004,$B$4))</f>
        <v/>
      </c>
      <c r="C13" s="183" t="inlineStr">
        <is>
          <t>Net profit — all months</t>
        </is>
      </c>
      <c r="Q13" s="184">
        <f>IF($B$4="All",SUMIFS(Trips!$Q5:$Q1004,Trips!$Z5:$Z1004,$B$3),SUMIFS(Trips!$Q5:$Q1004,Trips!$Z5:$Z1004,$B$3,Trips!$C5:$C1004,$B$4))</f>
        <v/>
      </c>
      <c r="R13" s="183" t="inlineStr">
        <is>
          <t>Reimbursable expenses</t>
        </is>
      </c>
      <c r="AA13" s="175">
        <f>$A$34</f>
        <v/>
      </c>
    </row>
    <row r="14">
      <c r="B14" s="182">
        <f>IF($B$4="All",SUMIFS(Trips!$U5:$U1004,Trips!$Z5:$Z1004,$B$3),SUMIFS(Trips!$U5:$U1004,Trips!$Z5:$Z1004,$B$3,Trips!$C5:$C1004,$B$4))</f>
        <v/>
      </c>
      <c r="C14" s="183" t="inlineStr">
        <is>
          <t>Direct cost — selected month</t>
        </is>
      </c>
      <c r="Q14" s="184">
        <f>Q9-Q10-Q11-Q12-Q13</f>
        <v/>
      </c>
      <c r="R14" s="183" t="inlineStr">
        <is>
          <t>Gross profit</t>
        </is>
      </c>
      <c r="AA14" s="175">
        <f>$A$35</f>
        <v/>
      </c>
    </row>
    <row r="15">
      <c r="B15" s="182">
        <f>IF($B$4="All",SUMIFS(Trips!$N5:$N1004,Trips!$Z5:$Z1004,$B$3)+SUMIFS(Trips!$O5:$O1004,Trips!$Z5:$Z1004,$B$3)+SUMIFS(Trips!$P5:$P1004,Trips!$Z5:$Z1004,$B$3),SUMIFS(Trips!$N5:$N1004,Trips!$Z5:$Z1004,$B$3,Trips!$C5:$C1004,$B$4)+SUMIFS(Trips!$O5:$O1004,Trips!$Z5:$Z1004,$B$3,Trips!$C5:$C1004,$B$4)+SUMIFS(Trips!$P5:$P1004,Trips!$Z5:$Z1004,$B$3,Trips!$C5:$C1004,$B$4))</f>
        <v/>
      </c>
      <c r="C15" s="183" t="inlineStr">
        <is>
          <t>Crew cost (share + allowance) — selected month</t>
        </is>
      </c>
      <c r="Q15" s="184">
        <f>IF($B$4="All",SUMIFS(Trips!$R5:$R1004,Trips!$Z5:$Z1004,$B$3),SUMIFS(Trips!$R5:$R1004,Trips!$Z5:$Z1004,$B$3,Trips!$C5:$C1004,$B$4))</f>
        <v/>
      </c>
      <c r="R15" s="183" t="inlineStr">
        <is>
          <t>Fuel</t>
        </is>
      </c>
      <c r="AA15" s="175">
        <f>$A$36</f>
        <v/>
      </c>
    </row>
    <row r="16">
      <c r="B16" s="182">
        <f>IF($B$4="All",SUMIFS(Expenses!$F5:$F1004,Expenses!$J5:$J1004,$B$3),SUMIFS(Expenses!$F5:$F1004,Expenses!$J5:$J1004,$B$3,Expenses!$D5:$D1004,$B$4))</f>
        <v/>
      </c>
      <c r="C16" s="183" t="inlineStr">
        <is>
          <t>Expenses booked — selected month</t>
        </is>
      </c>
      <c r="Q16" s="184">
        <f>IF($B$4="All",SUMIFS(Trips!$S5:$S1004,Trips!$Z5:$Z1004,$B$3),SUMIFS(Trips!$S5:$S1004,Trips!$Z5:$Z1004,$B$3,Trips!$C5:$C1004,$B$4))</f>
        <v/>
      </c>
      <c r="R16" s="183" t="inlineStr">
        <is>
          <t>Toll &amp; parking</t>
        </is>
      </c>
      <c r="AA16" s="175">
        <f>$A$37</f>
        <v/>
      </c>
    </row>
    <row r="17">
      <c r="Q17" s="184">
        <f>IF($B$4="All",SUMIFS(Trips!$T5:$T1004,Trips!$Z5:$Z1004,$B$3),SUMIFS(Trips!$T5:$T1004,Trips!$Z5:$Z1004,$B$3,Trips!$C5:$C1004,$B$4))</f>
        <v/>
      </c>
      <c r="R17" s="183" t="inlineStr">
        <is>
          <t>Other trip costs</t>
        </is>
      </c>
      <c r="AA17" s="175">
        <f>$A$38</f>
        <v/>
      </c>
    </row>
    <row r="18">
      <c r="Q18" s="184">
        <f>SUM(Q15:Q17)</f>
        <v/>
      </c>
      <c r="R18" s="183" t="inlineStr">
        <is>
          <t>Total trip cost</t>
        </is>
      </c>
      <c r="AA18" s="175">
        <f>$A$39</f>
        <v/>
      </c>
    </row>
    <row r="19">
      <c r="Q19" s="184">
        <f>Q14-Q18</f>
        <v/>
      </c>
      <c r="R19" s="183" t="inlineStr">
        <is>
          <t>Trip net profit</t>
        </is>
      </c>
      <c r="AA19" s="175">
        <f>$A$40</f>
        <v/>
      </c>
    </row>
    <row r="20">
      <c r="Q20" s="184">
        <f>IF($B$4="All",SUMIFS(Expenses!$F5:$F1004,Expenses!$J5:$J1004,$B$3,Expenses!$I5:$I1004,"Vehicle"),SUMIFS(Expenses!$F5:$F1004,Expenses!$J5:$J1004,$B$3,Expenses!$I5:$I1004,"Vehicle",Expenses!$D5:$D1004,$B$4))</f>
        <v/>
      </c>
      <c r="R20" s="183" t="inlineStr">
        <is>
          <t>Vehicle running costs (repairs, tires…)</t>
        </is>
      </c>
      <c r="AA20" s="175">
        <f>$A$41</f>
        <v/>
      </c>
    </row>
    <row r="21">
      <c r="A21" s="180" t="inlineStr">
        <is>
          <t>MONTHLY LEDGER (all trucks) → feeds the trend charts</t>
        </is>
      </c>
      <c r="Q21" s="184">
        <f>IF($B$4="All",SUMIFS(Expenses!$F5:$F1004,Expenses!$J5:$J1004,$B$3,Expenses!$I5:$I1004,"Overhead"),SUMIFS(Expenses!$F5:$F1004,Expenses!$J5:$J1004,$B$3,Expenses!$I5:$I1004,"Overhead",Expenses!$D5:$D1004,$B$4))</f>
        <v/>
      </c>
      <c r="R21" s="183" t="inlineStr">
        <is>
          <t>Overhead (rent, office, salaries…)</t>
        </is>
      </c>
      <c r="AA21" s="175">
        <f>$A$42</f>
        <v/>
      </c>
    </row>
    <row r="22">
      <c r="A22" s="188" t="inlineStr">
        <is>
          <t>MONTH KEY</t>
        </is>
      </c>
      <c r="B22" s="188" t="inlineStr">
        <is>
          <t>LABEL</t>
        </is>
      </c>
      <c r="C22" s="188" t="inlineStr">
        <is>
          <t>TRIPS</t>
        </is>
      </c>
      <c r="D22" s="188" t="inlineStr">
        <is>
          <t>TONS</t>
        </is>
      </c>
      <c r="E22" s="188" t="inlineStr">
        <is>
          <t>GROSS FEE</t>
        </is>
      </c>
      <c r="F22" s="188" t="inlineStr">
        <is>
          <t>TAX</t>
        </is>
      </c>
      <c r="G22" s="188" t="inlineStr">
        <is>
          <t>NET FEE</t>
        </is>
      </c>
      <c r="H22" s="188" t="inlineStr">
        <is>
          <t>CREW PAY</t>
        </is>
      </c>
      <c r="I22" s="188" t="inlineStr">
        <is>
          <t>ALLOWANCE</t>
        </is>
      </c>
      <c r="J22" s="188" t="inlineStr">
        <is>
          <t>REIMBURSED</t>
        </is>
      </c>
      <c r="K22" s="188" t="inlineStr">
        <is>
          <t>DIRECT COST</t>
        </is>
      </c>
      <c r="L22" s="188" t="inlineStr">
        <is>
          <t>TOTAL COST</t>
        </is>
      </c>
      <c r="M22" s="188" t="inlineStr">
        <is>
          <t>NET PROFIT</t>
        </is>
      </c>
      <c r="N22" s="188" t="inlineStr">
        <is>
          <t>MARGIN</t>
        </is>
      </c>
      <c r="O22" s="188" t="inlineStr">
        <is>
          <t>AVG PROFIT / TRIP</t>
        </is>
      </c>
      <c r="Q22" s="184">
        <f>Q19-Q20-Q21</f>
        <v/>
      </c>
      <c r="R22" s="183" t="inlineStr">
        <is>
          <t>Operating profit</t>
        </is>
      </c>
      <c r="AA22" s="175">
        <f>$A$43</f>
        <v/>
      </c>
    </row>
    <row r="23">
      <c r="A23" s="189" t="n">
        <v>46023</v>
      </c>
      <c r="B23" s="190" t="inlineStr">
        <is>
          <t>Jan 2026</t>
        </is>
      </c>
      <c r="C23" s="191">
        <f>COUNTIFS(Trips!$Z5:$Z1004,$A23)</f>
        <v/>
      </c>
      <c r="D23" s="192">
        <f>SUMIFS(Trips!$H5:$H1004,Trips!$Z5:$Z1004,$A23)</f>
        <v/>
      </c>
      <c r="E23" s="184">
        <f>SUMIFS(Trips!$K5:$K1004,Trips!$Z5:$Z1004,$A23)</f>
        <v/>
      </c>
      <c r="F23" s="184">
        <f>SUMIFS(Trips!$L5:$L1004,Trips!$Z5:$Z1004,$A23)</f>
        <v/>
      </c>
      <c r="G23" s="184">
        <f>SUMIFS(Trips!$M5:$M1004,Trips!$Z5:$Z1004,$A23)</f>
        <v/>
      </c>
      <c r="H23" s="184">
        <f>SUMIFS(Trips!$N5:$N1004,Trips!$Z5:$Z1004,$A23)+SUMIFS(Trips!$O5:$O1004,Trips!$Z5:$Z1004,$A23)</f>
        <v/>
      </c>
      <c r="I23" s="184">
        <f>SUMIFS(Trips!$P5:$P1004,Trips!$Z5:$Z1004,$A23)</f>
        <v/>
      </c>
      <c r="J23" s="184">
        <f>SUMIFS(Trips!$Q5:$Q1004,Trips!$Z5:$Z1004,$A23)</f>
        <v/>
      </c>
      <c r="K23" s="184">
        <f>SUMIFS(Trips!$U5:$U1004,Trips!$Z5:$Z1004,$A23)</f>
        <v/>
      </c>
      <c r="L23" s="184">
        <f>H23+I23+J23+K23</f>
        <v/>
      </c>
      <c r="M23" s="193">
        <f>E23-L23</f>
        <v/>
      </c>
      <c r="N23" s="194">
        <f>IF(E23=0,"",M23/E23)</f>
        <v/>
      </c>
      <c r="O23" s="195">
        <f>IF(C23=0,"",M23/C23)</f>
        <v/>
      </c>
      <c r="Q23" s="184">
        <f>IF($B$4="All",SUMIFS(Expenses!$F5:$F1004,Expenses!$J5:$J1004,$B$3,Expenses!$I5:$I1004,"Financing"),SUMIFS(Expenses!$F5:$F1004,Expenses!$J5:$J1004,$B$3,Expenses!$I5:$I1004,"Financing",Expenses!$D5:$D1004,$B$4))</f>
        <v/>
      </c>
      <c r="R23" s="183" t="inlineStr">
        <is>
          <t>Loan amortisation paid</t>
        </is>
      </c>
      <c r="AA23" s="175">
        <f>$A$44</f>
        <v/>
      </c>
    </row>
    <row r="24">
      <c r="A24" s="189" t="n">
        <v>46054</v>
      </c>
      <c r="B24" s="190" t="inlineStr">
        <is>
          <t>Feb 2026</t>
        </is>
      </c>
      <c r="C24" s="191">
        <f>COUNTIFS(Trips!$Z5:$Z1004,$A24)</f>
        <v/>
      </c>
      <c r="D24" s="192">
        <f>SUMIFS(Trips!$H5:$H1004,Trips!$Z5:$Z1004,$A24)</f>
        <v/>
      </c>
      <c r="E24" s="184">
        <f>SUMIFS(Trips!$K5:$K1004,Trips!$Z5:$Z1004,$A24)</f>
        <v/>
      </c>
      <c r="F24" s="184">
        <f>SUMIFS(Trips!$L5:$L1004,Trips!$Z5:$Z1004,$A24)</f>
        <v/>
      </c>
      <c r="G24" s="184">
        <f>SUMIFS(Trips!$M5:$M1004,Trips!$Z5:$Z1004,$A24)</f>
        <v/>
      </c>
      <c r="H24" s="184">
        <f>SUMIFS(Trips!$N5:$N1004,Trips!$Z5:$Z1004,$A24)+SUMIFS(Trips!$O5:$O1004,Trips!$Z5:$Z1004,$A24)</f>
        <v/>
      </c>
      <c r="I24" s="184">
        <f>SUMIFS(Trips!$P5:$P1004,Trips!$Z5:$Z1004,$A24)</f>
        <v/>
      </c>
      <c r="J24" s="184">
        <f>SUMIFS(Trips!$Q5:$Q1004,Trips!$Z5:$Z1004,$A24)</f>
        <v/>
      </c>
      <c r="K24" s="184">
        <f>SUMIFS(Trips!$U5:$U1004,Trips!$Z5:$Z1004,$A24)</f>
        <v/>
      </c>
      <c r="L24" s="184">
        <f>H24+I24+J24+K24</f>
        <v/>
      </c>
      <c r="M24" s="193">
        <f>E24-L24</f>
        <v/>
      </c>
      <c r="N24" s="194">
        <f>IF(E24=0,"",M24/E24)</f>
        <v/>
      </c>
      <c r="O24" s="195">
        <f>IF(C24=0,"",M24/C24)</f>
        <v/>
      </c>
      <c r="Q24" s="184">
        <f>Q22-Q23</f>
        <v/>
      </c>
      <c r="R24" s="183" t="inlineStr">
        <is>
          <t>Cash profit after loans</t>
        </is>
      </c>
      <c r="AA24" s="175">
        <f>$A$45</f>
        <v/>
      </c>
    </row>
    <row r="25">
      <c r="A25" s="189" t="n">
        <v>46082</v>
      </c>
      <c r="B25" s="190" t="inlineStr">
        <is>
          <t>Mar 2026</t>
        </is>
      </c>
      <c r="C25" s="191">
        <f>COUNTIFS(Trips!$Z5:$Z1004,$A25)</f>
        <v/>
      </c>
      <c r="D25" s="192">
        <f>SUMIFS(Trips!$H5:$H1004,Trips!$Z5:$Z1004,$A25)</f>
        <v/>
      </c>
      <c r="E25" s="184">
        <f>SUMIFS(Trips!$K5:$K1004,Trips!$Z5:$Z1004,$A25)</f>
        <v/>
      </c>
      <c r="F25" s="184">
        <f>SUMIFS(Trips!$L5:$L1004,Trips!$Z5:$Z1004,$A25)</f>
        <v/>
      </c>
      <c r="G25" s="184">
        <f>SUMIFS(Trips!$M5:$M1004,Trips!$Z5:$Z1004,$A25)</f>
        <v/>
      </c>
      <c r="H25" s="184">
        <f>SUMIFS(Trips!$N5:$N1004,Trips!$Z5:$Z1004,$A25)+SUMIFS(Trips!$O5:$O1004,Trips!$Z5:$Z1004,$A25)</f>
        <v/>
      </c>
      <c r="I25" s="184">
        <f>SUMIFS(Trips!$P5:$P1004,Trips!$Z5:$Z1004,$A25)</f>
        <v/>
      </c>
      <c r="J25" s="184">
        <f>SUMIFS(Trips!$Q5:$Q1004,Trips!$Z5:$Z1004,$A25)</f>
        <v/>
      </c>
      <c r="K25" s="184">
        <f>SUMIFS(Trips!$U5:$U1004,Trips!$Z5:$Z1004,$A25)</f>
        <v/>
      </c>
      <c r="L25" s="184">
        <f>H25+I25+J25+K25</f>
        <v/>
      </c>
      <c r="M25" s="193">
        <f>E25-L25</f>
        <v/>
      </c>
      <c r="N25" s="194">
        <f>IF(E25=0,"",M25/E25)</f>
        <v/>
      </c>
      <c r="O25" s="195">
        <f>IF(C25=0,"",M25/C25)</f>
        <v/>
      </c>
      <c r="Q25" s="194">
        <f>IF(Q7=0,"",Q24/Q7)</f>
        <v/>
      </c>
      <c r="R25" s="183" t="inlineStr">
        <is>
          <t>Margin on hauling fee</t>
        </is>
      </c>
      <c r="AA25" s="175">
        <f>$A$46</f>
        <v/>
      </c>
    </row>
    <row r="26">
      <c r="A26" s="189" t="n">
        <v>46113</v>
      </c>
      <c r="B26" s="190" t="inlineStr">
        <is>
          <t>Apr 2026</t>
        </is>
      </c>
      <c r="C26" s="191">
        <f>COUNTIFS(Trips!$Z5:$Z1004,$A26)</f>
        <v/>
      </c>
      <c r="D26" s="192">
        <f>SUMIFS(Trips!$H5:$H1004,Trips!$Z5:$Z1004,$A26)</f>
        <v/>
      </c>
      <c r="E26" s="184">
        <f>SUMIFS(Trips!$K5:$K1004,Trips!$Z5:$Z1004,$A26)</f>
        <v/>
      </c>
      <c r="F26" s="184">
        <f>SUMIFS(Trips!$L5:$L1004,Trips!$Z5:$Z1004,$A26)</f>
        <v/>
      </c>
      <c r="G26" s="184">
        <f>SUMIFS(Trips!$M5:$M1004,Trips!$Z5:$Z1004,$A26)</f>
        <v/>
      </c>
      <c r="H26" s="184">
        <f>SUMIFS(Trips!$N5:$N1004,Trips!$Z5:$Z1004,$A26)+SUMIFS(Trips!$O5:$O1004,Trips!$Z5:$Z1004,$A26)</f>
        <v/>
      </c>
      <c r="I26" s="184">
        <f>SUMIFS(Trips!$P5:$P1004,Trips!$Z5:$Z1004,$A26)</f>
        <v/>
      </c>
      <c r="J26" s="184">
        <f>SUMIFS(Trips!$Q5:$Q1004,Trips!$Z5:$Z1004,$A26)</f>
        <v/>
      </c>
      <c r="K26" s="184">
        <f>SUMIFS(Trips!$U5:$U1004,Trips!$Z5:$Z1004,$A26)</f>
        <v/>
      </c>
      <c r="L26" s="184">
        <f>H26+I26+J26+K26</f>
        <v/>
      </c>
      <c r="M26" s="193">
        <f>E26-L26</f>
        <v/>
      </c>
      <c r="N26" s="194">
        <f>IF(E26=0,"",M26/E26)</f>
        <v/>
      </c>
      <c r="O26" s="195">
        <f>IF(C26=0,"",M26/C26)</f>
        <v/>
      </c>
      <c r="Q26" s="184">
        <f>IF($B$4="All",SUMIFS(Expenses!$F5:$F1004,Expenses!$J5:$J1004,$B$3,Expenses!$I5:$I1004,"Transfer"),SUMIFS(Expenses!$F5:$F1004,Expenses!$J5:$J1004,$B$3,Expenses!$I5:$I1004,"Transfer",Expenses!$D5:$D1004,$B$4))</f>
        <v/>
      </c>
      <c r="R26" s="183" t="inlineStr">
        <is>
          <t>Memo: advances &amp; payouts (not a cost)</t>
        </is>
      </c>
    </row>
    <row r="27">
      <c r="A27" s="189" t="n">
        <v>46143</v>
      </c>
      <c r="B27" s="190" t="inlineStr">
        <is>
          <t>May 2026</t>
        </is>
      </c>
      <c r="C27" s="191">
        <f>COUNTIFS(Trips!$Z5:$Z1004,$A27)</f>
        <v/>
      </c>
      <c r="D27" s="192">
        <f>SUMIFS(Trips!$H5:$H1004,Trips!$Z5:$Z1004,$A27)</f>
        <v/>
      </c>
      <c r="E27" s="184">
        <f>SUMIFS(Trips!$K5:$K1004,Trips!$Z5:$Z1004,$A27)</f>
        <v/>
      </c>
      <c r="F27" s="184">
        <f>SUMIFS(Trips!$L5:$L1004,Trips!$Z5:$Z1004,$A27)</f>
        <v/>
      </c>
      <c r="G27" s="184">
        <f>SUMIFS(Trips!$M5:$M1004,Trips!$Z5:$Z1004,$A27)</f>
        <v/>
      </c>
      <c r="H27" s="184">
        <f>SUMIFS(Trips!$N5:$N1004,Trips!$Z5:$Z1004,$A27)+SUMIFS(Trips!$O5:$O1004,Trips!$Z5:$Z1004,$A27)</f>
        <v/>
      </c>
      <c r="I27" s="184">
        <f>SUMIFS(Trips!$P5:$P1004,Trips!$Z5:$Z1004,$A27)</f>
        <v/>
      </c>
      <c r="J27" s="184">
        <f>SUMIFS(Trips!$Q5:$Q1004,Trips!$Z5:$Z1004,$A27)</f>
        <v/>
      </c>
      <c r="K27" s="184">
        <f>SUMIFS(Trips!$U5:$U1004,Trips!$Z5:$Z1004,$A27)</f>
        <v/>
      </c>
      <c r="L27" s="184">
        <f>H27+I27+J27+K27</f>
        <v/>
      </c>
      <c r="M27" s="193">
        <f>E27-L27</f>
        <v/>
      </c>
      <c r="N27" s="194">
        <f>IF(E27=0,"",M27/E27)</f>
        <v/>
      </c>
      <c r="O27" s="195">
        <f>IF(C27=0,"",M27/C27)</f>
        <v/>
      </c>
    </row>
    <row r="28">
      <c r="A28" s="189" t="n">
        <v>46174</v>
      </c>
      <c r="B28" s="190" t="inlineStr">
        <is>
          <t>Jun 2026</t>
        </is>
      </c>
      <c r="C28" s="191">
        <f>COUNTIFS(Trips!$Z5:$Z1004,$A28)</f>
        <v/>
      </c>
      <c r="D28" s="192">
        <f>SUMIFS(Trips!$H5:$H1004,Trips!$Z5:$Z1004,$A28)</f>
        <v/>
      </c>
      <c r="E28" s="184">
        <f>SUMIFS(Trips!$K5:$K1004,Trips!$Z5:$Z1004,$A28)</f>
        <v/>
      </c>
      <c r="F28" s="184">
        <f>SUMIFS(Trips!$L5:$L1004,Trips!$Z5:$Z1004,$A28)</f>
        <v/>
      </c>
      <c r="G28" s="184">
        <f>SUMIFS(Trips!$M5:$M1004,Trips!$Z5:$Z1004,$A28)</f>
        <v/>
      </c>
      <c r="H28" s="184">
        <f>SUMIFS(Trips!$N5:$N1004,Trips!$Z5:$Z1004,$A28)+SUMIFS(Trips!$O5:$O1004,Trips!$Z5:$Z1004,$A28)</f>
        <v/>
      </c>
      <c r="I28" s="184">
        <f>SUMIFS(Trips!$P5:$P1004,Trips!$Z5:$Z1004,$A28)</f>
        <v/>
      </c>
      <c r="J28" s="184">
        <f>SUMIFS(Trips!$Q5:$Q1004,Trips!$Z5:$Z1004,$A28)</f>
        <v/>
      </c>
      <c r="K28" s="184">
        <f>SUMIFS(Trips!$U5:$U1004,Trips!$Z5:$Z1004,$A28)</f>
        <v/>
      </c>
      <c r="L28" s="184">
        <f>H28+I28+J28+K28</f>
        <v/>
      </c>
      <c r="M28" s="193">
        <f>E28-L28</f>
        <v/>
      </c>
      <c r="N28" s="194">
        <f>IF(E28=0,"",M28/E28)</f>
        <v/>
      </c>
      <c r="O28" s="195">
        <f>IF(C28=0,"",M28/C28)</f>
        <v/>
      </c>
    </row>
    <row r="29">
      <c r="A29" s="189" t="n">
        <v>46204</v>
      </c>
      <c r="B29" s="190" t="inlineStr">
        <is>
          <t>Jul 2026</t>
        </is>
      </c>
      <c r="C29" s="191">
        <f>COUNTIFS(Trips!$Z5:$Z1004,$A29)</f>
        <v/>
      </c>
      <c r="D29" s="192">
        <f>SUMIFS(Trips!$H5:$H1004,Trips!$Z5:$Z1004,$A29)</f>
        <v/>
      </c>
      <c r="E29" s="184">
        <f>SUMIFS(Trips!$K5:$K1004,Trips!$Z5:$Z1004,$A29)</f>
        <v/>
      </c>
      <c r="F29" s="184">
        <f>SUMIFS(Trips!$L5:$L1004,Trips!$Z5:$Z1004,$A29)</f>
        <v/>
      </c>
      <c r="G29" s="184">
        <f>SUMIFS(Trips!$M5:$M1004,Trips!$Z5:$Z1004,$A29)</f>
        <v/>
      </c>
      <c r="H29" s="184">
        <f>SUMIFS(Trips!$N5:$N1004,Trips!$Z5:$Z1004,$A29)+SUMIFS(Trips!$O5:$O1004,Trips!$Z5:$Z1004,$A29)</f>
        <v/>
      </c>
      <c r="I29" s="184">
        <f>SUMIFS(Trips!$P5:$P1004,Trips!$Z5:$Z1004,$A29)</f>
        <v/>
      </c>
      <c r="J29" s="184">
        <f>SUMIFS(Trips!$Q5:$Q1004,Trips!$Z5:$Z1004,$A29)</f>
        <v/>
      </c>
      <c r="K29" s="184">
        <f>SUMIFS(Trips!$U5:$U1004,Trips!$Z5:$Z1004,$A29)</f>
        <v/>
      </c>
      <c r="L29" s="184">
        <f>H29+I29+J29+K29</f>
        <v/>
      </c>
      <c r="M29" s="193">
        <f>E29-L29</f>
        <v/>
      </c>
      <c r="N29" s="194">
        <f>IF(E29=0,"",M29/E29)</f>
        <v/>
      </c>
      <c r="O29" s="195">
        <f>IF(C29=0,"",M29/C29)</f>
        <v/>
      </c>
    </row>
    <row r="30">
      <c r="A30" s="189" t="n">
        <v>46235</v>
      </c>
      <c r="B30" s="190">
        <f>IFERROR(SUMIFS(Payroll!$K$5:$K$340,Payroll!$R$5:$R$340,$B$3,Payroll!$K$5:$K$340,"&gt;0.5"),0)</f>
        <v/>
      </c>
      <c r="C30" s="191">
        <f>COUNTIFS(Trips!$Z5:$Z1004,$A30)</f>
        <v/>
      </c>
      <c r="D30" s="192">
        <f>SUMIFS(Trips!$H5:$H1004,Trips!$Z5:$Z1004,$A30)</f>
        <v/>
      </c>
      <c r="E30" s="184">
        <f>SUMIFS(Trips!$K5:$K1004,Trips!$Z5:$Z1004,$A30)</f>
        <v/>
      </c>
      <c r="F30" s="184">
        <f>SUMIFS(Trips!$L5:$L1004,Trips!$Z5:$Z1004,$A30)</f>
        <v/>
      </c>
      <c r="G30" s="184">
        <f>SUMIFS(Trips!$M5:$M1004,Trips!$Z5:$Z1004,$A30)</f>
        <v/>
      </c>
      <c r="H30" s="184">
        <f>SUMIFS(Trips!$N5:$N1004,Trips!$Z5:$Z1004,$A30)+SUMIFS(Trips!$O5:$O1004,Trips!$Z5:$Z1004,$A30)</f>
        <v/>
      </c>
      <c r="I30" s="184">
        <f>SUMIFS(Trips!$P5:$P1004,Trips!$Z5:$Z1004,$A30)</f>
        <v/>
      </c>
      <c r="J30" s="184">
        <f>SUMIFS(Trips!$Q5:$Q1004,Trips!$Z5:$Z1004,$A30)</f>
        <v/>
      </c>
      <c r="K30" s="184">
        <f>SUMIFS(Trips!$U5:$U1004,Trips!$Z5:$Z1004,$A30)</f>
        <v/>
      </c>
      <c r="L30" s="184">
        <f>H30+I30+J30+K30</f>
        <v/>
      </c>
      <c r="M30" s="193">
        <f>E30-L30</f>
        <v/>
      </c>
      <c r="N30" s="194">
        <f>IF(E30=0,"",M30/E30)</f>
        <v/>
      </c>
      <c r="O30" s="195">
        <f>IF(C30=0,"",M30/C30)</f>
        <v/>
      </c>
      <c r="Q30" s="179" t="inlineStr">
        <is>
          <t>TRUCK ROLL-UP (selected month)</t>
        </is>
      </c>
    </row>
    <row r="31">
      <c r="A31" s="189" t="n">
        <v>46266</v>
      </c>
      <c r="B31" s="190">
        <f>SUMIFS(Trips!$K5:$K1004,Trips!$Z5:$Z1004,$B$3)-SUMIFS(Trips!$K5:$K1004,Trips!$Z5:$Z1004,$B$3,Trips!$W5:$W1004,"Paid")</f>
        <v/>
      </c>
      <c r="C31" s="191">
        <f>COUNTIFS(Trips!$Z5:$Z1004,$A31)</f>
        <v/>
      </c>
      <c r="D31" s="192">
        <f>SUMIFS(Trips!$H5:$H1004,Trips!$Z5:$Z1004,$A31)</f>
        <v/>
      </c>
      <c r="E31" s="184">
        <f>SUMIFS(Trips!$K5:$K1004,Trips!$Z5:$Z1004,$A31)</f>
        <v/>
      </c>
      <c r="F31" s="184">
        <f>SUMIFS(Trips!$L5:$L1004,Trips!$Z5:$Z1004,$A31)</f>
        <v/>
      </c>
      <c r="G31" s="184">
        <f>SUMIFS(Trips!$M5:$M1004,Trips!$Z5:$Z1004,$A31)</f>
        <v/>
      </c>
      <c r="H31" s="184">
        <f>SUMIFS(Trips!$N5:$N1004,Trips!$Z5:$Z1004,$A31)+SUMIFS(Trips!$O5:$O1004,Trips!$Z5:$Z1004,$A31)</f>
        <v/>
      </c>
      <c r="I31" s="184">
        <f>SUMIFS(Trips!$P5:$P1004,Trips!$Z5:$Z1004,$A31)</f>
        <v/>
      </c>
      <c r="J31" s="184">
        <f>SUMIFS(Trips!$Q5:$Q1004,Trips!$Z5:$Z1004,$A31)</f>
        <v/>
      </c>
      <c r="K31" s="184">
        <f>SUMIFS(Trips!$U5:$U1004,Trips!$Z5:$Z1004,$A31)</f>
        <v/>
      </c>
      <c r="L31" s="184">
        <f>H31+I31+J31+K31</f>
        <v/>
      </c>
      <c r="M31" s="193">
        <f>E31-L31</f>
        <v/>
      </c>
      <c r="N31" s="194">
        <f>IF(E31=0,"",M31/E31)</f>
        <v/>
      </c>
      <c r="O31" s="195">
        <f>IF(C31=0,"",M31/C31)</f>
        <v/>
      </c>
      <c r="Q31" s="196" t="inlineStr">
        <is>
          <t>TRUCK</t>
        </is>
      </c>
      <c r="R31" s="196" t="inlineStr">
        <is>
          <t>TRIPS</t>
        </is>
      </c>
      <c r="S31" s="196" t="inlineStr">
        <is>
          <t>TONS</t>
        </is>
      </c>
      <c r="T31" s="196" t="inlineStr">
        <is>
          <t>GROSS FEE</t>
        </is>
      </c>
      <c r="U31" s="196" t="inlineStr">
        <is>
          <t>TRIP PROFIT</t>
        </is>
      </c>
      <c r="V31" s="196" t="inlineStr">
        <is>
          <t>MARGIN</t>
        </is>
      </c>
    </row>
    <row r="32">
      <c r="A32" s="189" t="n">
        <v>46296</v>
      </c>
      <c r="B32" s="190" t="inlineStr">
        <is>
          <t>Oct 2026</t>
        </is>
      </c>
      <c r="C32" s="191">
        <f>COUNTIFS(Trips!$Z5:$Z1004,$A32)</f>
        <v/>
      </c>
      <c r="D32" s="192">
        <f>SUMIFS(Trips!$H5:$H1004,Trips!$Z5:$Z1004,$A32)</f>
        <v/>
      </c>
      <c r="E32" s="184">
        <f>SUMIFS(Trips!$K5:$K1004,Trips!$Z5:$Z1004,$A32)</f>
        <v/>
      </c>
      <c r="F32" s="184">
        <f>SUMIFS(Trips!$L5:$L1004,Trips!$Z5:$Z1004,$A32)</f>
        <v/>
      </c>
      <c r="G32" s="184">
        <f>SUMIFS(Trips!$M5:$M1004,Trips!$Z5:$Z1004,$A32)</f>
        <v/>
      </c>
      <c r="H32" s="184">
        <f>SUMIFS(Trips!$N5:$N1004,Trips!$Z5:$Z1004,$A32)+SUMIFS(Trips!$O5:$O1004,Trips!$Z5:$Z1004,$A32)</f>
        <v/>
      </c>
      <c r="I32" s="184">
        <f>SUMIFS(Trips!$P5:$P1004,Trips!$Z5:$Z1004,$A32)</f>
        <v/>
      </c>
      <c r="J32" s="184">
        <f>SUMIFS(Trips!$Q5:$Q1004,Trips!$Z5:$Z1004,$A32)</f>
        <v/>
      </c>
      <c r="K32" s="184">
        <f>SUMIFS(Trips!$U5:$U1004,Trips!$Z5:$Z1004,$A32)</f>
        <v/>
      </c>
      <c r="L32" s="184">
        <f>H32+I32+J32+K32</f>
        <v/>
      </c>
      <c r="M32" s="193">
        <f>E32-L32</f>
        <v/>
      </c>
      <c r="N32" s="194">
        <f>IF(E32=0,"",M32/E32)</f>
        <v/>
      </c>
      <c r="O32" s="195">
        <f>IF(C32=0,"",M32/C32)</f>
        <v/>
      </c>
      <c r="Q32" s="190">
        <f>IF(Setup!$A63="","",Setup!$A63)</f>
        <v/>
      </c>
      <c r="R32" s="191">
        <f>IF($Q32="","",COUNTIFS(Trips!$Z5:$Z1004,$B$3,Trips!$C5:$C1004,$Q32))</f>
        <v/>
      </c>
      <c r="S32" s="192">
        <f>IF($Q32="","",SUMIFS(Trips!$H5:$H1004,Trips!$Z5:$Z1004,$B$3,Trips!$C5:$C1004,$Q32))</f>
        <v/>
      </c>
      <c r="T32" s="184">
        <f>IF($Q32="","",SUMIFS(Trips!$K5:$K1004,Trips!$Z5:$Z1004,$B$3,Trips!$C5:$C1004,$Q32))</f>
        <v/>
      </c>
      <c r="U32" s="184">
        <f>IF($Q32="","",SUMIFS(Trips!$V5:$V1004,Trips!$Z5:$Z1004,$B$3,Trips!$C5:$C1004,$Q32))</f>
        <v/>
      </c>
      <c r="V32" s="194">
        <f>IF($Q32="","",IF($T32=0,"",$U32/$T32))</f>
        <v/>
      </c>
    </row>
    <row r="33">
      <c r="A33" s="189" t="n">
        <v>46327</v>
      </c>
      <c r="B33" s="190" t="inlineStr">
        <is>
          <t>Nov 2026</t>
        </is>
      </c>
      <c r="C33" s="191">
        <f>COUNTIFS(Trips!$Z5:$Z1004,$A33)</f>
        <v/>
      </c>
      <c r="D33" s="192">
        <f>SUMIFS(Trips!$H5:$H1004,Trips!$Z5:$Z1004,$A33)</f>
        <v/>
      </c>
      <c r="E33" s="184">
        <f>SUMIFS(Trips!$K5:$K1004,Trips!$Z5:$Z1004,$A33)</f>
        <v/>
      </c>
      <c r="F33" s="184">
        <f>SUMIFS(Trips!$L5:$L1004,Trips!$Z5:$Z1004,$A33)</f>
        <v/>
      </c>
      <c r="G33" s="184">
        <f>SUMIFS(Trips!$M5:$M1004,Trips!$Z5:$Z1004,$A33)</f>
        <v/>
      </c>
      <c r="H33" s="184">
        <f>SUMIFS(Trips!$N5:$N1004,Trips!$Z5:$Z1004,$A33)+SUMIFS(Trips!$O5:$O1004,Trips!$Z5:$Z1004,$A33)</f>
        <v/>
      </c>
      <c r="I33" s="184">
        <f>SUMIFS(Trips!$P5:$P1004,Trips!$Z5:$Z1004,$A33)</f>
        <v/>
      </c>
      <c r="J33" s="184">
        <f>SUMIFS(Trips!$Q5:$Q1004,Trips!$Z5:$Z1004,$A33)</f>
        <v/>
      </c>
      <c r="K33" s="184">
        <f>SUMIFS(Trips!$U5:$U1004,Trips!$Z5:$Z1004,$A33)</f>
        <v/>
      </c>
      <c r="L33" s="184">
        <f>H33+I33+J33+K33</f>
        <v/>
      </c>
      <c r="M33" s="193">
        <f>E33-L33</f>
        <v/>
      </c>
      <c r="N33" s="194">
        <f>IF(E33=0,"",M33/E33)</f>
        <v/>
      </c>
      <c r="O33" s="195">
        <f>IF(C33=0,"",M33/C33)</f>
        <v/>
      </c>
      <c r="Q33" s="190">
        <f>IF(Setup!$A64="","",Setup!$A64)</f>
        <v/>
      </c>
      <c r="R33" s="191">
        <f>IF($Q33="","",COUNTIFS(Trips!$Z5:$Z1004,$B$3,Trips!$C5:$C1004,$Q33))</f>
        <v/>
      </c>
      <c r="S33" s="192">
        <f>IF($Q33="","",SUMIFS(Trips!$H5:$H1004,Trips!$Z5:$Z1004,$B$3,Trips!$C5:$C1004,$Q33))</f>
        <v/>
      </c>
      <c r="T33" s="184">
        <f>IF($Q33="","",SUMIFS(Trips!$K5:$K1004,Trips!$Z5:$Z1004,$B$3,Trips!$C5:$C1004,$Q33))</f>
        <v/>
      </c>
      <c r="U33" s="184">
        <f>IF($Q33="","",SUMIFS(Trips!$V5:$V1004,Trips!$Z5:$Z1004,$B$3,Trips!$C5:$C1004,$Q33))</f>
        <v/>
      </c>
      <c r="V33" s="194">
        <f>IF($Q33="","",IF($T33=0,"",$U33/$T33))</f>
        <v/>
      </c>
    </row>
    <row r="34">
      <c r="A34" s="189" t="n">
        <v>46357</v>
      </c>
      <c r="B34" s="190" t="inlineStr">
        <is>
          <t>Dec 2026</t>
        </is>
      </c>
      <c r="C34" s="191">
        <f>COUNTIFS(Trips!$Z5:$Z1004,$A34)</f>
        <v/>
      </c>
      <c r="D34" s="192">
        <f>SUMIFS(Trips!$H5:$H1004,Trips!$Z5:$Z1004,$A34)</f>
        <v/>
      </c>
      <c r="E34" s="184">
        <f>SUMIFS(Trips!$K5:$K1004,Trips!$Z5:$Z1004,$A34)</f>
        <v/>
      </c>
      <c r="F34" s="184">
        <f>SUMIFS(Trips!$L5:$L1004,Trips!$Z5:$Z1004,$A34)</f>
        <v/>
      </c>
      <c r="G34" s="184">
        <f>SUMIFS(Trips!$M5:$M1004,Trips!$Z5:$Z1004,$A34)</f>
        <v/>
      </c>
      <c r="H34" s="184">
        <f>SUMIFS(Trips!$N5:$N1004,Trips!$Z5:$Z1004,$A34)+SUMIFS(Trips!$O5:$O1004,Trips!$Z5:$Z1004,$A34)</f>
        <v/>
      </c>
      <c r="I34" s="184">
        <f>SUMIFS(Trips!$P5:$P1004,Trips!$Z5:$Z1004,$A34)</f>
        <v/>
      </c>
      <c r="J34" s="184">
        <f>SUMIFS(Trips!$Q5:$Q1004,Trips!$Z5:$Z1004,$A34)</f>
        <v/>
      </c>
      <c r="K34" s="184">
        <f>SUMIFS(Trips!$U5:$U1004,Trips!$Z5:$Z1004,$A34)</f>
        <v/>
      </c>
      <c r="L34" s="184">
        <f>H34+I34+J34+K34</f>
        <v/>
      </c>
      <c r="M34" s="193">
        <f>E34-L34</f>
        <v/>
      </c>
      <c r="N34" s="194">
        <f>IF(E34=0,"",M34/E34)</f>
        <v/>
      </c>
      <c r="O34" s="195">
        <f>IF(C34=0,"",M34/C34)</f>
        <v/>
      </c>
      <c r="Q34" s="190">
        <f>IF(Setup!$A65="","",Setup!$A65)</f>
        <v/>
      </c>
      <c r="R34" s="191">
        <f>IF($Q34="","",COUNTIFS(Trips!$Z5:$Z1004,$B$3,Trips!$C5:$C1004,$Q34))</f>
        <v/>
      </c>
      <c r="S34" s="192">
        <f>IF($Q34="","",SUMIFS(Trips!$H5:$H1004,Trips!$Z5:$Z1004,$B$3,Trips!$C5:$C1004,$Q34))</f>
        <v/>
      </c>
      <c r="T34" s="184">
        <f>IF($Q34="","",SUMIFS(Trips!$K5:$K1004,Trips!$Z5:$Z1004,$B$3,Trips!$C5:$C1004,$Q34))</f>
        <v/>
      </c>
      <c r="U34" s="184">
        <f>IF($Q34="","",SUMIFS(Trips!$V5:$V1004,Trips!$Z5:$Z1004,$B$3,Trips!$C5:$C1004,$Q34))</f>
        <v/>
      </c>
      <c r="V34" s="194">
        <f>IF($Q34="","",IF($T34=0,"",$U34/$T34))</f>
        <v/>
      </c>
    </row>
    <row r="35">
      <c r="A35" s="189" t="n">
        <v>46388</v>
      </c>
      <c r="B35" s="190" t="inlineStr">
        <is>
          <t>Jan 2027</t>
        </is>
      </c>
      <c r="C35" s="191">
        <f>COUNTIFS(Trips!$Z5:$Z1004,$A35)</f>
        <v/>
      </c>
      <c r="D35" s="192">
        <f>SUMIFS(Trips!$H5:$H1004,Trips!$Z5:$Z1004,$A35)</f>
        <v/>
      </c>
      <c r="E35" s="184">
        <f>SUMIFS(Trips!$K5:$K1004,Trips!$Z5:$Z1004,$A35)</f>
        <v/>
      </c>
      <c r="F35" s="184">
        <f>SUMIFS(Trips!$L5:$L1004,Trips!$Z5:$Z1004,$A35)</f>
        <v/>
      </c>
      <c r="G35" s="184">
        <f>SUMIFS(Trips!$M5:$M1004,Trips!$Z5:$Z1004,$A35)</f>
        <v/>
      </c>
      <c r="H35" s="184">
        <f>SUMIFS(Trips!$N5:$N1004,Trips!$Z5:$Z1004,$A35)+SUMIFS(Trips!$O5:$O1004,Trips!$Z5:$Z1004,$A35)</f>
        <v/>
      </c>
      <c r="I35" s="184">
        <f>SUMIFS(Trips!$P5:$P1004,Trips!$Z5:$Z1004,$A35)</f>
        <v/>
      </c>
      <c r="J35" s="184">
        <f>SUMIFS(Trips!$Q5:$Q1004,Trips!$Z5:$Z1004,$A35)</f>
        <v/>
      </c>
      <c r="K35" s="184">
        <f>SUMIFS(Trips!$U5:$U1004,Trips!$Z5:$Z1004,$A35)</f>
        <v/>
      </c>
      <c r="L35" s="184">
        <f>H35+I35+J35+K35</f>
        <v/>
      </c>
      <c r="M35" s="193">
        <f>E35-L35</f>
        <v/>
      </c>
      <c r="N35" s="194">
        <f>IF(E35=0,"",M35/E35)</f>
        <v/>
      </c>
      <c r="O35" s="195">
        <f>IF(C35=0,"",M35/C35)</f>
        <v/>
      </c>
      <c r="Q35" s="190">
        <f>IF(Setup!$A66="","",Setup!$A66)</f>
        <v/>
      </c>
      <c r="R35" s="191">
        <f>IF($Q35="","",COUNTIFS(Trips!$Z5:$Z1004,$B$3,Trips!$C5:$C1004,$Q35))</f>
        <v/>
      </c>
      <c r="S35" s="192">
        <f>IF($Q35="","",SUMIFS(Trips!$H5:$H1004,Trips!$Z5:$Z1004,$B$3,Trips!$C5:$C1004,$Q35))</f>
        <v/>
      </c>
      <c r="T35" s="184">
        <f>IF($Q35="","",SUMIFS(Trips!$K5:$K1004,Trips!$Z5:$Z1004,$B$3,Trips!$C5:$C1004,$Q35))</f>
        <v/>
      </c>
      <c r="U35" s="184">
        <f>IF($Q35="","",SUMIFS(Trips!$V5:$V1004,Trips!$Z5:$Z1004,$B$3,Trips!$C5:$C1004,$Q35))</f>
        <v/>
      </c>
      <c r="V35" s="194">
        <f>IF($Q35="","",IF($T35=0,"",$U35/$T35))</f>
        <v/>
      </c>
    </row>
    <row r="36">
      <c r="A36" s="189" t="n">
        <v>46419</v>
      </c>
      <c r="B36" s="190" t="inlineStr">
        <is>
          <t>Feb 2027</t>
        </is>
      </c>
      <c r="C36" s="191">
        <f>COUNTIFS(Trips!$Z5:$Z1004,$A36)</f>
        <v/>
      </c>
      <c r="D36" s="192">
        <f>SUMIFS(Trips!$H5:$H1004,Trips!$Z5:$Z1004,$A36)</f>
        <v/>
      </c>
      <c r="E36" s="184">
        <f>SUMIFS(Trips!$K5:$K1004,Trips!$Z5:$Z1004,$A36)</f>
        <v/>
      </c>
      <c r="F36" s="184">
        <f>SUMIFS(Trips!$L5:$L1004,Trips!$Z5:$Z1004,$A36)</f>
        <v/>
      </c>
      <c r="G36" s="184">
        <f>SUMIFS(Trips!$M5:$M1004,Trips!$Z5:$Z1004,$A36)</f>
        <v/>
      </c>
      <c r="H36" s="184">
        <f>SUMIFS(Trips!$N5:$N1004,Trips!$Z5:$Z1004,$A36)+SUMIFS(Trips!$O5:$O1004,Trips!$Z5:$Z1004,$A36)</f>
        <v/>
      </c>
      <c r="I36" s="184">
        <f>SUMIFS(Trips!$P5:$P1004,Trips!$Z5:$Z1004,$A36)</f>
        <v/>
      </c>
      <c r="J36" s="184">
        <f>SUMIFS(Trips!$Q5:$Q1004,Trips!$Z5:$Z1004,$A36)</f>
        <v/>
      </c>
      <c r="K36" s="184">
        <f>SUMIFS(Trips!$U5:$U1004,Trips!$Z5:$Z1004,$A36)</f>
        <v/>
      </c>
      <c r="L36" s="184">
        <f>H36+I36+J36+K36</f>
        <v/>
      </c>
      <c r="M36" s="193">
        <f>E36-L36</f>
        <v/>
      </c>
      <c r="N36" s="194">
        <f>IF(E36=0,"",M36/E36)</f>
        <v/>
      </c>
      <c r="O36" s="195">
        <f>IF(C36=0,"",M36/C36)</f>
        <v/>
      </c>
      <c r="Q36" s="190">
        <f>IF(Setup!$A67="","",Setup!$A67)</f>
        <v/>
      </c>
      <c r="R36" s="191">
        <f>IF($Q36="","",COUNTIFS(Trips!$Z5:$Z1004,$B$3,Trips!$C5:$C1004,$Q36))</f>
        <v/>
      </c>
      <c r="S36" s="192">
        <f>IF($Q36="","",SUMIFS(Trips!$H5:$H1004,Trips!$Z5:$Z1004,$B$3,Trips!$C5:$C1004,$Q36))</f>
        <v/>
      </c>
      <c r="T36" s="184">
        <f>IF($Q36="","",SUMIFS(Trips!$K5:$K1004,Trips!$Z5:$Z1004,$B$3,Trips!$C5:$C1004,$Q36))</f>
        <v/>
      </c>
      <c r="U36" s="184">
        <f>IF($Q36="","",SUMIFS(Trips!$V5:$V1004,Trips!$Z5:$Z1004,$B$3,Trips!$C5:$C1004,$Q36))</f>
        <v/>
      </c>
      <c r="V36" s="194">
        <f>IF($Q36="","",IF($T36=0,"",$U36/$T36))</f>
        <v/>
      </c>
    </row>
    <row r="37">
      <c r="A37" s="189" t="n">
        <v>46447</v>
      </c>
      <c r="B37" s="190" t="inlineStr">
        <is>
          <t>Mar 2027</t>
        </is>
      </c>
      <c r="C37" s="191">
        <f>COUNTIFS(Trips!$Z5:$Z1004,$A37)</f>
        <v/>
      </c>
      <c r="D37" s="192">
        <f>SUMIFS(Trips!$H5:$H1004,Trips!$Z5:$Z1004,$A37)</f>
        <v/>
      </c>
      <c r="E37" s="184">
        <f>SUMIFS(Trips!$K5:$K1004,Trips!$Z5:$Z1004,$A37)</f>
        <v/>
      </c>
      <c r="F37" s="184">
        <f>SUMIFS(Trips!$L5:$L1004,Trips!$Z5:$Z1004,$A37)</f>
        <v/>
      </c>
      <c r="G37" s="184">
        <f>SUMIFS(Trips!$M5:$M1004,Trips!$Z5:$Z1004,$A37)</f>
        <v/>
      </c>
      <c r="H37" s="184">
        <f>SUMIFS(Trips!$N5:$N1004,Trips!$Z5:$Z1004,$A37)+SUMIFS(Trips!$O5:$O1004,Trips!$Z5:$Z1004,$A37)</f>
        <v/>
      </c>
      <c r="I37" s="184">
        <f>SUMIFS(Trips!$P5:$P1004,Trips!$Z5:$Z1004,$A37)</f>
        <v/>
      </c>
      <c r="J37" s="184">
        <f>SUMIFS(Trips!$Q5:$Q1004,Trips!$Z5:$Z1004,$A37)</f>
        <v/>
      </c>
      <c r="K37" s="184">
        <f>SUMIFS(Trips!$U5:$U1004,Trips!$Z5:$Z1004,$A37)</f>
        <v/>
      </c>
      <c r="L37" s="184">
        <f>H37+I37+J37+K37</f>
        <v/>
      </c>
      <c r="M37" s="193">
        <f>E37-L37</f>
        <v/>
      </c>
      <c r="N37" s="194">
        <f>IF(E37=0,"",M37/E37)</f>
        <v/>
      </c>
      <c r="O37" s="195">
        <f>IF(C37=0,"",M37/C37)</f>
        <v/>
      </c>
      <c r="Q37" s="190">
        <f>IF(Setup!$A68="","",Setup!$A68)</f>
        <v/>
      </c>
      <c r="R37" s="191">
        <f>IF($Q37="","",COUNTIFS(Trips!$Z5:$Z1004,$B$3,Trips!$C5:$C1004,$Q37))</f>
        <v/>
      </c>
      <c r="S37" s="192">
        <f>IF($Q37="","",SUMIFS(Trips!$H5:$H1004,Trips!$Z5:$Z1004,$B$3,Trips!$C5:$C1004,$Q37))</f>
        <v/>
      </c>
      <c r="T37" s="184">
        <f>IF($Q37="","",SUMIFS(Trips!$K5:$K1004,Trips!$Z5:$Z1004,$B$3,Trips!$C5:$C1004,$Q37))</f>
        <v/>
      </c>
      <c r="U37" s="184">
        <f>IF($Q37="","",SUMIFS(Trips!$V5:$V1004,Trips!$Z5:$Z1004,$B$3,Trips!$C5:$C1004,$Q37))</f>
        <v/>
      </c>
      <c r="V37" s="194">
        <f>IF($Q37="","",IF($T37=0,"",$U37/$T37))</f>
        <v/>
      </c>
    </row>
    <row r="38">
      <c r="A38" s="189" t="n">
        <v>46478</v>
      </c>
      <c r="B38" s="190" t="inlineStr">
        <is>
          <t>Apr 2027</t>
        </is>
      </c>
      <c r="C38" s="191">
        <f>COUNTIFS(Trips!$Z5:$Z1004,$A38)</f>
        <v/>
      </c>
      <c r="D38" s="192">
        <f>SUMIFS(Trips!$H5:$H1004,Trips!$Z5:$Z1004,$A38)</f>
        <v/>
      </c>
      <c r="E38" s="184">
        <f>SUMIFS(Trips!$K5:$K1004,Trips!$Z5:$Z1004,$A38)</f>
        <v/>
      </c>
      <c r="F38" s="184">
        <f>SUMIFS(Trips!$L5:$L1004,Trips!$Z5:$Z1004,$A38)</f>
        <v/>
      </c>
      <c r="G38" s="184">
        <f>SUMIFS(Trips!$M5:$M1004,Trips!$Z5:$Z1004,$A38)</f>
        <v/>
      </c>
      <c r="H38" s="184">
        <f>SUMIFS(Trips!$N5:$N1004,Trips!$Z5:$Z1004,$A38)+SUMIFS(Trips!$O5:$O1004,Trips!$Z5:$Z1004,$A38)</f>
        <v/>
      </c>
      <c r="I38" s="184">
        <f>SUMIFS(Trips!$P5:$P1004,Trips!$Z5:$Z1004,$A38)</f>
        <v/>
      </c>
      <c r="J38" s="184">
        <f>SUMIFS(Trips!$Q5:$Q1004,Trips!$Z5:$Z1004,$A38)</f>
        <v/>
      </c>
      <c r="K38" s="184">
        <f>SUMIFS(Trips!$U5:$U1004,Trips!$Z5:$Z1004,$A38)</f>
        <v/>
      </c>
      <c r="L38" s="184">
        <f>H38+I38+J38+K38</f>
        <v/>
      </c>
      <c r="M38" s="193">
        <f>E38-L38</f>
        <v/>
      </c>
      <c r="N38" s="194">
        <f>IF(E38=0,"",M38/E38)</f>
        <v/>
      </c>
      <c r="O38" s="195">
        <f>IF(C38=0,"",M38/C38)</f>
        <v/>
      </c>
      <c r="Q38" s="190">
        <f>IF(Setup!$A69="","",Setup!$A69)</f>
        <v/>
      </c>
      <c r="R38" s="191">
        <f>IF($Q38="","",COUNTIFS(Trips!$Z5:$Z1004,$B$3,Trips!$C5:$C1004,$Q38))</f>
        <v/>
      </c>
      <c r="S38" s="192">
        <f>IF($Q38="","",SUMIFS(Trips!$H5:$H1004,Trips!$Z5:$Z1004,$B$3,Trips!$C5:$C1004,$Q38))</f>
        <v/>
      </c>
      <c r="T38" s="184">
        <f>IF($Q38="","",SUMIFS(Trips!$K5:$K1004,Trips!$Z5:$Z1004,$B$3,Trips!$C5:$C1004,$Q38))</f>
        <v/>
      </c>
      <c r="U38" s="184">
        <f>IF($Q38="","",SUMIFS(Trips!$V5:$V1004,Trips!$Z5:$Z1004,$B$3,Trips!$C5:$C1004,$Q38))</f>
        <v/>
      </c>
      <c r="V38" s="194">
        <f>IF($Q38="","",IF($T38=0,"",$U38/$T38))</f>
        <v/>
      </c>
    </row>
    <row r="39">
      <c r="A39" s="189" t="n">
        <v>46508</v>
      </c>
      <c r="B39" s="190" t="inlineStr">
        <is>
          <t>May 2027</t>
        </is>
      </c>
      <c r="C39" s="191">
        <f>COUNTIFS(Trips!$Z5:$Z1004,$A39)</f>
        <v/>
      </c>
      <c r="D39" s="192">
        <f>SUMIFS(Trips!$H5:$H1004,Trips!$Z5:$Z1004,$A39)</f>
        <v/>
      </c>
      <c r="E39" s="184">
        <f>SUMIFS(Trips!$K5:$K1004,Trips!$Z5:$Z1004,$A39)</f>
        <v/>
      </c>
      <c r="F39" s="184">
        <f>SUMIFS(Trips!$L5:$L1004,Trips!$Z5:$Z1004,$A39)</f>
        <v/>
      </c>
      <c r="G39" s="184">
        <f>SUMIFS(Trips!$M5:$M1004,Trips!$Z5:$Z1004,$A39)</f>
        <v/>
      </c>
      <c r="H39" s="184">
        <f>SUMIFS(Trips!$N5:$N1004,Trips!$Z5:$Z1004,$A39)+SUMIFS(Trips!$O5:$O1004,Trips!$Z5:$Z1004,$A39)</f>
        <v/>
      </c>
      <c r="I39" s="184">
        <f>SUMIFS(Trips!$P5:$P1004,Trips!$Z5:$Z1004,$A39)</f>
        <v/>
      </c>
      <c r="J39" s="184">
        <f>SUMIFS(Trips!$Q5:$Q1004,Trips!$Z5:$Z1004,$A39)</f>
        <v/>
      </c>
      <c r="K39" s="184">
        <f>SUMIFS(Trips!$U5:$U1004,Trips!$Z5:$Z1004,$A39)</f>
        <v/>
      </c>
      <c r="L39" s="184">
        <f>H39+I39+J39+K39</f>
        <v/>
      </c>
      <c r="M39" s="193">
        <f>E39-L39</f>
        <v/>
      </c>
      <c r="N39" s="194">
        <f>IF(E39=0,"",M39/E39)</f>
        <v/>
      </c>
      <c r="O39" s="195">
        <f>IF(C39=0,"",M39/C39)</f>
        <v/>
      </c>
      <c r="Q39" s="190">
        <f>IF(Setup!$A70="","",Setup!$A70)</f>
        <v/>
      </c>
      <c r="R39" s="191">
        <f>IF($Q39="","",COUNTIFS(Trips!$Z5:$Z1004,$B$3,Trips!$C5:$C1004,$Q39))</f>
        <v/>
      </c>
      <c r="S39" s="192">
        <f>IF($Q39="","",SUMIFS(Trips!$H5:$H1004,Trips!$Z5:$Z1004,$B$3,Trips!$C5:$C1004,$Q39))</f>
        <v/>
      </c>
      <c r="T39" s="184">
        <f>IF($Q39="","",SUMIFS(Trips!$K5:$K1004,Trips!$Z5:$Z1004,$B$3,Trips!$C5:$C1004,$Q39))</f>
        <v/>
      </c>
      <c r="U39" s="184">
        <f>IF($Q39="","",SUMIFS(Trips!$V5:$V1004,Trips!$Z5:$Z1004,$B$3,Trips!$C5:$C1004,$Q39))</f>
        <v/>
      </c>
      <c r="V39" s="194">
        <f>IF($Q39="","",IF($T39=0,"",$U39/$T39))</f>
        <v/>
      </c>
    </row>
    <row r="40">
      <c r="A40" s="197" t="inlineStr">
        <is>
          <t>previous month fee</t>
        </is>
      </c>
      <c r="B40" s="198">
        <f>SUMIFS(Trips!$K5:$K1004,Trips!$Z5:$Z1004,EDATE($B$3,-1))</f>
        <v/>
      </c>
      <c r="C40" s="191">
        <f>COUNTIFS(Trips!$Z5:$Z1004,$A40)</f>
        <v/>
      </c>
      <c r="D40" s="192">
        <f>SUMIFS(Trips!$H5:$H1004,Trips!$Z5:$Z1004,$A40)</f>
        <v/>
      </c>
      <c r="E40" s="184">
        <f>SUMIFS(Trips!$K5:$K1004,Trips!$Z5:$Z1004,$A40)</f>
        <v/>
      </c>
      <c r="F40" s="184">
        <f>SUMIFS(Trips!$L5:$L1004,Trips!$Z5:$Z1004,$A40)</f>
        <v/>
      </c>
      <c r="G40" s="184">
        <f>SUMIFS(Trips!$M5:$M1004,Trips!$Z5:$Z1004,$A40)</f>
        <v/>
      </c>
      <c r="H40" s="184">
        <f>SUMIFS(Trips!$N5:$N1004,Trips!$Z5:$Z1004,$A40)+SUMIFS(Trips!$O5:$O1004,Trips!$Z5:$Z1004,$A40)</f>
        <v/>
      </c>
      <c r="I40" s="184">
        <f>SUMIFS(Trips!$P5:$P1004,Trips!$Z5:$Z1004,$A40)</f>
        <v/>
      </c>
      <c r="J40" s="184">
        <f>SUMIFS(Trips!$Q5:$Q1004,Trips!$Z5:$Z1004,$A40)</f>
        <v/>
      </c>
      <c r="K40" s="184">
        <f>SUMIFS(Trips!$U5:$U1004,Trips!$Z5:$Z1004,$A40)</f>
        <v/>
      </c>
      <c r="L40" s="184">
        <f>H40+I40+J40+K40</f>
        <v/>
      </c>
      <c r="M40" s="193">
        <f>E40-L40</f>
        <v/>
      </c>
      <c r="N40" s="194">
        <f>IF(E40=0,"",M40/E40)</f>
        <v/>
      </c>
      <c r="O40" s="195">
        <f>IF(C40=0,"",M40/C40)</f>
        <v/>
      </c>
      <c r="Q40" s="190">
        <f>IF(Setup!$A71="","",Setup!$A71)</f>
        <v/>
      </c>
      <c r="R40" s="191">
        <f>IF($Q40="","",COUNTIFS(Trips!$Z5:$Z1004,$B$3,Trips!$C5:$C1004,$Q40))</f>
        <v/>
      </c>
      <c r="S40" s="192">
        <f>IF($Q40="","",SUMIFS(Trips!$H5:$H1004,Trips!$Z5:$Z1004,$B$3,Trips!$C5:$C1004,$Q40))</f>
        <v/>
      </c>
      <c r="T40" s="184">
        <f>IF($Q40="","",SUMIFS(Trips!$K5:$K1004,Trips!$Z5:$Z1004,$B$3,Trips!$C5:$C1004,$Q40))</f>
        <v/>
      </c>
      <c r="U40" s="184">
        <f>IF($Q40="","",SUMIFS(Trips!$V5:$V1004,Trips!$Z5:$Z1004,$B$3,Trips!$C5:$C1004,$Q40))</f>
        <v/>
      </c>
      <c r="V40" s="194">
        <f>IF($Q40="","",IF($T40=0,"",$U40/$T40))</f>
        <v/>
      </c>
    </row>
    <row r="41">
      <c r="A41" s="197" t="inlineStr">
        <is>
          <t>previous month trips</t>
        </is>
      </c>
      <c r="B41" s="199">
        <f>COUNTIFS(Trips!$Z5:$Z1004,EDATE($B$3,-1))</f>
        <v/>
      </c>
      <c r="C41" s="191">
        <f>COUNTIFS(Trips!$Z5:$Z1004,$A41)</f>
        <v/>
      </c>
      <c r="D41" s="192">
        <f>SUMIFS(Trips!$H5:$H1004,Trips!$Z5:$Z1004,$A41)</f>
        <v/>
      </c>
      <c r="E41" s="184">
        <f>SUMIFS(Trips!$K5:$K1004,Trips!$Z5:$Z1004,$A41)</f>
        <v/>
      </c>
      <c r="F41" s="184">
        <f>SUMIFS(Trips!$L5:$L1004,Trips!$Z5:$Z1004,$A41)</f>
        <v/>
      </c>
      <c r="G41" s="184">
        <f>SUMIFS(Trips!$M5:$M1004,Trips!$Z5:$Z1004,$A41)</f>
        <v/>
      </c>
      <c r="H41" s="184">
        <f>SUMIFS(Trips!$N5:$N1004,Trips!$Z5:$Z1004,$A41)+SUMIFS(Trips!$O5:$O1004,Trips!$Z5:$Z1004,$A41)</f>
        <v/>
      </c>
      <c r="I41" s="184">
        <f>SUMIFS(Trips!$P5:$P1004,Trips!$Z5:$Z1004,$A41)</f>
        <v/>
      </c>
      <c r="J41" s="184">
        <f>SUMIFS(Trips!$Q5:$Q1004,Trips!$Z5:$Z1004,$A41)</f>
        <v/>
      </c>
      <c r="K41" s="184">
        <f>SUMIFS(Trips!$U5:$U1004,Trips!$Z5:$Z1004,$A41)</f>
        <v/>
      </c>
      <c r="L41" s="184">
        <f>H41+I41+J41+K41</f>
        <v/>
      </c>
      <c r="M41" s="193">
        <f>E41-L41</f>
        <v/>
      </c>
      <c r="N41" s="194">
        <f>IF(E41=0,"",M41/E41)</f>
        <v/>
      </c>
      <c r="O41" s="195">
        <f>IF(C41=0,"",M41/C41)</f>
        <v/>
      </c>
      <c r="Q41" s="190">
        <f>IF(Setup!$A72="","",Setup!$A72)</f>
        <v/>
      </c>
      <c r="R41" s="191">
        <f>IF($Q41="","",COUNTIFS(Trips!$Z5:$Z1004,$B$3,Trips!$C5:$C1004,$Q41))</f>
        <v/>
      </c>
      <c r="S41" s="192">
        <f>IF($Q41="","",SUMIFS(Trips!$H5:$H1004,Trips!$Z5:$Z1004,$B$3,Trips!$C5:$C1004,$Q41))</f>
        <v/>
      </c>
      <c r="T41" s="184">
        <f>IF($Q41="","",SUMIFS(Trips!$K5:$K1004,Trips!$Z5:$Z1004,$B$3,Trips!$C5:$C1004,$Q41))</f>
        <v/>
      </c>
      <c r="U41" s="184">
        <f>IF($Q41="","",SUMIFS(Trips!$V5:$V1004,Trips!$Z5:$Z1004,$B$3,Trips!$C5:$C1004,$Q41))</f>
        <v/>
      </c>
      <c r="V41" s="194">
        <f>IF($Q41="","",IF($T41=0,"",$U41/$T41))</f>
        <v/>
      </c>
    </row>
    <row r="42">
      <c r="A42" s="197" t="inlineStr">
        <is>
          <t>previous month tons</t>
        </is>
      </c>
      <c r="B42" s="200">
        <f>SUMIFS(Trips!$H5:$H1004,Trips!$Z5:$Z1004,EDATE($B$3,-1))</f>
        <v/>
      </c>
      <c r="C42" s="191">
        <f>COUNTIFS(Trips!$Z5:$Z1004,$A42)</f>
        <v/>
      </c>
      <c r="D42" s="192">
        <f>SUMIFS(Trips!$H5:$H1004,Trips!$Z5:$Z1004,$A42)</f>
        <v/>
      </c>
      <c r="E42" s="184">
        <f>SUMIFS(Trips!$K5:$K1004,Trips!$Z5:$Z1004,$A42)</f>
        <v/>
      </c>
      <c r="F42" s="184">
        <f>SUMIFS(Trips!$L5:$L1004,Trips!$Z5:$Z1004,$A42)</f>
        <v/>
      </c>
      <c r="G42" s="184">
        <f>SUMIFS(Trips!$M5:$M1004,Trips!$Z5:$Z1004,$A42)</f>
        <v/>
      </c>
      <c r="H42" s="184">
        <f>SUMIFS(Trips!$N5:$N1004,Trips!$Z5:$Z1004,$A42)+SUMIFS(Trips!$O5:$O1004,Trips!$Z5:$Z1004,$A42)</f>
        <v/>
      </c>
      <c r="I42" s="184">
        <f>SUMIFS(Trips!$P5:$P1004,Trips!$Z5:$Z1004,$A42)</f>
        <v/>
      </c>
      <c r="J42" s="184">
        <f>SUMIFS(Trips!$Q5:$Q1004,Trips!$Z5:$Z1004,$A42)</f>
        <v/>
      </c>
      <c r="K42" s="184">
        <f>SUMIFS(Trips!$U5:$U1004,Trips!$Z5:$Z1004,$A42)</f>
        <v/>
      </c>
      <c r="L42" s="184">
        <f>H42+I42+J42+K42</f>
        <v/>
      </c>
      <c r="M42" s="193">
        <f>E42-L42</f>
        <v/>
      </c>
      <c r="N42" s="194">
        <f>IF(E42=0,"",M42/E42)</f>
        <v/>
      </c>
      <c r="O42" s="195">
        <f>IF(C42=0,"",M42/C42)</f>
        <v/>
      </c>
    </row>
    <row r="43">
      <c r="A43" s="189" t="n">
        <v>46631</v>
      </c>
      <c r="B43" s="190" t="inlineStr">
        <is>
          <t>Sep 2027</t>
        </is>
      </c>
      <c r="C43" s="191">
        <f>COUNTIFS(Trips!$Z5:$Z1004,$A43)</f>
        <v/>
      </c>
      <c r="D43" s="192">
        <f>SUMIFS(Trips!$H5:$H1004,Trips!$Z5:$Z1004,$A43)</f>
        <v/>
      </c>
      <c r="E43" s="184">
        <f>SUMIFS(Trips!$K5:$K1004,Trips!$Z5:$Z1004,$A43)</f>
        <v/>
      </c>
      <c r="F43" s="184">
        <f>SUMIFS(Trips!$L5:$L1004,Trips!$Z5:$Z1004,$A43)</f>
        <v/>
      </c>
      <c r="G43" s="184">
        <f>SUMIFS(Trips!$M5:$M1004,Trips!$Z5:$Z1004,$A43)</f>
        <v/>
      </c>
      <c r="H43" s="184">
        <f>SUMIFS(Trips!$N5:$N1004,Trips!$Z5:$Z1004,$A43)+SUMIFS(Trips!$O5:$O1004,Trips!$Z5:$Z1004,$A43)</f>
        <v/>
      </c>
      <c r="I43" s="184">
        <f>SUMIFS(Trips!$P5:$P1004,Trips!$Z5:$Z1004,$A43)</f>
        <v/>
      </c>
      <c r="J43" s="184">
        <f>SUMIFS(Trips!$Q5:$Q1004,Trips!$Z5:$Z1004,$A43)</f>
        <v/>
      </c>
      <c r="K43" s="184">
        <f>SUMIFS(Trips!$U5:$U1004,Trips!$Z5:$Z1004,$A43)</f>
        <v/>
      </c>
      <c r="L43" s="184">
        <f>H43+I43+J43+K43</f>
        <v/>
      </c>
      <c r="M43" s="193">
        <f>E43-L43</f>
        <v/>
      </c>
      <c r="N43" s="194">
        <f>IF(E43=0,"",M43/E43)</f>
        <v/>
      </c>
      <c r="O43" s="195">
        <f>IF(C43=0,"",M43/C43)</f>
        <v/>
      </c>
    </row>
    <row r="44">
      <c r="A44" s="189" t="n">
        <v>46661</v>
      </c>
      <c r="B44" s="190" t="inlineStr">
        <is>
          <t>Oct 2027</t>
        </is>
      </c>
      <c r="C44" s="191">
        <f>COUNTIFS(Trips!$Z5:$Z1004,$A44)</f>
        <v/>
      </c>
      <c r="D44" s="192">
        <f>SUMIFS(Trips!$H5:$H1004,Trips!$Z5:$Z1004,$A44)</f>
        <v/>
      </c>
      <c r="E44" s="184">
        <f>SUMIFS(Trips!$K5:$K1004,Trips!$Z5:$Z1004,$A44)</f>
        <v/>
      </c>
      <c r="F44" s="184">
        <f>SUMIFS(Trips!$L5:$L1004,Trips!$Z5:$Z1004,$A44)</f>
        <v/>
      </c>
      <c r="G44" s="184">
        <f>SUMIFS(Trips!$M5:$M1004,Trips!$Z5:$Z1004,$A44)</f>
        <v/>
      </c>
      <c r="H44" s="184">
        <f>SUMIFS(Trips!$N5:$N1004,Trips!$Z5:$Z1004,$A44)+SUMIFS(Trips!$O5:$O1004,Trips!$Z5:$Z1004,$A44)</f>
        <v/>
      </c>
      <c r="I44" s="184">
        <f>SUMIFS(Trips!$P5:$P1004,Trips!$Z5:$Z1004,$A44)</f>
        <v/>
      </c>
      <c r="J44" s="184">
        <f>SUMIFS(Trips!$Q5:$Q1004,Trips!$Z5:$Z1004,$A44)</f>
        <v/>
      </c>
      <c r="K44" s="184">
        <f>SUMIFS(Trips!$U5:$U1004,Trips!$Z5:$Z1004,$A44)</f>
        <v/>
      </c>
      <c r="L44" s="184">
        <f>H44+I44+J44+K44</f>
        <v/>
      </c>
      <c r="M44" s="193">
        <f>E44-L44</f>
        <v/>
      </c>
      <c r="N44" s="194">
        <f>IF(E44=0,"",M44/E44)</f>
        <v/>
      </c>
      <c r="O44" s="195">
        <f>IF(C44=0,"",M44/C44)</f>
        <v/>
      </c>
    </row>
    <row r="45">
      <c r="A45" s="189" t="n">
        <v>46692</v>
      </c>
      <c r="B45" s="190" t="inlineStr">
        <is>
          <t>Nov 2027</t>
        </is>
      </c>
      <c r="C45" s="191">
        <f>COUNTIFS(Trips!$Z5:$Z1004,$A45)</f>
        <v/>
      </c>
      <c r="D45" s="192">
        <f>SUMIFS(Trips!$H5:$H1004,Trips!$Z5:$Z1004,$A45)</f>
        <v/>
      </c>
      <c r="E45" s="184">
        <f>SUMIFS(Trips!$K5:$K1004,Trips!$Z5:$Z1004,$A45)</f>
        <v/>
      </c>
      <c r="F45" s="184">
        <f>SUMIFS(Trips!$L5:$L1004,Trips!$Z5:$Z1004,$A45)</f>
        <v/>
      </c>
      <c r="G45" s="184">
        <f>SUMIFS(Trips!$M5:$M1004,Trips!$Z5:$Z1004,$A45)</f>
        <v/>
      </c>
      <c r="H45" s="184">
        <f>SUMIFS(Trips!$N5:$N1004,Trips!$Z5:$Z1004,$A45)+SUMIFS(Trips!$O5:$O1004,Trips!$Z5:$Z1004,$A45)</f>
        <v/>
      </c>
      <c r="I45" s="184">
        <f>SUMIFS(Trips!$P5:$P1004,Trips!$Z5:$Z1004,$A45)</f>
        <v/>
      </c>
      <c r="J45" s="184">
        <f>SUMIFS(Trips!$Q5:$Q1004,Trips!$Z5:$Z1004,$A45)</f>
        <v/>
      </c>
      <c r="K45" s="184">
        <f>SUMIFS(Trips!$U5:$U1004,Trips!$Z5:$Z1004,$A45)</f>
        <v/>
      </c>
      <c r="L45" s="184">
        <f>H45+I45+J45+K45</f>
        <v/>
      </c>
      <c r="M45" s="193">
        <f>E45-L45</f>
        <v/>
      </c>
      <c r="N45" s="194">
        <f>IF(E45=0,"",M45/E45)</f>
        <v/>
      </c>
      <c r="O45" s="195">
        <f>IF(C45=0,"",M45/C45)</f>
        <v/>
      </c>
    </row>
    <row r="46">
      <c r="A46" s="189" t="n">
        <v>46722</v>
      </c>
      <c r="B46" s="190" t="inlineStr">
        <is>
          <t>Dec 2027</t>
        </is>
      </c>
      <c r="C46" s="191">
        <f>COUNTIFS(Trips!$Z5:$Z1004,$A46)</f>
        <v/>
      </c>
      <c r="D46" s="192">
        <f>SUMIFS(Trips!$H5:$H1004,Trips!$Z5:$Z1004,$A46)</f>
        <v/>
      </c>
      <c r="E46" s="184">
        <f>SUMIFS(Trips!$K5:$K1004,Trips!$Z5:$Z1004,$A46)</f>
        <v/>
      </c>
      <c r="F46" s="184">
        <f>SUMIFS(Trips!$L5:$L1004,Trips!$Z5:$Z1004,$A46)</f>
        <v/>
      </c>
      <c r="G46" s="184">
        <f>SUMIFS(Trips!$M5:$M1004,Trips!$Z5:$Z1004,$A46)</f>
        <v/>
      </c>
      <c r="H46" s="184">
        <f>SUMIFS(Trips!$N5:$N1004,Trips!$Z5:$Z1004,$A46)+SUMIFS(Trips!$O5:$O1004,Trips!$Z5:$Z1004,$A46)</f>
        <v/>
      </c>
      <c r="I46" s="184">
        <f>SUMIFS(Trips!$P5:$P1004,Trips!$Z5:$Z1004,$A46)</f>
        <v/>
      </c>
      <c r="J46" s="184">
        <f>SUMIFS(Trips!$Q5:$Q1004,Trips!$Z5:$Z1004,$A46)</f>
        <v/>
      </c>
      <c r="K46" s="184">
        <f>SUMIFS(Trips!$U5:$U1004,Trips!$Z5:$Z1004,$A46)</f>
        <v/>
      </c>
      <c r="L46" s="184">
        <f>H46+I46+J46+K46</f>
        <v/>
      </c>
      <c r="M46" s="193">
        <f>E46-L46</f>
        <v/>
      </c>
      <c r="N46" s="194">
        <f>IF(E46=0,"",M46/E46)</f>
        <v/>
      </c>
      <c r="O46" s="195">
        <f>IF(C46=0,"",M46/C46)</f>
        <v/>
      </c>
    </row>
    <row r="49">
      <c r="A49" s="180" t="inlineStr">
        <is>
          <t>RANKING BY DESTINATION</t>
        </is>
      </c>
      <c r="J49" s="201" t="inlineStr">
        <is>
          <t>TOP DESTINATIONS (sorted by gross fee)</t>
        </is>
      </c>
    </row>
    <row r="50">
      <c r="A50" s="188" t="inlineStr">
        <is>
          <t>DESTINATION</t>
        </is>
      </c>
      <c r="B50" s="188" t="inlineStr">
        <is>
          <t>TRIPS</t>
        </is>
      </c>
      <c r="C50" s="188" t="inlineStr">
        <is>
          <t>TONS</t>
        </is>
      </c>
      <c r="D50" s="188" t="inlineStr">
        <is>
          <t>GROSS FEE</t>
        </is>
      </c>
      <c r="E50" s="188" t="inlineStr">
        <is>
          <t>TOTAL COST</t>
        </is>
      </c>
      <c r="F50" s="188" t="inlineStr">
        <is>
          <t>NET PROFIT</t>
        </is>
      </c>
      <c r="G50" s="188" t="inlineStr">
        <is>
          <t>MARGIN</t>
        </is>
      </c>
      <c r="J50" s="196" t="inlineStr">
        <is>
          <t>DESTINATION</t>
        </is>
      </c>
      <c r="K50" s="196" t="inlineStr">
        <is>
          <t>TRIPS</t>
        </is>
      </c>
      <c r="L50" s="196" t="inlineStr">
        <is>
          <t>TONS</t>
        </is>
      </c>
      <c r="M50" s="196" t="inlineStr">
        <is>
          <t>GROSS FEE</t>
        </is>
      </c>
      <c r="N50" s="196" t="inlineStr">
        <is>
          <t>TRIP PROFIT</t>
        </is>
      </c>
      <c r="O50" s="196" t="inlineStr">
        <is>
          <t>MARGIN</t>
        </is>
      </c>
    </row>
    <row r="51">
      <c r="A51" s="190">
        <f>IF(Setup!$A145="","",Setup!$A145)</f>
        <v/>
      </c>
      <c r="B51" s="191">
        <f>IF($A51="","",IF($B$4="All",COUNTIFS(Trips!$G5:$G1004,$A51,Trips!$Z5:$Z1004,$B$3),COUNTIFS(Trips!$G5:$G1004,$A51,Trips!$Z5:$Z1004,$B$3,Trips!$C5:$C1004,$B$4)))</f>
        <v/>
      </c>
      <c r="C51" s="192">
        <f>IF($A51="","",IF($B$4="All",SUMIFS(Trips!$H5:$H1004,Trips!$G5:$G1004,$A51,Trips!$Z5:$Z1004,$B$3),SUMIFS(Trips!$H5:$H1004,Trips!$G5:$G1004,$A51,Trips!$Z5:$Z1004,$B$3,Trips!$C5:$C1004,$B$4)))</f>
        <v/>
      </c>
      <c r="D51" s="184">
        <f>IF($A51="","",IF($B$4="All",SUMIFS(Trips!$K5:$K1004,Trips!$G5:$G1004,$A51,Trips!$Z5:$Z1004,$B$3),SUMIFS(Trips!$K5:$K1004,Trips!$G5:$G1004,$A51,Trips!$Z5:$Z1004,$B$3,Trips!$C5:$C1004,$B$4)))</f>
        <v/>
      </c>
      <c r="E51" s="184">
        <f>IF($A51="","",IF($B$4="All",SUMIFS(Trips!$U5:$U1004,Trips!$G5:$G1004,$A51,Trips!$Z5:$Z1004,$B$3),SUMIFS(Trips!$U5:$U1004,Trips!$G5:$G1004,$A51,Trips!$Z5:$Z1004,$B$3,Trips!$C5:$C1004,$B$4)))</f>
        <v/>
      </c>
      <c r="F51" s="184">
        <f>IF($A51="","",IF($B$4="All",SUMIFS(Trips!$V5:$V1004,Trips!$G5:$G1004,$A51,Trips!$Z5:$Z1004,$B$3),SUMIFS(Trips!$V5:$V1004,Trips!$G5:$G1004,$A51,Trips!$Z5:$Z1004,$B$3,Trips!$C5:$C1004,$B$4)))</f>
        <v/>
      </c>
      <c r="G51" s="194">
        <f>IF($A51="","",IF($D51=0,"",$F51/$D51))</f>
        <v/>
      </c>
      <c r="H51" s="202">
        <f>IF($A51="","",COUNTIF($D$51:$D$70,"&gt;"&amp;$D51)+COUNTIF($D$51:$D51,$D51))</f>
        <v/>
      </c>
      <c r="J51" s="190">
        <f>IFERROR(INDEX($A$51:$A$70,MATCH(1,$H$51:$H$70,0)),"")</f>
        <v/>
      </c>
      <c r="K51" s="191">
        <f>IFERROR(INDEX($B$51:$B$70,MATCH(1,$H$51:$H$70,0)),"")</f>
        <v/>
      </c>
      <c r="L51" s="192">
        <f>IFERROR(INDEX($C$51:$C$70,MATCH(1,$H$51:$H$70,0)),"")</f>
        <v/>
      </c>
      <c r="M51" s="184">
        <f>IFERROR(INDEX($D$51:$D$70,MATCH(1,$H$51:$H$70,0)),"")</f>
        <v/>
      </c>
      <c r="N51" s="184">
        <f>IFERROR(INDEX($F$51:$F$70,MATCH(1,$H$51:$H$70,0)),"")</f>
        <v/>
      </c>
      <c r="O51" s="194">
        <f>IF($J51="","",IF($M51=0,"",$N51/$M51))</f>
        <v/>
      </c>
    </row>
    <row r="52">
      <c r="A52" s="190">
        <f>IF(Setup!$A146="","",Setup!$A146)</f>
        <v/>
      </c>
      <c r="B52" s="191">
        <f>IF($A52="","",IF($B$4="All",COUNTIFS(Trips!$G5:$G1004,$A52,Trips!$Z5:$Z1004,$B$3),COUNTIFS(Trips!$G5:$G1004,$A52,Trips!$Z5:$Z1004,$B$3,Trips!$C5:$C1004,$B$4)))</f>
        <v/>
      </c>
      <c r="C52" s="192">
        <f>IF($A52="","",IF($B$4="All",SUMIFS(Trips!$H5:$H1004,Trips!$G5:$G1004,$A52,Trips!$Z5:$Z1004,$B$3),SUMIFS(Trips!$H5:$H1004,Trips!$G5:$G1004,$A52,Trips!$Z5:$Z1004,$B$3,Trips!$C5:$C1004,$B$4)))</f>
        <v/>
      </c>
      <c r="D52" s="184">
        <f>IF($A52="","",IF($B$4="All",SUMIFS(Trips!$K5:$K1004,Trips!$G5:$G1004,$A52,Trips!$Z5:$Z1004,$B$3),SUMIFS(Trips!$K5:$K1004,Trips!$G5:$G1004,$A52,Trips!$Z5:$Z1004,$B$3,Trips!$C5:$C1004,$B$4)))</f>
        <v/>
      </c>
      <c r="E52" s="184">
        <f>IF($A52="","",IF($B$4="All",SUMIFS(Trips!$U5:$U1004,Trips!$G5:$G1004,$A52,Trips!$Z5:$Z1004,$B$3),SUMIFS(Trips!$U5:$U1004,Trips!$G5:$G1004,$A52,Trips!$Z5:$Z1004,$B$3,Trips!$C5:$C1004,$B$4)))</f>
        <v/>
      </c>
      <c r="F52" s="184">
        <f>IF($A52="","",IF($B$4="All",SUMIFS(Trips!$V5:$V1004,Trips!$G5:$G1004,$A52,Trips!$Z5:$Z1004,$B$3),SUMIFS(Trips!$V5:$V1004,Trips!$G5:$G1004,$A52,Trips!$Z5:$Z1004,$B$3,Trips!$C5:$C1004,$B$4)))</f>
        <v/>
      </c>
      <c r="G52" s="194">
        <f>IF($A52="","",IF($D52=0,"",$F52/$D52))</f>
        <v/>
      </c>
      <c r="H52" s="202">
        <f>IF($A52="","",COUNTIF($D$51:$D$70,"&gt;"&amp;$D52)+COUNTIF($D$51:$D52,$D52))</f>
        <v/>
      </c>
      <c r="J52" s="190">
        <f>IFERROR(INDEX($A$51:$A$70,MATCH(2,$H$51:$H$70,0)),"")</f>
        <v/>
      </c>
      <c r="K52" s="191">
        <f>IFERROR(INDEX($B$51:$B$70,MATCH(2,$H$51:$H$70,0)),"")</f>
        <v/>
      </c>
      <c r="L52" s="192">
        <f>IFERROR(INDEX($C$51:$C$70,MATCH(2,$H$51:$H$70,0)),"")</f>
        <v/>
      </c>
      <c r="M52" s="184">
        <f>IFERROR(INDEX($D$51:$D$70,MATCH(2,$H$51:$H$70,0)),"")</f>
        <v/>
      </c>
      <c r="N52" s="184">
        <f>IFERROR(INDEX($F$51:$F$70,MATCH(2,$H$51:$H$70,0)),"")</f>
        <v/>
      </c>
      <c r="O52" s="194">
        <f>IF($J52="","",IF($M52=0,"",$N52/$M52))</f>
        <v/>
      </c>
    </row>
    <row r="53">
      <c r="A53" s="190">
        <f>IF(Setup!$A147="","",Setup!$A147)</f>
        <v/>
      </c>
      <c r="B53" s="191">
        <f>IF($A53="","",IF($B$4="All",COUNTIFS(Trips!$G5:$G1004,$A53,Trips!$Z5:$Z1004,$B$3),COUNTIFS(Trips!$G5:$G1004,$A53,Trips!$Z5:$Z1004,$B$3,Trips!$C5:$C1004,$B$4)))</f>
        <v/>
      </c>
      <c r="C53" s="192">
        <f>IF($A53="","",IF($B$4="All",SUMIFS(Trips!$H5:$H1004,Trips!$G5:$G1004,$A53,Trips!$Z5:$Z1004,$B$3),SUMIFS(Trips!$H5:$H1004,Trips!$G5:$G1004,$A53,Trips!$Z5:$Z1004,$B$3,Trips!$C5:$C1004,$B$4)))</f>
        <v/>
      </c>
      <c r="D53" s="184">
        <f>IF($A53="","",IF($B$4="All",SUMIFS(Trips!$K5:$K1004,Trips!$G5:$G1004,$A53,Trips!$Z5:$Z1004,$B$3),SUMIFS(Trips!$K5:$K1004,Trips!$G5:$G1004,$A53,Trips!$Z5:$Z1004,$B$3,Trips!$C5:$C1004,$B$4)))</f>
        <v/>
      </c>
      <c r="E53" s="184">
        <f>IF($A53="","",IF($B$4="All",SUMIFS(Trips!$U5:$U1004,Trips!$G5:$G1004,$A53,Trips!$Z5:$Z1004,$B$3),SUMIFS(Trips!$U5:$U1004,Trips!$G5:$G1004,$A53,Trips!$Z5:$Z1004,$B$3,Trips!$C5:$C1004,$B$4)))</f>
        <v/>
      </c>
      <c r="F53" s="184">
        <f>IF($A53="","",IF($B$4="All",SUMIFS(Trips!$V5:$V1004,Trips!$G5:$G1004,$A53,Trips!$Z5:$Z1004,$B$3),SUMIFS(Trips!$V5:$V1004,Trips!$G5:$G1004,$A53,Trips!$Z5:$Z1004,$B$3,Trips!$C5:$C1004,$B$4)))</f>
        <v/>
      </c>
      <c r="G53" s="194">
        <f>IF($A53="","",IF($D53=0,"",$F53/$D53))</f>
        <v/>
      </c>
      <c r="H53" s="202">
        <f>IF($A53="","",COUNTIF($D$51:$D$70,"&gt;"&amp;$D53)+COUNTIF($D$51:$D53,$D53))</f>
        <v/>
      </c>
      <c r="J53" s="190">
        <f>IFERROR(INDEX($A$51:$A$70,MATCH(3,$H$51:$H$70,0)),"")</f>
        <v/>
      </c>
      <c r="K53" s="191">
        <f>IFERROR(INDEX($B$51:$B$70,MATCH(3,$H$51:$H$70,0)),"")</f>
        <v/>
      </c>
      <c r="L53" s="192">
        <f>IFERROR(INDEX($C$51:$C$70,MATCH(3,$H$51:$H$70,0)),"")</f>
        <v/>
      </c>
      <c r="M53" s="184">
        <f>IFERROR(INDEX($D$51:$D$70,MATCH(3,$H$51:$H$70,0)),"")</f>
        <v/>
      </c>
      <c r="N53" s="184">
        <f>IFERROR(INDEX($F$51:$F$70,MATCH(3,$H$51:$H$70,0)),"")</f>
        <v/>
      </c>
      <c r="O53" s="194">
        <f>IF($J53="","",IF($M53=0,"",$N53/$M53))</f>
        <v/>
      </c>
    </row>
    <row r="54">
      <c r="A54" s="190">
        <f>IF(Setup!$A148="","",Setup!$A148)</f>
        <v/>
      </c>
      <c r="B54" s="191">
        <f>IF($A54="","",IF($B$4="All",COUNTIFS(Trips!$G5:$G1004,$A54,Trips!$Z5:$Z1004,$B$3),COUNTIFS(Trips!$G5:$G1004,$A54,Trips!$Z5:$Z1004,$B$3,Trips!$C5:$C1004,$B$4)))</f>
        <v/>
      </c>
      <c r="C54" s="192">
        <f>IF($A54="","",IF($B$4="All",SUMIFS(Trips!$H5:$H1004,Trips!$G5:$G1004,$A54,Trips!$Z5:$Z1004,$B$3),SUMIFS(Trips!$H5:$H1004,Trips!$G5:$G1004,$A54,Trips!$Z5:$Z1004,$B$3,Trips!$C5:$C1004,$B$4)))</f>
        <v/>
      </c>
      <c r="D54" s="184">
        <f>IF($A54="","",IF($B$4="All",SUMIFS(Trips!$K5:$K1004,Trips!$G5:$G1004,$A54,Trips!$Z5:$Z1004,$B$3),SUMIFS(Trips!$K5:$K1004,Trips!$G5:$G1004,$A54,Trips!$Z5:$Z1004,$B$3,Trips!$C5:$C1004,$B$4)))</f>
        <v/>
      </c>
      <c r="E54" s="184">
        <f>IF($A54="","",IF($B$4="All",SUMIFS(Trips!$U5:$U1004,Trips!$G5:$G1004,$A54,Trips!$Z5:$Z1004,$B$3),SUMIFS(Trips!$U5:$U1004,Trips!$G5:$G1004,$A54,Trips!$Z5:$Z1004,$B$3,Trips!$C5:$C1004,$B$4)))</f>
        <v/>
      </c>
      <c r="F54" s="184">
        <f>IF($A54="","",IF($B$4="All",SUMIFS(Trips!$V5:$V1004,Trips!$G5:$G1004,$A54,Trips!$Z5:$Z1004,$B$3),SUMIFS(Trips!$V5:$V1004,Trips!$G5:$G1004,$A54,Trips!$Z5:$Z1004,$B$3,Trips!$C5:$C1004,$B$4)))</f>
        <v/>
      </c>
      <c r="G54" s="194">
        <f>IF($A54="","",IF($D54=0,"",$F54/$D54))</f>
        <v/>
      </c>
      <c r="H54" s="202">
        <f>IF($A54="","",COUNTIF($D$51:$D$70,"&gt;"&amp;$D54)+COUNTIF($D$51:$D54,$D54))</f>
        <v/>
      </c>
      <c r="J54" s="190">
        <f>IFERROR(INDEX($A$51:$A$70,MATCH(4,$H$51:$H$70,0)),"")</f>
        <v/>
      </c>
      <c r="K54" s="191">
        <f>IFERROR(INDEX($B$51:$B$70,MATCH(4,$H$51:$H$70,0)),"")</f>
        <v/>
      </c>
      <c r="L54" s="192">
        <f>IFERROR(INDEX($C$51:$C$70,MATCH(4,$H$51:$H$70,0)),"")</f>
        <v/>
      </c>
      <c r="M54" s="184">
        <f>IFERROR(INDEX($D$51:$D$70,MATCH(4,$H$51:$H$70,0)),"")</f>
        <v/>
      </c>
      <c r="N54" s="184">
        <f>IFERROR(INDEX($F$51:$F$70,MATCH(4,$H$51:$H$70,0)),"")</f>
        <v/>
      </c>
      <c r="O54" s="194">
        <f>IF($J54="","",IF($M54=0,"",$N54/$M54))</f>
        <v/>
      </c>
    </row>
    <row r="55">
      <c r="A55" s="190">
        <f>IF(Setup!$A149="","",Setup!$A149)</f>
        <v/>
      </c>
      <c r="B55" s="191">
        <f>IF($A55="","",IF($B$4="All",COUNTIFS(Trips!$G5:$G1004,$A55,Trips!$Z5:$Z1004,$B$3),COUNTIFS(Trips!$G5:$G1004,$A55,Trips!$Z5:$Z1004,$B$3,Trips!$C5:$C1004,$B$4)))</f>
        <v/>
      </c>
      <c r="C55" s="192">
        <f>IF($A55="","",IF($B$4="All",SUMIFS(Trips!$H5:$H1004,Trips!$G5:$G1004,$A55,Trips!$Z5:$Z1004,$B$3),SUMIFS(Trips!$H5:$H1004,Trips!$G5:$G1004,$A55,Trips!$Z5:$Z1004,$B$3,Trips!$C5:$C1004,$B$4)))</f>
        <v/>
      </c>
      <c r="D55" s="184">
        <f>IF($A55="","",IF($B$4="All",SUMIFS(Trips!$K5:$K1004,Trips!$G5:$G1004,$A55,Trips!$Z5:$Z1004,$B$3),SUMIFS(Trips!$K5:$K1004,Trips!$G5:$G1004,$A55,Trips!$Z5:$Z1004,$B$3,Trips!$C5:$C1004,$B$4)))</f>
        <v/>
      </c>
      <c r="E55" s="184">
        <f>IF($A55="","",IF($B$4="All",SUMIFS(Trips!$U5:$U1004,Trips!$G5:$G1004,$A55,Trips!$Z5:$Z1004,$B$3),SUMIFS(Trips!$U5:$U1004,Trips!$G5:$G1004,$A55,Trips!$Z5:$Z1004,$B$3,Trips!$C5:$C1004,$B$4)))</f>
        <v/>
      </c>
      <c r="F55" s="184">
        <f>IF($A55="","",IF($B$4="All",SUMIFS(Trips!$V5:$V1004,Trips!$G5:$G1004,$A55,Trips!$Z5:$Z1004,$B$3),SUMIFS(Trips!$V5:$V1004,Trips!$G5:$G1004,$A55,Trips!$Z5:$Z1004,$B$3,Trips!$C5:$C1004,$B$4)))</f>
        <v/>
      </c>
      <c r="G55" s="194">
        <f>IF($A55="","",IF($D55=0,"",$F55/$D55))</f>
        <v/>
      </c>
      <c r="H55" s="202">
        <f>IF($A55="","",COUNTIF($D$51:$D$70,"&gt;"&amp;$D55)+COUNTIF($D$51:$D55,$D55))</f>
        <v/>
      </c>
      <c r="J55" s="190">
        <f>IFERROR(INDEX($A$51:$A$70,MATCH(5,$H$51:$H$70,0)),"")</f>
        <v/>
      </c>
      <c r="K55" s="191">
        <f>IFERROR(INDEX($B$51:$B$70,MATCH(5,$H$51:$H$70,0)),"")</f>
        <v/>
      </c>
      <c r="L55" s="192">
        <f>IFERROR(INDEX($C$51:$C$70,MATCH(5,$H$51:$H$70,0)),"")</f>
        <v/>
      </c>
      <c r="M55" s="184">
        <f>IFERROR(INDEX($D$51:$D$70,MATCH(5,$H$51:$H$70,0)),"")</f>
        <v/>
      </c>
      <c r="N55" s="184">
        <f>IFERROR(INDEX($F$51:$F$70,MATCH(5,$H$51:$H$70,0)),"")</f>
        <v/>
      </c>
      <c r="O55" s="194">
        <f>IF($J55="","",IF($M55=0,"",$N55/$M55))</f>
        <v/>
      </c>
    </row>
    <row r="56">
      <c r="A56" s="190">
        <f>IF(Setup!$A150="","",Setup!$A150)</f>
        <v/>
      </c>
      <c r="B56" s="191">
        <f>IF($A56="","",IF($B$4="All",COUNTIFS(Trips!$G5:$G1004,$A56,Trips!$Z5:$Z1004,$B$3),COUNTIFS(Trips!$G5:$G1004,$A56,Trips!$Z5:$Z1004,$B$3,Trips!$C5:$C1004,$B$4)))</f>
        <v/>
      </c>
      <c r="C56" s="192">
        <f>IF($A56="","",IF($B$4="All",SUMIFS(Trips!$H5:$H1004,Trips!$G5:$G1004,$A56,Trips!$Z5:$Z1004,$B$3),SUMIFS(Trips!$H5:$H1004,Trips!$G5:$G1004,$A56,Trips!$Z5:$Z1004,$B$3,Trips!$C5:$C1004,$B$4)))</f>
        <v/>
      </c>
      <c r="D56" s="184">
        <f>IF($A56="","",IF($B$4="All",SUMIFS(Trips!$K5:$K1004,Trips!$G5:$G1004,$A56,Trips!$Z5:$Z1004,$B$3),SUMIFS(Trips!$K5:$K1004,Trips!$G5:$G1004,$A56,Trips!$Z5:$Z1004,$B$3,Trips!$C5:$C1004,$B$4)))</f>
        <v/>
      </c>
      <c r="E56" s="184">
        <f>IF($A56="","",IF($B$4="All",SUMIFS(Trips!$U5:$U1004,Trips!$G5:$G1004,$A56,Trips!$Z5:$Z1004,$B$3),SUMIFS(Trips!$U5:$U1004,Trips!$G5:$G1004,$A56,Trips!$Z5:$Z1004,$B$3,Trips!$C5:$C1004,$B$4)))</f>
        <v/>
      </c>
      <c r="F56" s="184">
        <f>IF($A56="","",IF($B$4="All",SUMIFS(Trips!$V5:$V1004,Trips!$G5:$G1004,$A56,Trips!$Z5:$Z1004,$B$3),SUMIFS(Trips!$V5:$V1004,Trips!$G5:$G1004,$A56,Trips!$Z5:$Z1004,$B$3,Trips!$C5:$C1004,$B$4)))</f>
        <v/>
      </c>
      <c r="G56" s="194">
        <f>IF($A56="","",IF($D56=0,"",$F56/$D56))</f>
        <v/>
      </c>
      <c r="H56" s="202">
        <f>IF($A56="","",COUNTIF($D$51:$D$70,"&gt;"&amp;$D56)+COUNTIF($D$51:$D56,$D56))</f>
        <v/>
      </c>
      <c r="J56" s="190">
        <f>IFERROR(INDEX($A$51:$A$70,MATCH(6,$H$51:$H$70,0)),"")</f>
        <v/>
      </c>
      <c r="K56" s="191">
        <f>IFERROR(INDEX($B$51:$B$70,MATCH(6,$H$51:$H$70,0)),"")</f>
        <v/>
      </c>
      <c r="L56" s="192">
        <f>IFERROR(INDEX($C$51:$C$70,MATCH(6,$H$51:$H$70,0)),"")</f>
        <v/>
      </c>
      <c r="M56" s="184">
        <f>IFERROR(INDEX($D$51:$D$70,MATCH(6,$H$51:$H$70,0)),"")</f>
        <v/>
      </c>
      <c r="N56" s="184">
        <f>IFERROR(INDEX($F$51:$F$70,MATCH(6,$H$51:$H$70,0)),"")</f>
        <v/>
      </c>
      <c r="O56" s="194">
        <f>IF($J56="","",IF($M56=0,"",$N56/$M56))</f>
        <v/>
      </c>
    </row>
    <row r="57">
      <c r="A57" s="190">
        <f>IF(Setup!$A151="","",Setup!$A151)</f>
        <v/>
      </c>
      <c r="B57" s="191">
        <f>IF($A57="","",IF($B$4="All",COUNTIFS(Trips!$G5:$G1004,$A57,Trips!$Z5:$Z1004,$B$3),COUNTIFS(Trips!$G5:$G1004,$A57,Trips!$Z5:$Z1004,$B$3,Trips!$C5:$C1004,$B$4)))</f>
        <v/>
      </c>
      <c r="C57" s="192">
        <f>IF($A57="","",IF($B$4="All",SUMIFS(Trips!$H5:$H1004,Trips!$G5:$G1004,$A57,Trips!$Z5:$Z1004,$B$3),SUMIFS(Trips!$H5:$H1004,Trips!$G5:$G1004,$A57,Trips!$Z5:$Z1004,$B$3,Trips!$C5:$C1004,$B$4)))</f>
        <v/>
      </c>
      <c r="D57" s="184">
        <f>IF($A57="","",IF($B$4="All",SUMIFS(Trips!$K5:$K1004,Trips!$G5:$G1004,$A57,Trips!$Z5:$Z1004,$B$3),SUMIFS(Trips!$K5:$K1004,Trips!$G5:$G1004,$A57,Trips!$Z5:$Z1004,$B$3,Trips!$C5:$C1004,$B$4)))</f>
        <v/>
      </c>
      <c r="E57" s="184">
        <f>IF($A57="","",IF($B$4="All",SUMIFS(Trips!$U5:$U1004,Trips!$G5:$G1004,$A57,Trips!$Z5:$Z1004,$B$3),SUMIFS(Trips!$U5:$U1004,Trips!$G5:$G1004,$A57,Trips!$Z5:$Z1004,$B$3,Trips!$C5:$C1004,$B$4)))</f>
        <v/>
      </c>
      <c r="F57" s="184">
        <f>IF($A57="","",IF($B$4="All",SUMIFS(Trips!$V5:$V1004,Trips!$G5:$G1004,$A57,Trips!$Z5:$Z1004,$B$3),SUMIFS(Trips!$V5:$V1004,Trips!$G5:$G1004,$A57,Trips!$Z5:$Z1004,$B$3,Trips!$C5:$C1004,$B$4)))</f>
        <v/>
      </c>
      <c r="G57" s="194">
        <f>IF($A57="","",IF($D57=0,"",$F57/$D57))</f>
        <v/>
      </c>
      <c r="H57" s="202">
        <f>IF($A57="","",COUNTIF($D$51:$D$70,"&gt;"&amp;$D57)+COUNTIF($D$51:$D57,$D57))</f>
        <v/>
      </c>
      <c r="J57" s="190">
        <f>IFERROR(INDEX($A$51:$A$70,MATCH(7,$H$51:$H$70,0)),"")</f>
        <v/>
      </c>
      <c r="K57" s="191">
        <f>IFERROR(INDEX($B$51:$B$70,MATCH(7,$H$51:$H$70,0)),"")</f>
        <v/>
      </c>
      <c r="L57" s="192">
        <f>IFERROR(INDEX($C$51:$C$70,MATCH(7,$H$51:$H$70,0)),"")</f>
        <v/>
      </c>
      <c r="M57" s="184">
        <f>IFERROR(INDEX($D$51:$D$70,MATCH(7,$H$51:$H$70,0)),"")</f>
        <v/>
      </c>
      <c r="N57" s="184">
        <f>IFERROR(INDEX($F$51:$F$70,MATCH(7,$H$51:$H$70,0)),"")</f>
        <v/>
      </c>
      <c r="O57" s="194">
        <f>IF($J57="","",IF($M57=0,"",$N57/$M57))</f>
        <v/>
      </c>
    </row>
    <row r="58">
      <c r="A58" s="190">
        <f>IF(Setup!$A152="","",Setup!$A152)</f>
        <v/>
      </c>
      <c r="B58" s="191">
        <f>IF($A58="","",IF($B$4="All",COUNTIFS(Trips!$G5:$G1004,$A58,Trips!$Z5:$Z1004,$B$3),COUNTIFS(Trips!$G5:$G1004,$A58,Trips!$Z5:$Z1004,$B$3,Trips!$C5:$C1004,$B$4)))</f>
        <v/>
      </c>
      <c r="C58" s="192">
        <f>IF($A58="","",IF($B$4="All",SUMIFS(Trips!$H5:$H1004,Trips!$G5:$G1004,$A58,Trips!$Z5:$Z1004,$B$3),SUMIFS(Trips!$H5:$H1004,Trips!$G5:$G1004,$A58,Trips!$Z5:$Z1004,$B$3,Trips!$C5:$C1004,$B$4)))</f>
        <v/>
      </c>
      <c r="D58" s="184">
        <f>IF($A58="","",IF($B$4="All",SUMIFS(Trips!$K5:$K1004,Trips!$G5:$G1004,$A58,Trips!$Z5:$Z1004,$B$3),SUMIFS(Trips!$K5:$K1004,Trips!$G5:$G1004,$A58,Trips!$Z5:$Z1004,$B$3,Trips!$C5:$C1004,$B$4)))</f>
        <v/>
      </c>
      <c r="E58" s="184">
        <f>IF($A58="","",IF($B$4="All",SUMIFS(Trips!$U5:$U1004,Trips!$G5:$G1004,$A58,Trips!$Z5:$Z1004,$B$3),SUMIFS(Trips!$U5:$U1004,Trips!$G5:$G1004,$A58,Trips!$Z5:$Z1004,$B$3,Trips!$C5:$C1004,$B$4)))</f>
        <v/>
      </c>
      <c r="F58" s="184">
        <f>IF($A58="","",IF($B$4="All",SUMIFS(Trips!$V5:$V1004,Trips!$G5:$G1004,$A58,Trips!$Z5:$Z1004,$B$3),SUMIFS(Trips!$V5:$V1004,Trips!$G5:$G1004,$A58,Trips!$Z5:$Z1004,$B$3,Trips!$C5:$C1004,$B$4)))</f>
        <v/>
      </c>
      <c r="G58" s="194">
        <f>IF($A58="","",IF($D58=0,"",$F58/$D58))</f>
        <v/>
      </c>
      <c r="H58" s="202">
        <f>IF($A58="","",COUNTIF($D$51:$D$70,"&gt;"&amp;$D58)+COUNTIF($D$51:$D58,$D58))</f>
        <v/>
      </c>
      <c r="J58" s="190">
        <f>IFERROR(INDEX($A$51:$A$70,MATCH(8,$H$51:$H$70,0)),"")</f>
        <v/>
      </c>
      <c r="K58" s="191">
        <f>IFERROR(INDEX($B$51:$B$70,MATCH(8,$H$51:$H$70,0)),"")</f>
        <v/>
      </c>
      <c r="L58" s="192">
        <f>IFERROR(INDEX($C$51:$C$70,MATCH(8,$H$51:$H$70,0)),"")</f>
        <v/>
      </c>
      <c r="M58" s="184">
        <f>IFERROR(INDEX($D$51:$D$70,MATCH(8,$H$51:$H$70,0)),"")</f>
        <v/>
      </c>
      <c r="N58" s="184">
        <f>IFERROR(INDEX($F$51:$F$70,MATCH(8,$H$51:$H$70,0)),"")</f>
        <v/>
      </c>
      <c r="O58" s="194">
        <f>IF($J58="","",IF($M58=0,"",$N58/$M58))</f>
        <v/>
      </c>
    </row>
    <row r="59">
      <c r="A59" s="190">
        <f>IF(Setup!$A153="","",Setup!$A153)</f>
        <v/>
      </c>
      <c r="B59" s="191">
        <f>IF($A59="","",IF($B$4="All",COUNTIFS(Trips!$G5:$G1004,$A59,Trips!$Z5:$Z1004,$B$3),COUNTIFS(Trips!$G5:$G1004,$A59,Trips!$Z5:$Z1004,$B$3,Trips!$C5:$C1004,$B$4)))</f>
        <v/>
      </c>
      <c r="C59" s="192">
        <f>IF($A59="","",IF($B$4="All",SUMIFS(Trips!$H5:$H1004,Trips!$G5:$G1004,$A59,Trips!$Z5:$Z1004,$B$3),SUMIFS(Trips!$H5:$H1004,Trips!$G5:$G1004,$A59,Trips!$Z5:$Z1004,$B$3,Trips!$C5:$C1004,$B$4)))</f>
        <v/>
      </c>
      <c r="D59" s="184">
        <f>IF($A59="","",IF($B$4="All",SUMIFS(Trips!$K5:$K1004,Trips!$G5:$G1004,$A59,Trips!$Z5:$Z1004,$B$3),SUMIFS(Trips!$K5:$K1004,Trips!$G5:$G1004,$A59,Trips!$Z5:$Z1004,$B$3,Trips!$C5:$C1004,$B$4)))</f>
        <v/>
      </c>
      <c r="E59" s="184">
        <f>IF($A59="","",IF($B$4="All",SUMIFS(Trips!$U5:$U1004,Trips!$G5:$G1004,$A59,Trips!$Z5:$Z1004,$B$3),SUMIFS(Trips!$U5:$U1004,Trips!$G5:$G1004,$A59,Trips!$Z5:$Z1004,$B$3,Trips!$C5:$C1004,$B$4)))</f>
        <v/>
      </c>
      <c r="F59" s="184">
        <f>IF($A59="","",IF($B$4="All",SUMIFS(Trips!$V5:$V1004,Trips!$G5:$G1004,$A59,Trips!$Z5:$Z1004,$B$3),SUMIFS(Trips!$V5:$V1004,Trips!$G5:$G1004,$A59,Trips!$Z5:$Z1004,$B$3,Trips!$C5:$C1004,$B$4)))</f>
        <v/>
      </c>
      <c r="G59" s="194">
        <f>IF($A59="","",IF($D59=0,"",$F59/$D59))</f>
        <v/>
      </c>
      <c r="H59" s="202">
        <f>IF($A59="","",COUNTIF($D$51:$D$70,"&gt;"&amp;$D59)+COUNTIF($D$51:$D59,$D59))</f>
        <v/>
      </c>
      <c r="J59" s="190">
        <f>IFERROR(INDEX($A$51:$A$70,MATCH(9,$H$51:$H$70,0)),"")</f>
        <v/>
      </c>
      <c r="K59" s="191">
        <f>IFERROR(INDEX($B$51:$B$70,MATCH(9,$H$51:$H$70,0)),"")</f>
        <v/>
      </c>
      <c r="L59" s="192">
        <f>IFERROR(INDEX($C$51:$C$70,MATCH(9,$H$51:$H$70,0)),"")</f>
        <v/>
      </c>
      <c r="M59" s="184">
        <f>IFERROR(INDEX($D$51:$D$70,MATCH(9,$H$51:$H$70,0)),"")</f>
        <v/>
      </c>
      <c r="N59" s="184">
        <f>IFERROR(INDEX($F$51:$F$70,MATCH(9,$H$51:$H$70,0)),"")</f>
        <v/>
      </c>
      <c r="O59" s="194">
        <f>IF($J59="","",IF($M59=0,"",$N59/$M59))</f>
        <v/>
      </c>
    </row>
    <row r="60">
      <c r="A60" s="190">
        <f>IF(Setup!$A154="","",Setup!$A154)</f>
        <v/>
      </c>
      <c r="B60" s="191">
        <f>IF($A60="","",IF($B$4="All",COUNTIFS(Trips!$G5:$G1004,$A60,Trips!$Z5:$Z1004,$B$3),COUNTIFS(Trips!$G5:$G1004,$A60,Trips!$Z5:$Z1004,$B$3,Trips!$C5:$C1004,$B$4)))</f>
        <v/>
      </c>
      <c r="C60" s="192">
        <f>IF($A60="","",IF($B$4="All",SUMIFS(Trips!$H5:$H1004,Trips!$G5:$G1004,$A60,Trips!$Z5:$Z1004,$B$3),SUMIFS(Trips!$H5:$H1004,Trips!$G5:$G1004,$A60,Trips!$Z5:$Z1004,$B$3,Trips!$C5:$C1004,$B$4)))</f>
        <v/>
      </c>
      <c r="D60" s="184">
        <f>IF($A60="","",IF($B$4="All",SUMIFS(Trips!$K5:$K1004,Trips!$G5:$G1004,$A60,Trips!$Z5:$Z1004,$B$3),SUMIFS(Trips!$K5:$K1004,Trips!$G5:$G1004,$A60,Trips!$Z5:$Z1004,$B$3,Trips!$C5:$C1004,$B$4)))</f>
        <v/>
      </c>
      <c r="E60" s="184">
        <f>IF($A60="","",IF($B$4="All",SUMIFS(Trips!$U5:$U1004,Trips!$G5:$G1004,$A60,Trips!$Z5:$Z1004,$B$3),SUMIFS(Trips!$U5:$U1004,Trips!$G5:$G1004,$A60,Trips!$Z5:$Z1004,$B$3,Trips!$C5:$C1004,$B$4)))</f>
        <v/>
      </c>
      <c r="F60" s="184">
        <f>IF($A60="","",IF($B$4="All",SUMIFS(Trips!$V5:$V1004,Trips!$G5:$G1004,$A60,Trips!$Z5:$Z1004,$B$3),SUMIFS(Trips!$V5:$V1004,Trips!$G5:$G1004,$A60,Trips!$Z5:$Z1004,$B$3,Trips!$C5:$C1004,$B$4)))</f>
        <v/>
      </c>
      <c r="G60" s="194">
        <f>IF($A60="","",IF($D60=0,"",$F60/$D60))</f>
        <v/>
      </c>
      <c r="H60" s="202">
        <f>IF($A60="","",COUNTIF($D$51:$D$70,"&gt;"&amp;$D60)+COUNTIF($D$51:$D60,$D60))</f>
        <v/>
      </c>
      <c r="J60" s="190">
        <f>IFERROR(INDEX($A$51:$A$70,MATCH(10,$H$51:$H$70,0)),"")</f>
        <v/>
      </c>
      <c r="K60" s="191">
        <f>IFERROR(INDEX($B$51:$B$70,MATCH(10,$H$51:$H$70,0)),"")</f>
        <v/>
      </c>
      <c r="L60" s="192">
        <f>IFERROR(INDEX($C$51:$C$70,MATCH(10,$H$51:$H$70,0)),"")</f>
        <v/>
      </c>
      <c r="M60" s="184">
        <f>IFERROR(INDEX($D$51:$D$70,MATCH(10,$H$51:$H$70,0)),"")</f>
        <v/>
      </c>
      <c r="N60" s="184">
        <f>IFERROR(INDEX($F$51:$F$70,MATCH(10,$H$51:$H$70,0)),"")</f>
        <v/>
      </c>
      <c r="O60" s="194">
        <f>IF($J60="","",IF($M60=0,"",$N60/$M60))</f>
        <v/>
      </c>
    </row>
    <row r="61">
      <c r="A61" s="190">
        <f>IF(Setup!$A155="","",Setup!$A155)</f>
        <v/>
      </c>
      <c r="B61" s="191">
        <f>IF($A61="","",IF($B$4="All",COUNTIFS(Trips!$G5:$G1004,$A61,Trips!$Z5:$Z1004,$B$3),COUNTIFS(Trips!$G5:$G1004,$A61,Trips!$Z5:$Z1004,$B$3,Trips!$C5:$C1004,$B$4)))</f>
        <v/>
      </c>
      <c r="C61" s="192">
        <f>IF($A61="","",IF($B$4="All",SUMIFS(Trips!$H5:$H1004,Trips!$G5:$G1004,$A61,Trips!$Z5:$Z1004,$B$3),SUMIFS(Trips!$H5:$H1004,Trips!$G5:$G1004,$A61,Trips!$Z5:$Z1004,$B$3,Trips!$C5:$C1004,$B$4)))</f>
        <v/>
      </c>
      <c r="D61" s="184">
        <f>IF($A61="","",IF($B$4="All",SUMIFS(Trips!$K5:$K1004,Trips!$G5:$G1004,$A61,Trips!$Z5:$Z1004,$B$3),SUMIFS(Trips!$K5:$K1004,Trips!$G5:$G1004,$A61,Trips!$Z5:$Z1004,$B$3,Trips!$C5:$C1004,$B$4)))</f>
        <v/>
      </c>
      <c r="E61" s="184">
        <f>IF($A61="","",IF($B$4="All",SUMIFS(Trips!$U5:$U1004,Trips!$G5:$G1004,$A61,Trips!$Z5:$Z1004,$B$3),SUMIFS(Trips!$U5:$U1004,Trips!$G5:$G1004,$A61,Trips!$Z5:$Z1004,$B$3,Trips!$C5:$C1004,$B$4)))</f>
        <v/>
      </c>
      <c r="F61" s="184">
        <f>IF($A61="","",IF($B$4="All",SUMIFS(Trips!$V5:$V1004,Trips!$G5:$G1004,$A61,Trips!$Z5:$Z1004,$B$3),SUMIFS(Trips!$V5:$V1004,Trips!$G5:$G1004,$A61,Trips!$Z5:$Z1004,$B$3,Trips!$C5:$C1004,$B$4)))</f>
        <v/>
      </c>
      <c r="G61" s="194">
        <f>IF($A61="","",IF($D61=0,"",$F61/$D61))</f>
        <v/>
      </c>
      <c r="H61" s="202">
        <f>IF($A61="","",COUNTIF($D$51:$D$70,"&gt;"&amp;$D61)+COUNTIF($D$51:$D61,$D61))</f>
        <v/>
      </c>
      <c r="J61" s="190">
        <f>IFERROR(INDEX($A$51:$A$70,MATCH(11,$H$51:$H$70,0)),"")</f>
        <v/>
      </c>
      <c r="K61" s="191">
        <f>IFERROR(INDEX($B$51:$B$70,MATCH(11,$H$51:$H$70,0)),"")</f>
        <v/>
      </c>
      <c r="L61" s="192">
        <f>IFERROR(INDEX($C$51:$C$70,MATCH(11,$H$51:$H$70,0)),"")</f>
        <v/>
      </c>
      <c r="M61" s="184">
        <f>IFERROR(INDEX($D$51:$D$70,MATCH(11,$H$51:$H$70,0)),"")</f>
        <v/>
      </c>
      <c r="N61" s="184">
        <f>IFERROR(INDEX($F$51:$F$70,MATCH(11,$H$51:$H$70,0)),"")</f>
        <v/>
      </c>
      <c r="O61" s="194">
        <f>IF($J61="","",IF($M61=0,"",$N61/$M61))</f>
        <v/>
      </c>
    </row>
    <row r="62">
      <c r="A62" s="190">
        <f>IF(Setup!$A156="","",Setup!$A156)</f>
        <v/>
      </c>
      <c r="B62" s="191">
        <f>IF($A62="","",IF($B$4="All",COUNTIFS(Trips!$G5:$G1004,$A62,Trips!$Z5:$Z1004,$B$3),COUNTIFS(Trips!$G5:$G1004,$A62,Trips!$Z5:$Z1004,$B$3,Trips!$C5:$C1004,$B$4)))</f>
        <v/>
      </c>
      <c r="C62" s="192">
        <f>IF($A62="","",IF($B$4="All",SUMIFS(Trips!$H5:$H1004,Trips!$G5:$G1004,$A62,Trips!$Z5:$Z1004,$B$3),SUMIFS(Trips!$H5:$H1004,Trips!$G5:$G1004,$A62,Trips!$Z5:$Z1004,$B$3,Trips!$C5:$C1004,$B$4)))</f>
        <v/>
      </c>
      <c r="D62" s="184">
        <f>IF($A62="","",IF($B$4="All",SUMIFS(Trips!$K5:$K1004,Trips!$G5:$G1004,$A62,Trips!$Z5:$Z1004,$B$3),SUMIFS(Trips!$K5:$K1004,Trips!$G5:$G1004,$A62,Trips!$Z5:$Z1004,$B$3,Trips!$C5:$C1004,$B$4)))</f>
        <v/>
      </c>
      <c r="E62" s="184">
        <f>IF($A62="","",IF($B$4="All",SUMIFS(Trips!$U5:$U1004,Trips!$G5:$G1004,$A62,Trips!$Z5:$Z1004,$B$3),SUMIFS(Trips!$U5:$U1004,Trips!$G5:$G1004,$A62,Trips!$Z5:$Z1004,$B$3,Trips!$C5:$C1004,$B$4)))</f>
        <v/>
      </c>
      <c r="F62" s="184">
        <f>IF($A62="","",IF($B$4="All",SUMIFS(Trips!$V5:$V1004,Trips!$G5:$G1004,$A62,Trips!$Z5:$Z1004,$B$3),SUMIFS(Trips!$V5:$V1004,Trips!$G5:$G1004,$A62,Trips!$Z5:$Z1004,$B$3,Trips!$C5:$C1004,$B$4)))</f>
        <v/>
      </c>
      <c r="G62" s="194">
        <f>IF($A62="","",IF($D62=0,"",$F62/$D62))</f>
        <v/>
      </c>
      <c r="H62" s="202">
        <f>IF($A62="","",COUNTIF($D$51:$D$70,"&gt;"&amp;$D62)+COUNTIF($D$51:$D62,$D62))</f>
        <v/>
      </c>
      <c r="J62" s="190">
        <f>IFERROR(INDEX($A$51:$A$70,MATCH(12,$H$51:$H$70,0)),"")</f>
        <v/>
      </c>
      <c r="K62" s="191">
        <f>IFERROR(INDEX($B$51:$B$70,MATCH(12,$H$51:$H$70,0)),"")</f>
        <v/>
      </c>
      <c r="L62" s="192">
        <f>IFERROR(INDEX($C$51:$C$70,MATCH(12,$H$51:$H$70,0)),"")</f>
        <v/>
      </c>
      <c r="M62" s="184">
        <f>IFERROR(INDEX($D$51:$D$70,MATCH(12,$H$51:$H$70,0)),"")</f>
        <v/>
      </c>
      <c r="N62" s="184">
        <f>IFERROR(INDEX($F$51:$F$70,MATCH(12,$H$51:$H$70,0)),"")</f>
        <v/>
      </c>
      <c r="O62" s="194">
        <f>IF($J62="","",IF($M62=0,"",$N62/$M62))</f>
        <v/>
      </c>
    </row>
    <row r="63">
      <c r="A63" s="190">
        <f>IF(Setup!$A157="","",Setup!$A157)</f>
        <v/>
      </c>
      <c r="B63" s="191">
        <f>IF($A63="","",IF($B$4="All",COUNTIFS(Trips!$G5:$G1004,$A63,Trips!$Z5:$Z1004,$B$3),COUNTIFS(Trips!$G5:$G1004,$A63,Trips!$Z5:$Z1004,$B$3,Trips!$C5:$C1004,$B$4)))</f>
        <v/>
      </c>
      <c r="C63" s="192">
        <f>IF($A63="","",IF($B$4="All",SUMIFS(Trips!$H5:$H1004,Trips!$G5:$G1004,$A63,Trips!$Z5:$Z1004,$B$3),SUMIFS(Trips!$H5:$H1004,Trips!$G5:$G1004,$A63,Trips!$Z5:$Z1004,$B$3,Trips!$C5:$C1004,$B$4)))</f>
        <v/>
      </c>
      <c r="D63" s="184">
        <f>IF($A63="","",IF($B$4="All",SUMIFS(Trips!$K5:$K1004,Trips!$G5:$G1004,$A63,Trips!$Z5:$Z1004,$B$3),SUMIFS(Trips!$K5:$K1004,Trips!$G5:$G1004,$A63,Trips!$Z5:$Z1004,$B$3,Trips!$C5:$C1004,$B$4)))</f>
        <v/>
      </c>
      <c r="E63" s="184">
        <f>IF($A63="","",IF($B$4="All",SUMIFS(Trips!$U5:$U1004,Trips!$G5:$G1004,$A63,Trips!$Z5:$Z1004,$B$3),SUMIFS(Trips!$U5:$U1004,Trips!$G5:$G1004,$A63,Trips!$Z5:$Z1004,$B$3,Trips!$C5:$C1004,$B$4)))</f>
        <v/>
      </c>
      <c r="F63" s="184">
        <f>IF($A63="","",IF($B$4="All",SUMIFS(Trips!$V5:$V1004,Trips!$G5:$G1004,$A63,Trips!$Z5:$Z1004,$B$3),SUMIFS(Trips!$V5:$V1004,Trips!$G5:$G1004,$A63,Trips!$Z5:$Z1004,$B$3,Trips!$C5:$C1004,$B$4)))</f>
        <v/>
      </c>
      <c r="G63" s="194">
        <f>IF($A63="","",IF($D63=0,"",$F63/$D63))</f>
        <v/>
      </c>
      <c r="H63" s="202">
        <f>IF($A63="","",COUNTIF($D$51:$D$70,"&gt;"&amp;$D63)+COUNTIF($D$51:$D63,$D63))</f>
        <v/>
      </c>
      <c r="J63" s="190">
        <f>IFERROR(INDEX($A$51:$A$70,MATCH(13,$H$51:$H$70,0)),"")</f>
        <v/>
      </c>
      <c r="K63" s="191">
        <f>IFERROR(INDEX($B$51:$B$70,MATCH(13,$H$51:$H$70,0)),"")</f>
        <v/>
      </c>
      <c r="L63" s="192">
        <f>IFERROR(INDEX($C$51:$C$70,MATCH(13,$H$51:$H$70,0)),"")</f>
        <v/>
      </c>
      <c r="M63" s="184">
        <f>IFERROR(INDEX($D$51:$D$70,MATCH(13,$H$51:$H$70,0)),"")</f>
        <v/>
      </c>
      <c r="N63" s="184">
        <f>IFERROR(INDEX($F$51:$F$70,MATCH(13,$H$51:$H$70,0)),"")</f>
        <v/>
      </c>
      <c r="O63" s="194">
        <f>IF($J63="","",IF($M63=0,"",$N63/$M63))</f>
        <v/>
      </c>
    </row>
    <row r="64">
      <c r="A64" s="190">
        <f>IF(Setup!$A158="","",Setup!$A158)</f>
        <v/>
      </c>
      <c r="B64" s="191">
        <f>IF($A64="","",IF($B$4="All",COUNTIFS(Trips!$G5:$G1004,$A64,Trips!$Z5:$Z1004,$B$3),COUNTIFS(Trips!$G5:$G1004,$A64,Trips!$Z5:$Z1004,$B$3,Trips!$C5:$C1004,$B$4)))</f>
        <v/>
      </c>
      <c r="C64" s="192">
        <f>IF($A64="","",IF($B$4="All",SUMIFS(Trips!$H5:$H1004,Trips!$G5:$G1004,$A64,Trips!$Z5:$Z1004,$B$3),SUMIFS(Trips!$H5:$H1004,Trips!$G5:$G1004,$A64,Trips!$Z5:$Z1004,$B$3,Trips!$C5:$C1004,$B$4)))</f>
        <v/>
      </c>
      <c r="D64" s="184">
        <f>IF($A64="","",IF($B$4="All",SUMIFS(Trips!$K5:$K1004,Trips!$G5:$G1004,$A64,Trips!$Z5:$Z1004,$B$3),SUMIFS(Trips!$K5:$K1004,Trips!$G5:$G1004,$A64,Trips!$Z5:$Z1004,$B$3,Trips!$C5:$C1004,$B$4)))</f>
        <v/>
      </c>
      <c r="E64" s="184">
        <f>IF($A64="","",IF($B$4="All",SUMIFS(Trips!$U5:$U1004,Trips!$G5:$G1004,$A64,Trips!$Z5:$Z1004,$B$3),SUMIFS(Trips!$U5:$U1004,Trips!$G5:$G1004,$A64,Trips!$Z5:$Z1004,$B$3,Trips!$C5:$C1004,$B$4)))</f>
        <v/>
      </c>
      <c r="F64" s="184">
        <f>IF($A64="","",IF($B$4="All",SUMIFS(Trips!$V5:$V1004,Trips!$G5:$G1004,$A64,Trips!$Z5:$Z1004,$B$3),SUMIFS(Trips!$V5:$V1004,Trips!$G5:$G1004,$A64,Trips!$Z5:$Z1004,$B$3,Trips!$C5:$C1004,$B$4)))</f>
        <v/>
      </c>
      <c r="G64" s="194">
        <f>IF($A64="","",IF($D64=0,"",$F64/$D64))</f>
        <v/>
      </c>
      <c r="H64" s="202">
        <f>IF($A64="","",COUNTIF($D$51:$D$70,"&gt;"&amp;$D64)+COUNTIF($D$51:$D64,$D64))</f>
        <v/>
      </c>
      <c r="J64" s="190">
        <f>IFERROR(INDEX($A$51:$A$70,MATCH(14,$H$51:$H$70,0)),"")</f>
        <v/>
      </c>
      <c r="K64" s="191">
        <f>IFERROR(INDEX($B$51:$B$70,MATCH(14,$H$51:$H$70,0)),"")</f>
        <v/>
      </c>
      <c r="L64" s="192">
        <f>IFERROR(INDEX($C$51:$C$70,MATCH(14,$H$51:$H$70,0)),"")</f>
        <v/>
      </c>
      <c r="M64" s="184">
        <f>IFERROR(INDEX($D$51:$D$70,MATCH(14,$H$51:$H$70,0)),"")</f>
        <v/>
      </c>
      <c r="N64" s="184">
        <f>IFERROR(INDEX($F$51:$F$70,MATCH(14,$H$51:$H$70,0)),"")</f>
        <v/>
      </c>
      <c r="O64" s="194">
        <f>IF($J64="","",IF($M64=0,"",$N64/$M64))</f>
        <v/>
      </c>
    </row>
    <row r="65">
      <c r="A65" s="190">
        <f>IF(Setup!$A159="","",Setup!$A159)</f>
        <v/>
      </c>
      <c r="B65" s="191">
        <f>IF($A65="","",IF($B$4="All",COUNTIFS(Trips!$G5:$G1004,$A65,Trips!$Z5:$Z1004,$B$3),COUNTIFS(Trips!$G5:$G1004,$A65,Trips!$Z5:$Z1004,$B$3,Trips!$C5:$C1004,$B$4)))</f>
        <v/>
      </c>
      <c r="C65" s="192">
        <f>IF($A65="","",IF($B$4="All",SUMIFS(Trips!$H5:$H1004,Trips!$G5:$G1004,$A65,Trips!$Z5:$Z1004,$B$3),SUMIFS(Trips!$H5:$H1004,Trips!$G5:$G1004,$A65,Trips!$Z5:$Z1004,$B$3,Trips!$C5:$C1004,$B$4)))</f>
        <v/>
      </c>
      <c r="D65" s="184">
        <f>IF($A65="","",IF($B$4="All",SUMIFS(Trips!$K5:$K1004,Trips!$G5:$G1004,$A65,Trips!$Z5:$Z1004,$B$3),SUMIFS(Trips!$K5:$K1004,Trips!$G5:$G1004,$A65,Trips!$Z5:$Z1004,$B$3,Trips!$C5:$C1004,$B$4)))</f>
        <v/>
      </c>
      <c r="E65" s="184">
        <f>IF($A65="","",IF($B$4="All",SUMIFS(Trips!$U5:$U1004,Trips!$G5:$G1004,$A65,Trips!$Z5:$Z1004,$B$3),SUMIFS(Trips!$U5:$U1004,Trips!$G5:$G1004,$A65,Trips!$Z5:$Z1004,$B$3,Trips!$C5:$C1004,$B$4)))</f>
        <v/>
      </c>
      <c r="F65" s="184">
        <f>IF($A65="","",IF($B$4="All",SUMIFS(Trips!$V5:$V1004,Trips!$G5:$G1004,$A65,Trips!$Z5:$Z1004,$B$3),SUMIFS(Trips!$V5:$V1004,Trips!$G5:$G1004,$A65,Trips!$Z5:$Z1004,$B$3,Trips!$C5:$C1004,$B$4)))</f>
        <v/>
      </c>
      <c r="G65" s="194">
        <f>IF($A65="","",IF($D65=0,"",$F65/$D65))</f>
        <v/>
      </c>
      <c r="H65" s="202">
        <f>IF($A65="","",COUNTIF($D$51:$D$70,"&gt;"&amp;$D65)+COUNTIF($D$51:$D65,$D65))</f>
        <v/>
      </c>
      <c r="J65" s="190">
        <f>IFERROR(INDEX($A$51:$A$70,MATCH(15,$H$51:$H$70,0)),"")</f>
        <v/>
      </c>
      <c r="K65" s="191">
        <f>IFERROR(INDEX($B$51:$B$70,MATCH(15,$H$51:$H$70,0)),"")</f>
        <v/>
      </c>
      <c r="L65" s="192">
        <f>IFERROR(INDEX($C$51:$C$70,MATCH(15,$H$51:$H$70,0)),"")</f>
        <v/>
      </c>
      <c r="M65" s="184">
        <f>IFERROR(INDEX($D$51:$D$70,MATCH(15,$H$51:$H$70,0)),"")</f>
        <v/>
      </c>
      <c r="N65" s="184">
        <f>IFERROR(INDEX($F$51:$F$70,MATCH(15,$H$51:$H$70,0)),"")</f>
        <v/>
      </c>
      <c r="O65" s="194">
        <f>IF($J65="","",IF($M65=0,"",$N65/$M65))</f>
        <v/>
      </c>
    </row>
    <row r="66">
      <c r="A66" s="190">
        <f>IF(Setup!$A160="","",Setup!$A160)</f>
        <v/>
      </c>
      <c r="B66" s="191">
        <f>IF($A66="","",IF($B$4="All",COUNTIFS(Trips!$G5:$G1004,$A66,Trips!$Z5:$Z1004,$B$3),COUNTIFS(Trips!$G5:$G1004,$A66,Trips!$Z5:$Z1004,$B$3,Trips!$C5:$C1004,$B$4)))</f>
        <v/>
      </c>
      <c r="C66" s="192">
        <f>IF($A66="","",IF($B$4="All",SUMIFS(Trips!$H5:$H1004,Trips!$G5:$G1004,$A66,Trips!$Z5:$Z1004,$B$3),SUMIFS(Trips!$H5:$H1004,Trips!$G5:$G1004,$A66,Trips!$Z5:$Z1004,$B$3,Trips!$C5:$C1004,$B$4)))</f>
        <v/>
      </c>
      <c r="D66" s="184">
        <f>IF($A66="","",IF($B$4="All",SUMIFS(Trips!$K5:$K1004,Trips!$G5:$G1004,$A66,Trips!$Z5:$Z1004,$B$3),SUMIFS(Trips!$K5:$K1004,Trips!$G5:$G1004,$A66,Trips!$Z5:$Z1004,$B$3,Trips!$C5:$C1004,$B$4)))</f>
        <v/>
      </c>
      <c r="E66" s="184">
        <f>IF($A66="","",IF($B$4="All",SUMIFS(Trips!$U5:$U1004,Trips!$G5:$G1004,$A66,Trips!$Z5:$Z1004,$B$3),SUMIFS(Trips!$U5:$U1004,Trips!$G5:$G1004,$A66,Trips!$Z5:$Z1004,$B$3,Trips!$C5:$C1004,$B$4)))</f>
        <v/>
      </c>
      <c r="F66" s="184">
        <f>IF($A66="","",IF($B$4="All",SUMIFS(Trips!$V5:$V1004,Trips!$G5:$G1004,$A66,Trips!$Z5:$Z1004,$B$3),SUMIFS(Trips!$V5:$V1004,Trips!$G5:$G1004,$A66,Trips!$Z5:$Z1004,$B$3,Trips!$C5:$C1004,$B$4)))</f>
        <v/>
      </c>
      <c r="G66" s="194">
        <f>IF($A66="","",IF($D66=0,"",$F66/$D66))</f>
        <v/>
      </c>
      <c r="H66" s="202">
        <f>IF($A66="","",COUNTIF($D$51:$D$70,"&gt;"&amp;$D66)+COUNTIF($D$51:$D66,$D66))</f>
        <v/>
      </c>
      <c r="J66" s="190">
        <f>IFERROR(INDEX($A$51:$A$70,MATCH(16,$H$51:$H$70,0)),"")</f>
        <v/>
      </c>
      <c r="K66" s="191">
        <f>IFERROR(INDEX($B$51:$B$70,MATCH(16,$H$51:$H$70,0)),"")</f>
        <v/>
      </c>
      <c r="L66" s="192">
        <f>IFERROR(INDEX($C$51:$C$70,MATCH(16,$H$51:$H$70,0)),"")</f>
        <v/>
      </c>
      <c r="M66" s="184">
        <f>IFERROR(INDEX($D$51:$D$70,MATCH(16,$H$51:$H$70,0)),"")</f>
        <v/>
      </c>
      <c r="N66" s="184">
        <f>IFERROR(INDEX($F$51:$F$70,MATCH(16,$H$51:$H$70,0)),"")</f>
        <v/>
      </c>
      <c r="O66" s="194">
        <f>IF($J66="","",IF($M66=0,"",$N66/$M66))</f>
        <v/>
      </c>
    </row>
    <row r="67">
      <c r="A67" s="190">
        <f>IF(Setup!$A161="","",Setup!$A161)</f>
        <v/>
      </c>
      <c r="B67" s="191">
        <f>IF($A67="","",IF($B$4="All",COUNTIFS(Trips!$G5:$G1004,$A67,Trips!$Z5:$Z1004,$B$3),COUNTIFS(Trips!$G5:$G1004,$A67,Trips!$Z5:$Z1004,$B$3,Trips!$C5:$C1004,$B$4)))</f>
        <v/>
      </c>
      <c r="C67" s="192">
        <f>IF($A67="","",IF($B$4="All",SUMIFS(Trips!$H5:$H1004,Trips!$G5:$G1004,$A67,Trips!$Z5:$Z1004,$B$3),SUMIFS(Trips!$H5:$H1004,Trips!$G5:$G1004,$A67,Trips!$Z5:$Z1004,$B$3,Trips!$C5:$C1004,$B$4)))</f>
        <v/>
      </c>
      <c r="D67" s="184">
        <f>IF($A67="","",IF($B$4="All",SUMIFS(Trips!$K5:$K1004,Trips!$G5:$G1004,$A67,Trips!$Z5:$Z1004,$B$3),SUMIFS(Trips!$K5:$K1004,Trips!$G5:$G1004,$A67,Trips!$Z5:$Z1004,$B$3,Trips!$C5:$C1004,$B$4)))</f>
        <v/>
      </c>
      <c r="E67" s="184">
        <f>IF($A67="","",IF($B$4="All",SUMIFS(Trips!$U5:$U1004,Trips!$G5:$G1004,$A67,Trips!$Z5:$Z1004,$B$3),SUMIFS(Trips!$U5:$U1004,Trips!$G5:$G1004,$A67,Trips!$Z5:$Z1004,$B$3,Trips!$C5:$C1004,$B$4)))</f>
        <v/>
      </c>
      <c r="F67" s="184">
        <f>IF($A67="","",IF($B$4="All",SUMIFS(Trips!$V5:$V1004,Trips!$G5:$G1004,$A67,Trips!$Z5:$Z1004,$B$3),SUMIFS(Trips!$V5:$V1004,Trips!$G5:$G1004,$A67,Trips!$Z5:$Z1004,$B$3,Trips!$C5:$C1004,$B$4)))</f>
        <v/>
      </c>
      <c r="G67" s="194">
        <f>IF($A67="","",IF($D67=0,"",$F67/$D67))</f>
        <v/>
      </c>
      <c r="H67" s="202">
        <f>IF($A67="","",COUNTIF($D$51:$D$70,"&gt;"&amp;$D67)+COUNTIF($D$51:$D67,$D67))</f>
        <v/>
      </c>
      <c r="J67" s="190">
        <f>IFERROR(INDEX($A$51:$A$70,MATCH(17,$H$51:$H$70,0)),"")</f>
        <v/>
      </c>
      <c r="K67" s="191">
        <f>IFERROR(INDEX($B$51:$B$70,MATCH(17,$H$51:$H$70,0)),"")</f>
        <v/>
      </c>
      <c r="L67" s="192">
        <f>IFERROR(INDEX($C$51:$C$70,MATCH(17,$H$51:$H$70,0)),"")</f>
        <v/>
      </c>
      <c r="M67" s="184">
        <f>IFERROR(INDEX($D$51:$D$70,MATCH(17,$H$51:$H$70,0)),"")</f>
        <v/>
      </c>
      <c r="N67" s="184">
        <f>IFERROR(INDEX($F$51:$F$70,MATCH(17,$H$51:$H$70,0)),"")</f>
        <v/>
      </c>
      <c r="O67" s="194">
        <f>IF($J67="","",IF($M67=0,"",$N67/$M67))</f>
        <v/>
      </c>
    </row>
    <row r="68">
      <c r="A68" s="190">
        <f>IF(Setup!$A162="","",Setup!$A162)</f>
        <v/>
      </c>
      <c r="B68" s="191">
        <f>IF($A68="","",IF($B$4="All",COUNTIFS(Trips!$G5:$G1004,$A68,Trips!$Z5:$Z1004,$B$3),COUNTIFS(Trips!$G5:$G1004,$A68,Trips!$Z5:$Z1004,$B$3,Trips!$C5:$C1004,$B$4)))</f>
        <v/>
      </c>
      <c r="C68" s="192">
        <f>IF($A68="","",IF($B$4="All",SUMIFS(Trips!$H5:$H1004,Trips!$G5:$G1004,$A68,Trips!$Z5:$Z1004,$B$3),SUMIFS(Trips!$H5:$H1004,Trips!$G5:$G1004,$A68,Trips!$Z5:$Z1004,$B$3,Trips!$C5:$C1004,$B$4)))</f>
        <v/>
      </c>
      <c r="D68" s="184">
        <f>IF($A68="","",IF($B$4="All",SUMIFS(Trips!$K5:$K1004,Trips!$G5:$G1004,$A68,Trips!$Z5:$Z1004,$B$3),SUMIFS(Trips!$K5:$K1004,Trips!$G5:$G1004,$A68,Trips!$Z5:$Z1004,$B$3,Trips!$C5:$C1004,$B$4)))</f>
        <v/>
      </c>
      <c r="E68" s="184">
        <f>IF($A68="","",IF($B$4="All",SUMIFS(Trips!$U5:$U1004,Trips!$G5:$G1004,$A68,Trips!$Z5:$Z1004,$B$3),SUMIFS(Trips!$U5:$U1004,Trips!$G5:$G1004,$A68,Trips!$Z5:$Z1004,$B$3,Trips!$C5:$C1004,$B$4)))</f>
        <v/>
      </c>
      <c r="F68" s="184">
        <f>IF($A68="","",IF($B$4="All",SUMIFS(Trips!$V5:$V1004,Trips!$G5:$G1004,$A68,Trips!$Z5:$Z1004,$B$3),SUMIFS(Trips!$V5:$V1004,Trips!$G5:$G1004,$A68,Trips!$Z5:$Z1004,$B$3,Trips!$C5:$C1004,$B$4)))</f>
        <v/>
      </c>
      <c r="G68" s="194">
        <f>IF($A68="","",IF($D68=0,"",$F68/$D68))</f>
        <v/>
      </c>
      <c r="H68" s="202">
        <f>IF($A68="","",COUNTIF($D$51:$D$70,"&gt;"&amp;$D68)+COUNTIF($D$51:$D68,$D68))</f>
        <v/>
      </c>
      <c r="J68" s="190">
        <f>IFERROR(INDEX($A$51:$A$70,MATCH(18,$H$51:$H$70,0)),"")</f>
        <v/>
      </c>
      <c r="K68" s="191">
        <f>IFERROR(INDEX($B$51:$B$70,MATCH(18,$H$51:$H$70,0)),"")</f>
        <v/>
      </c>
      <c r="L68" s="192">
        <f>IFERROR(INDEX($C$51:$C$70,MATCH(18,$H$51:$H$70,0)),"")</f>
        <v/>
      </c>
      <c r="M68" s="184">
        <f>IFERROR(INDEX($D$51:$D$70,MATCH(18,$H$51:$H$70,0)),"")</f>
        <v/>
      </c>
      <c r="N68" s="184">
        <f>IFERROR(INDEX($F$51:$F$70,MATCH(18,$H$51:$H$70,0)),"")</f>
        <v/>
      </c>
      <c r="O68" s="194">
        <f>IF($J68="","",IF($M68=0,"",$N68/$M68))</f>
        <v/>
      </c>
    </row>
    <row r="69">
      <c r="A69" s="190">
        <f>IF(Setup!$A163="","",Setup!$A163)</f>
        <v/>
      </c>
      <c r="B69" s="191">
        <f>IF($A69="","",IF($B$4="All",COUNTIFS(Trips!$G5:$G1004,$A69,Trips!$Z5:$Z1004,$B$3),COUNTIFS(Trips!$G5:$G1004,$A69,Trips!$Z5:$Z1004,$B$3,Trips!$C5:$C1004,$B$4)))</f>
        <v/>
      </c>
      <c r="C69" s="192">
        <f>IF($A69="","",IF($B$4="All",SUMIFS(Trips!$H5:$H1004,Trips!$G5:$G1004,$A69,Trips!$Z5:$Z1004,$B$3),SUMIFS(Trips!$H5:$H1004,Trips!$G5:$G1004,$A69,Trips!$Z5:$Z1004,$B$3,Trips!$C5:$C1004,$B$4)))</f>
        <v/>
      </c>
      <c r="D69" s="184">
        <f>IF($A69="","",IF($B$4="All",SUMIFS(Trips!$K5:$K1004,Trips!$G5:$G1004,$A69,Trips!$Z5:$Z1004,$B$3),SUMIFS(Trips!$K5:$K1004,Trips!$G5:$G1004,$A69,Trips!$Z5:$Z1004,$B$3,Trips!$C5:$C1004,$B$4)))</f>
        <v/>
      </c>
      <c r="E69" s="184">
        <f>IF($A69="","",IF($B$4="All",SUMIFS(Trips!$U5:$U1004,Trips!$G5:$G1004,$A69,Trips!$Z5:$Z1004,$B$3),SUMIFS(Trips!$U5:$U1004,Trips!$G5:$G1004,$A69,Trips!$Z5:$Z1004,$B$3,Trips!$C5:$C1004,$B$4)))</f>
        <v/>
      </c>
      <c r="F69" s="184">
        <f>IF($A69="","",IF($B$4="All",SUMIFS(Trips!$V5:$V1004,Trips!$G5:$G1004,$A69,Trips!$Z5:$Z1004,$B$3),SUMIFS(Trips!$V5:$V1004,Trips!$G5:$G1004,$A69,Trips!$Z5:$Z1004,$B$3,Trips!$C5:$C1004,$B$4)))</f>
        <v/>
      </c>
      <c r="G69" s="194">
        <f>IF($A69="","",IF($D69=0,"",$F69/$D69))</f>
        <v/>
      </c>
      <c r="H69" s="202">
        <f>IF($A69="","",COUNTIF($D$51:$D$70,"&gt;"&amp;$D69)+COUNTIF($D$51:$D69,$D69))</f>
        <v/>
      </c>
      <c r="J69" s="190">
        <f>IFERROR(INDEX($A$51:$A$70,MATCH(19,$H$51:$H$70,0)),"")</f>
        <v/>
      </c>
      <c r="K69" s="191">
        <f>IFERROR(INDEX($B$51:$B$70,MATCH(19,$H$51:$H$70,0)),"")</f>
        <v/>
      </c>
      <c r="L69" s="192">
        <f>IFERROR(INDEX($C$51:$C$70,MATCH(19,$H$51:$H$70,0)),"")</f>
        <v/>
      </c>
      <c r="M69" s="184">
        <f>IFERROR(INDEX($D$51:$D$70,MATCH(19,$H$51:$H$70,0)),"")</f>
        <v/>
      </c>
      <c r="N69" s="184">
        <f>IFERROR(INDEX($F$51:$F$70,MATCH(19,$H$51:$H$70,0)),"")</f>
        <v/>
      </c>
      <c r="O69" s="194">
        <f>IF($J69="","",IF($M69=0,"",$N69/$M69))</f>
        <v/>
      </c>
    </row>
    <row r="70">
      <c r="A70" s="190">
        <f>IF(Setup!$A164="","",Setup!$A164)</f>
        <v/>
      </c>
      <c r="B70" s="191">
        <f>IF($A70="","",IF($B$4="All",COUNTIFS(Trips!$G5:$G1004,$A70,Trips!$Z5:$Z1004,$B$3),COUNTIFS(Trips!$G5:$G1004,$A70,Trips!$Z5:$Z1004,$B$3,Trips!$C5:$C1004,$B$4)))</f>
        <v/>
      </c>
      <c r="C70" s="192">
        <f>IF($A70="","",IF($B$4="All",SUMIFS(Trips!$H5:$H1004,Trips!$G5:$G1004,$A70,Trips!$Z5:$Z1004,$B$3),SUMIFS(Trips!$H5:$H1004,Trips!$G5:$G1004,$A70,Trips!$Z5:$Z1004,$B$3,Trips!$C5:$C1004,$B$4)))</f>
        <v/>
      </c>
      <c r="D70" s="184">
        <f>IF($A70="","",IF($B$4="All",SUMIFS(Trips!$K5:$K1004,Trips!$G5:$G1004,$A70,Trips!$Z5:$Z1004,$B$3),SUMIFS(Trips!$K5:$K1004,Trips!$G5:$G1004,$A70,Trips!$Z5:$Z1004,$B$3,Trips!$C5:$C1004,$B$4)))</f>
        <v/>
      </c>
      <c r="E70" s="184">
        <f>IF($A70="","",IF($B$4="All",SUMIFS(Trips!$U5:$U1004,Trips!$G5:$G1004,$A70,Trips!$Z5:$Z1004,$B$3),SUMIFS(Trips!$U5:$U1004,Trips!$G5:$G1004,$A70,Trips!$Z5:$Z1004,$B$3,Trips!$C5:$C1004,$B$4)))</f>
        <v/>
      </c>
      <c r="F70" s="184">
        <f>IF($A70="","",IF($B$4="All",SUMIFS(Trips!$V5:$V1004,Trips!$G5:$G1004,$A70,Trips!$Z5:$Z1004,$B$3),SUMIFS(Trips!$V5:$V1004,Trips!$G5:$G1004,$A70,Trips!$Z5:$Z1004,$B$3,Trips!$C5:$C1004,$B$4)))</f>
        <v/>
      </c>
      <c r="G70" s="194">
        <f>IF($A70="","",IF($D70=0,"",$F70/$D70))</f>
        <v/>
      </c>
      <c r="H70" s="202">
        <f>IF($A70="","",COUNTIF($D$51:$D$70,"&gt;"&amp;$D70)+COUNTIF($D$51:$D70,$D70))</f>
        <v/>
      </c>
      <c r="J70" s="190">
        <f>IFERROR(INDEX($A$51:$A$70,MATCH(20,$H$51:$H$70,0)),"")</f>
        <v/>
      </c>
      <c r="K70" s="191">
        <f>IFERROR(INDEX($B$51:$B$70,MATCH(20,$H$51:$H$70,0)),"")</f>
        <v/>
      </c>
      <c r="L70" s="192">
        <f>IFERROR(INDEX($C$51:$C$70,MATCH(20,$H$51:$H$70,0)),"")</f>
        <v/>
      </c>
      <c r="M70" s="184">
        <f>IFERROR(INDEX($D$51:$D$70,MATCH(20,$H$51:$H$70,0)),"")</f>
        <v/>
      </c>
      <c r="N70" s="184">
        <f>IFERROR(INDEX($F$51:$F$70,MATCH(20,$H$51:$H$70,0)),"")</f>
        <v/>
      </c>
      <c r="O70" s="194">
        <f>IF($J70="","",IF($M70=0,"",$N70/$M70))</f>
        <v/>
      </c>
    </row>
    <row r="73">
      <c r="A73" s="180" t="inlineStr">
        <is>
          <t>CREW ROLL-UP (selected month)</t>
        </is>
      </c>
    </row>
    <row r="74">
      <c r="A74" s="188" t="inlineStr">
        <is>
          <t>NAME</t>
        </is>
      </c>
      <c r="B74" s="188" t="inlineStr">
        <is>
          <t>ROLE</t>
        </is>
      </c>
      <c r="C74" s="188" t="inlineStr">
        <is>
          <t>TRIPS</t>
        </is>
      </c>
      <c r="D74" s="188" t="inlineStr">
        <is>
          <t>GROSS FEE HANDLED</t>
        </is>
      </c>
      <c r="E74" s="188" t="inlineStr">
        <is>
          <t>SHARE EARNED</t>
        </is>
      </c>
      <c r="F74" s="188" t="inlineStr">
        <is>
          <t>ALLOWANCE</t>
        </is>
      </c>
      <c r="G74" s="188" t="inlineStr">
        <is>
          <t>REIMBURSED</t>
        </is>
      </c>
      <c r="H74" s="188" t="inlineStr">
        <is>
          <t>ADVANCE</t>
        </is>
      </c>
      <c r="I74" s="188" t="inlineStr">
        <is>
          <t>RELEASED</t>
        </is>
      </c>
      <c r="J74" s="188" t="inlineStr">
        <is>
          <t>BALANCE</t>
        </is>
      </c>
    </row>
    <row r="75">
      <c r="A75" s="190">
        <f>IF(Setup!$A76="","",Setup!$A76)</f>
        <v/>
      </c>
      <c r="B75" s="190">
        <f>IF($A75="","",Setup!$B76)</f>
        <v/>
      </c>
      <c r="C75" s="191">
        <f>IF($A75="","",COUNTIFS(Trips!$Z5:$Z1004,$B$3,Trips!$D5:$D1004,$A75)+COUNTIFS(Trips!$Z5:$Z1004,$B$3,Trips!$E5:$E1004,$A75))</f>
        <v/>
      </c>
      <c r="D75" s="184">
        <f>IF($A75="","",SUMIFS(Trips!$K5:$K1004,Trips!$Z5:$Z1004,$B$3,Trips!$D5:$D1004,$A75)+SUMIFS(Trips!$K5:$K1004,Trips!$Z5:$Z1004,$B$3,Trips!$E5:$E1004,$A75))</f>
        <v/>
      </c>
      <c r="E75" s="184">
        <f>IF($A75="","",SUMIFS(Trips!$N5:$N1004,Trips!$Z5:$Z1004,$B$3,Trips!$D5:$D1004,$A75)+SUMIFS(Trips!$O5:$O1004,Trips!$Z5:$Z1004,$B$3,Trips!$E5:$E1004,$A75))</f>
        <v/>
      </c>
      <c r="F75" s="184">
        <f>IF($A75="","",SUMIFS(Trips!$P5:$P1004,Trips!$Z5:$Z1004,$B$3,Trips!$D5:$D1004,$A75))</f>
        <v/>
      </c>
      <c r="G75" s="184">
        <f>IF($A75="","",SUMIFS(Trips!$Q5:$Q1004,Trips!$Z5:$Z1004,$B$3,Trips!$D5:$D1004,$A75))</f>
        <v/>
      </c>
      <c r="H75" s="184">
        <f>IF($A75="","",SUMIFS(Expenses!$F5:$F1004,Expenses!$B5:$B1004,"Cash Advance",Expenses!$J5:$J1004,$B$3,Expenses!$E5:$E1004,$A75))</f>
        <v/>
      </c>
      <c r="I75" s="184">
        <f>IF($A75="","",SUMIFS(Expenses!$F5:$F1004,Expenses!$B5:$B1004,"Payroll Payout",Expenses!$J5:$J1004,$B$3,Expenses!$E5:$E1004,$A75))</f>
        <v/>
      </c>
      <c r="J75" s="193">
        <f>IF($A75="","",$E75+$F75+$G75-$H75-$I75)</f>
        <v/>
      </c>
    </row>
    <row r="76">
      <c r="A76" s="190">
        <f>IF(Setup!$A77="","",Setup!$A77)</f>
        <v/>
      </c>
      <c r="B76" s="190">
        <f>IF($A76="","",Setup!$B77)</f>
        <v/>
      </c>
      <c r="C76" s="191">
        <f>IF($A76="","",COUNTIFS(Trips!$Z5:$Z1004,$B$3,Trips!$D5:$D1004,$A76)+COUNTIFS(Trips!$Z5:$Z1004,$B$3,Trips!$E5:$E1004,$A76))</f>
        <v/>
      </c>
      <c r="D76" s="184">
        <f>IF($A76="","",SUMIFS(Trips!$K5:$K1004,Trips!$Z5:$Z1004,$B$3,Trips!$D5:$D1004,$A76)+SUMIFS(Trips!$K5:$K1004,Trips!$Z5:$Z1004,$B$3,Trips!$E5:$E1004,$A76))</f>
        <v/>
      </c>
      <c r="E76" s="184">
        <f>IF($A76="","",SUMIFS(Trips!$N5:$N1004,Trips!$Z5:$Z1004,$B$3,Trips!$D5:$D1004,$A76)+SUMIFS(Trips!$O5:$O1004,Trips!$Z5:$Z1004,$B$3,Trips!$E5:$E1004,$A76))</f>
        <v/>
      </c>
      <c r="F76" s="184">
        <f>IF($A76="","",SUMIFS(Trips!$P5:$P1004,Trips!$Z5:$Z1004,$B$3,Trips!$D5:$D1004,$A76))</f>
        <v/>
      </c>
      <c r="G76" s="184">
        <f>IF($A76="","",SUMIFS(Trips!$Q5:$Q1004,Trips!$Z5:$Z1004,$B$3,Trips!$D5:$D1004,$A76))</f>
        <v/>
      </c>
      <c r="H76" s="184">
        <f>IF($A76="","",SUMIFS(Expenses!$F5:$F1004,Expenses!$B5:$B1004,"Cash Advance",Expenses!$J5:$J1004,$B$3,Expenses!$E5:$E1004,$A76))</f>
        <v/>
      </c>
      <c r="I76" s="184">
        <f>IF($A76="","",SUMIFS(Expenses!$F5:$F1004,Expenses!$B5:$B1004,"Payroll Payout",Expenses!$J5:$J1004,$B$3,Expenses!$E5:$E1004,$A76))</f>
        <v/>
      </c>
      <c r="J76" s="193">
        <f>IF($A76="","",$E76+$F76+$G76-$H76-$I76)</f>
        <v/>
      </c>
    </row>
    <row r="77">
      <c r="A77" s="190">
        <f>IF(Setup!$A78="","",Setup!$A78)</f>
        <v/>
      </c>
      <c r="B77" s="190">
        <f>IF($A77="","",Setup!$B78)</f>
        <v/>
      </c>
      <c r="C77" s="191">
        <f>IF($A77="","",COUNTIFS(Trips!$Z5:$Z1004,$B$3,Trips!$D5:$D1004,$A77)+COUNTIFS(Trips!$Z5:$Z1004,$B$3,Trips!$E5:$E1004,$A77))</f>
        <v/>
      </c>
      <c r="D77" s="184">
        <f>IF($A77="","",SUMIFS(Trips!$K5:$K1004,Trips!$Z5:$Z1004,$B$3,Trips!$D5:$D1004,$A77)+SUMIFS(Trips!$K5:$K1004,Trips!$Z5:$Z1004,$B$3,Trips!$E5:$E1004,$A77))</f>
        <v/>
      </c>
      <c r="E77" s="184">
        <f>IF($A77="","",SUMIFS(Trips!$N5:$N1004,Trips!$Z5:$Z1004,$B$3,Trips!$D5:$D1004,$A77)+SUMIFS(Trips!$O5:$O1004,Trips!$Z5:$Z1004,$B$3,Trips!$E5:$E1004,$A77))</f>
        <v/>
      </c>
      <c r="F77" s="184">
        <f>IF($A77="","",SUMIFS(Trips!$P5:$P1004,Trips!$Z5:$Z1004,$B$3,Trips!$D5:$D1004,$A77))</f>
        <v/>
      </c>
      <c r="G77" s="184">
        <f>IF($A77="","",SUMIFS(Trips!$Q5:$Q1004,Trips!$Z5:$Z1004,$B$3,Trips!$D5:$D1004,$A77))</f>
        <v/>
      </c>
      <c r="H77" s="184">
        <f>IF($A77="","",SUMIFS(Expenses!$F5:$F1004,Expenses!$B5:$B1004,"Cash Advance",Expenses!$J5:$J1004,$B$3,Expenses!$E5:$E1004,$A77))</f>
        <v/>
      </c>
      <c r="I77" s="184">
        <f>IF($A77="","",SUMIFS(Expenses!$F5:$F1004,Expenses!$B5:$B1004,"Payroll Payout",Expenses!$J5:$J1004,$B$3,Expenses!$E5:$E1004,$A77))</f>
        <v/>
      </c>
      <c r="J77" s="193">
        <f>IF($A77="","",$E77+$F77+$G77-$H77-$I77)</f>
        <v/>
      </c>
    </row>
    <row r="78">
      <c r="A78" s="190">
        <f>IF(Setup!$A79="","",Setup!$A79)</f>
        <v/>
      </c>
      <c r="B78" s="190">
        <f>IF($A78="","",Setup!$B79)</f>
        <v/>
      </c>
      <c r="C78" s="191">
        <f>IF($A78="","",COUNTIFS(Trips!$Z5:$Z1004,$B$3,Trips!$D5:$D1004,$A78)+COUNTIFS(Trips!$Z5:$Z1004,$B$3,Trips!$E5:$E1004,$A78))</f>
        <v/>
      </c>
      <c r="D78" s="184">
        <f>IF($A78="","",SUMIFS(Trips!$K5:$K1004,Trips!$Z5:$Z1004,$B$3,Trips!$D5:$D1004,$A78)+SUMIFS(Trips!$K5:$K1004,Trips!$Z5:$Z1004,$B$3,Trips!$E5:$E1004,$A78))</f>
        <v/>
      </c>
      <c r="E78" s="184">
        <f>IF($A78="","",SUMIFS(Trips!$N5:$N1004,Trips!$Z5:$Z1004,$B$3,Trips!$D5:$D1004,$A78)+SUMIFS(Trips!$O5:$O1004,Trips!$Z5:$Z1004,$B$3,Trips!$E5:$E1004,$A78))</f>
        <v/>
      </c>
      <c r="F78" s="184">
        <f>IF($A78="","",SUMIFS(Trips!$P5:$P1004,Trips!$Z5:$Z1004,$B$3,Trips!$D5:$D1004,$A78))</f>
        <v/>
      </c>
      <c r="G78" s="184">
        <f>IF($A78="","",SUMIFS(Trips!$Q5:$Q1004,Trips!$Z5:$Z1004,$B$3,Trips!$D5:$D1004,$A78))</f>
        <v/>
      </c>
      <c r="H78" s="184">
        <f>IF($A78="","",SUMIFS(Expenses!$F5:$F1004,Expenses!$B5:$B1004,"Cash Advance",Expenses!$J5:$J1004,$B$3,Expenses!$E5:$E1004,$A78))</f>
        <v/>
      </c>
      <c r="I78" s="184">
        <f>IF($A78="","",SUMIFS(Expenses!$F5:$F1004,Expenses!$B5:$B1004,"Payroll Payout",Expenses!$J5:$J1004,$B$3,Expenses!$E5:$E1004,$A78))</f>
        <v/>
      </c>
      <c r="J78" s="193">
        <f>IF($A78="","",$E78+$F78+$G78-$H78-$I78)</f>
        <v/>
      </c>
    </row>
    <row r="79">
      <c r="A79" s="190">
        <f>IF(Setup!$A80="","",Setup!$A80)</f>
        <v/>
      </c>
      <c r="B79" s="190">
        <f>IF($A79="","",Setup!$B80)</f>
        <v/>
      </c>
      <c r="C79" s="191">
        <f>IF($A79="","",COUNTIFS(Trips!$Z5:$Z1004,$B$3,Trips!$D5:$D1004,$A79)+COUNTIFS(Trips!$Z5:$Z1004,$B$3,Trips!$E5:$E1004,$A79))</f>
        <v/>
      </c>
      <c r="D79" s="184">
        <f>IF($A79="","",SUMIFS(Trips!$K5:$K1004,Trips!$Z5:$Z1004,$B$3,Trips!$D5:$D1004,$A79)+SUMIFS(Trips!$K5:$K1004,Trips!$Z5:$Z1004,$B$3,Trips!$E5:$E1004,$A79))</f>
        <v/>
      </c>
      <c r="E79" s="184">
        <f>IF($A79="","",SUMIFS(Trips!$N5:$N1004,Trips!$Z5:$Z1004,$B$3,Trips!$D5:$D1004,$A79)+SUMIFS(Trips!$O5:$O1004,Trips!$Z5:$Z1004,$B$3,Trips!$E5:$E1004,$A79))</f>
        <v/>
      </c>
      <c r="F79" s="184">
        <f>IF($A79="","",SUMIFS(Trips!$P5:$P1004,Trips!$Z5:$Z1004,$B$3,Trips!$D5:$D1004,$A79))</f>
        <v/>
      </c>
      <c r="G79" s="184">
        <f>IF($A79="","",SUMIFS(Trips!$Q5:$Q1004,Trips!$Z5:$Z1004,$B$3,Trips!$D5:$D1004,$A79))</f>
        <v/>
      </c>
      <c r="H79" s="184">
        <f>IF($A79="","",SUMIFS(Expenses!$F5:$F1004,Expenses!$B5:$B1004,"Cash Advance",Expenses!$J5:$J1004,$B$3,Expenses!$E5:$E1004,$A79))</f>
        <v/>
      </c>
      <c r="I79" s="184">
        <f>IF($A79="","",SUMIFS(Expenses!$F5:$F1004,Expenses!$B5:$B1004,"Payroll Payout",Expenses!$J5:$J1004,$B$3,Expenses!$E5:$E1004,$A79))</f>
        <v/>
      </c>
      <c r="J79" s="193">
        <f>IF($A79="","",$E79+$F79+$G79-$H79-$I79)</f>
        <v/>
      </c>
    </row>
    <row r="80">
      <c r="A80" s="190">
        <f>IF(Setup!$A81="","",Setup!$A81)</f>
        <v/>
      </c>
      <c r="B80" s="190">
        <f>IF($A80="","",Setup!$B81)</f>
        <v/>
      </c>
      <c r="C80" s="191">
        <f>IF($A80="","",COUNTIFS(Trips!$Z5:$Z1004,$B$3,Trips!$D5:$D1004,$A80)+COUNTIFS(Trips!$Z5:$Z1004,$B$3,Trips!$E5:$E1004,$A80))</f>
        <v/>
      </c>
      <c r="D80" s="184">
        <f>IF($A80="","",SUMIFS(Trips!$K5:$K1004,Trips!$Z5:$Z1004,$B$3,Trips!$D5:$D1004,$A80)+SUMIFS(Trips!$K5:$K1004,Trips!$Z5:$Z1004,$B$3,Trips!$E5:$E1004,$A80))</f>
        <v/>
      </c>
      <c r="E80" s="184">
        <f>IF($A80="","",SUMIFS(Trips!$N5:$N1004,Trips!$Z5:$Z1004,$B$3,Trips!$D5:$D1004,$A80)+SUMIFS(Trips!$O5:$O1004,Trips!$Z5:$Z1004,$B$3,Trips!$E5:$E1004,$A80))</f>
        <v/>
      </c>
      <c r="F80" s="184">
        <f>IF($A80="","",SUMIFS(Trips!$P5:$P1004,Trips!$Z5:$Z1004,$B$3,Trips!$D5:$D1004,$A80))</f>
        <v/>
      </c>
      <c r="G80" s="184">
        <f>IF($A80="","",SUMIFS(Trips!$Q5:$Q1004,Trips!$Z5:$Z1004,$B$3,Trips!$D5:$D1004,$A80))</f>
        <v/>
      </c>
      <c r="H80" s="184">
        <f>IF($A80="","",SUMIFS(Expenses!$F5:$F1004,Expenses!$B5:$B1004,"Cash Advance",Expenses!$J5:$J1004,$B$3,Expenses!$E5:$E1004,$A80))</f>
        <v/>
      </c>
      <c r="I80" s="184">
        <f>IF($A80="","",SUMIFS(Expenses!$F5:$F1004,Expenses!$B5:$B1004,"Payroll Payout",Expenses!$J5:$J1004,$B$3,Expenses!$E5:$E1004,$A80))</f>
        <v/>
      </c>
      <c r="J80" s="193">
        <f>IF($A80="","",$E80+$F80+$G80-$H80-$I80)</f>
        <v/>
      </c>
    </row>
    <row r="81">
      <c r="A81" s="190">
        <f>IF(Setup!$A82="","",Setup!$A82)</f>
        <v/>
      </c>
      <c r="B81" s="190">
        <f>IF($A81="","",Setup!$B82)</f>
        <v/>
      </c>
      <c r="C81" s="191">
        <f>IF($A81="","",COUNTIFS(Trips!$Z5:$Z1004,$B$3,Trips!$D5:$D1004,$A81)+COUNTIFS(Trips!$Z5:$Z1004,$B$3,Trips!$E5:$E1004,$A81))</f>
        <v/>
      </c>
      <c r="D81" s="184">
        <f>IF($A81="","",SUMIFS(Trips!$K5:$K1004,Trips!$Z5:$Z1004,$B$3,Trips!$D5:$D1004,$A81)+SUMIFS(Trips!$K5:$K1004,Trips!$Z5:$Z1004,$B$3,Trips!$E5:$E1004,$A81))</f>
        <v/>
      </c>
      <c r="E81" s="184">
        <f>IF($A81="","",SUMIFS(Trips!$N5:$N1004,Trips!$Z5:$Z1004,$B$3,Trips!$D5:$D1004,$A81)+SUMIFS(Trips!$O5:$O1004,Trips!$Z5:$Z1004,$B$3,Trips!$E5:$E1004,$A81))</f>
        <v/>
      </c>
      <c r="F81" s="184">
        <f>IF($A81="","",SUMIFS(Trips!$P5:$P1004,Trips!$Z5:$Z1004,$B$3,Trips!$D5:$D1004,$A81))</f>
        <v/>
      </c>
      <c r="G81" s="184">
        <f>IF($A81="","",SUMIFS(Trips!$Q5:$Q1004,Trips!$Z5:$Z1004,$B$3,Trips!$D5:$D1004,$A81))</f>
        <v/>
      </c>
      <c r="H81" s="184">
        <f>IF($A81="","",SUMIFS(Expenses!$F5:$F1004,Expenses!$B5:$B1004,"Cash Advance",Expenses!$J5:$J1004,$B$3,Expenses!$E5:$E1004,$A81))</f>
        <v/>
      </c>
      <c r="I81" s="184">
        <f>IF($A81="","",SUMIFS(Expenses!$F5:$F1004,Expenses!$B5:$B1004,"Payroll Payout",Expenses!$J5:$J1004,$B$3,Expenses!$E5:$E1004,$A81))</f>
        <v/>
      </c>
      <c r="J81" s="193">
        <f>IF($A81="","",$E81+$F81+$G81-$H81-$I81)</f>
        <v/>
      </c>
    </row>
    <row r="82">
      <c r="A82" s="190">
        <f>IF(Setup!$A83="","",Setup!$A83)</f>
        <v/>
      </c>
      <c r="B82" s="190">
        <f>IF($A82="","",Setup!$B83)</f>
        <v/>
      </c>
      <c r="C82" s="191">
        <f>IF($A82="","",COUNTIFS(Trips!$Z5:$Z1004,$B$3,Trips!$D5:$D1004,$A82)+COUNTIFS(Trips!$Z5:$Z1004,$B$3,Trips!$E5:$E1004,$A82))</f>
        <v/>
      </c>
      <c r="D82" s="184">
        <f>IF($A82="","",SUMIFS(Trips!$K5:$K1004,Trips!$Z5:$Z1004,$B$3,Trips!$D5:$D1004,$A82)+SUMIFS(Trips!$K5:$K1004,Trips!$Z5:$Z1004,$B$3,Trips!$E5:$E1004,$A82))</f>
        <v/>
      </c>
      <c r="E82" s="184">
        <f>IF($A82="","",SUMIFS(Trips!$N5:$N1004,Trips!$Z5:$Z1004,$B$3,Trips!$D5:$D1004,$A82)+SUMIFS(Trips!$O5:$O1004,Trips!$Z5:$Z1004,$B$3,Trips!$E5:$E1004,$A82))</f>
        <v/>
      </c>
      <c r="F82" s="184">
        <f>IF($A82="","",SUMIFS(Trips!$P5:$P1004,Trips!$Z5:$Z1004,$B$3,Trips!$D5:$D1004,$A82))</f>
        <v/>
      </c>
      <c r="G82" s="184">
        <f>IF($A82="","",SUMIFS(Trips!$Q5:$Q1004,Trips!$Z5:$Z1004,$B$3,Trips!$D5:$D1004,$A82))</f>
        <v/>
      </c>
      <c r="H82" s="184">
        <f>IF($A82="","",SUMIFS(Expenses!$F5:$F1004,Expenses!$B5:$B1004,"Cash Advance",Expenses!$J5:$J1004,$B$3,Expenses!$E5:$E1004,$A82))</f>
        <v/>
      </c>
      <c r="I82" s="184">
        <f>IF($A82="","",SUMIFS(Expenses!$F5:$F1004,Expenses!$B5:$B1004,"Payroll Payout",Expenses!$J5:$J1004,$B$3,Expenses!$E5:$E1004,$A82))</f>
        <v/>
      </c>
      <c r="J82" s="193">
        <f>IF($A82="","",$E82+$F82+$G82-$H82-$I82)</f>
        <v/>
      </c>
    </row>
    <row r="83">
      <c r="A83" s="190">
        <f>IF(Setup!$A84="","",Setup!$A84)</f>
        <v/>
      </c>
      <c r="B83" s="190">
        <f>IF($A83="","",Setup!$B84)</f>
        <v/>
      </c>
      <c r="C83" s="191">
        <f>IF($A83="","",COUNTIFS(Trips!$Z5:$Z1004,$B$3,Trips!$D5:$D1004,$A83)+COUNTIFS(Trips!$Z5:$Z1004,$B$3,Trips!$E5:$E1004,$A83))</f>
        <v/>
      </c>
      <c r="D83" s="184">
        <f>IF($A83="","",SUMIFS(Trips!$K5:$K1004,Trips!$Z5:$Z1004,$B$3,Trips!$D5:$D1004,$A83)+SUMIFS(Trips!$K5:$K1004,Trips!$Z5:$Z1004,$B$3,Trips!$E5:$E1004,$A83))</f>
        <v/>
      </c>
      <c r="E83" s="184">
        <f>IF($A83="","",SUMIFS(Trips!$N5:$N1004,Trips!$Z5:$Z1004,$B$3,Trips!$D5:$D1004,$A83)+SUMIFS(Trips!$O5:$O1004,Trips!$Z5:$Z1004,$B$3,Trips!$E5:$E1004,$A83))</f>
        <v/>
      </c>
      <c r="F83" s="184">
        <f>IF($A83="","",SUMIFS(Trips!$P5:$P1004,Trips!$Z5:$Z1004,$B$3,Trips!$D5:$D1004,$A83))</f>
        <v/>
      </c>
      <c r="G83" s="184">
        <f>IF($A83="","",SUMIFS(Trips!$Q5:$Q1004,Trips!$Z5:$Z1004,$B$3,Trips!$D5:$D1004,$A83))</f>
        <v/>
      </c>
      <c r="H83" s="184">
        <f>IF($A83="","",SUMIFS(Expenses!$F5:$F1004,Expenses!$B5:$B1004,"Cash Advance",Expenses!$J5:$J1004,$B$3,Expenses!$E5:$E1004,$A83))</f>
        <v/>
      </c>
      <c r="I83" s="184">
        <f>IF($A83="","",SUMIFS(Expenses!$F5:$F1004,Expenses!$B5:$B1004,"Payroll Payout",Expenses!$J5:$J1004,$B$3,Expenses!$E5:$E1004,$A83))</f>
        <v/>
      </c>
      <c r="J83" s="193">
        <f>IF($A83="","",$E83+$F83+$G83-$H83-$I83)</f>
        <v/>
      </c>
    </row>
    <row r="84">
      <c r="A84" s="190">
        <f>IF(Setup!$A85="","",Setup!$A85)</f>
        <v/>
      </c>
      <c r="B84" s="190">
        <f>IF($A84="","",Setup!$B85)</f>
        <v/>
      </c>
      <c r="C84" s="191">
        <f>IF($A84="","",COUNTIFS(Trips!$Z5:$Z1004,$B$3,Trips!$D5:$D1004,$A84)+COUNTIFS(Trips!$Z5:$Z1004,$B$3,Trips!$E5:$E1004,$A84))</f>
        <v/>
      </c>
      <c r="D84" s="184">
        <f>IF($A84="","",SUMIFS(Trips!$K5:$K1004,Trips!$Z5:$Z1004,$B$3,Trips!$D5:$D1004,$A84)+SUMIFS(Trips!$K5:$K1004,Trips!$Z5:$Z1004,$B$3,Trips!$E5:$E1004,$A84))</f>
        <v/>
      </c>
      <c r="E84" s="184">
        <f>IF($A84="","",SUMIFS(Trips!$N5:$N1004,Trips!$Z5:$Z1004,$B$3,Trips!$D5:$D1004,$A84)+SUMIFS(Trips!$O5:$O1004,Trips!$Z5:$Z1004,$B$3,Trips!$E5:$E1004,$A84))</f>
        <v/>
      </c>
      <c r="F84" s="184">
        <f>IF($A84="","",SUMIFS(Trips!$P5:$P1004,Trips!$Z5:$Z1004,$B$3,Trips!$D5:$D1004,$A84))</f>
        <v/>
      </c>
      <c r="G84" s="184">
        <f>IF($A84="","",SUMIFS(Trips!$Q5:$Q1004,Trips!$Z5:$Z1004,$B$3,Trips!$D5:$D1004,$A84))</f>
        <v/>
      </c>
      <c r="H84" s="184">
        <f>IF($A84="","",SUMIFS(Expenses!$F5:$F1004,Expenses!$B5:$B1004,"Cash Advance",Expenses!$J5:$J1004,$B$3,Expenses!$E5:$E1004,$A84))</f>
        <v/>
      </c>
      <c r="I84" s="184">
        <f>IF($A84="","",SUMIFS(Expenses!$F5:$F1004,Expenses!$B5:$B1004,"Payroll Payout",Expenses!$J5:$J1004,$B$3,Expenses!$E5:$E1004,$A84))</f>
        <v/>
      </c>
      <c r="J84" s="193">
        <f>IF($A84="","",$E84+$F84+$G84-$H84-$I84)</f>
        <v/>
      </c>
    </row>
    <row r="85">
      <c r="A85" s="190">
        <f>IF(Setup!$A86="","",Setup!$A86)</f>
        <v/>
      </c>
      <c r="B85" s="190">
        <f>IF($A85="","",Setup!$B86)</f>
        <v/>
      </c>
      <c r="C85" s="191">
        <f>IF($A85="","",COUNTIFS(Trips!$Z5:$Z1004,$B$3,Trips!$D5:$D1004,$A85)+COUNTIFS(Trips!$Z5:$Z1004,$B$3,Trips!$E5:$E1004,$A85))</f>
        <v/>
      </c>
      <c r="D85" s="184">
        <f>IF($A85="","",SUMIFS(Trips!$K5:$K1004,Trips!$Z5:$Z1004,$B$3,Trips!$D5:$D1004,$A85)+SUMIFS(Trips!$K5:$K1004,Trips!$Z5:$Z1004,$B$3,Trips!$E5:$E1004,$A85))</f>
        <v/>
      </c>
      <c r="E85" s="184">
        <f>IF($A85="","",SUMIFS(Trips!$N5:$N1004,Trips!$Z5:$Z1004,$B$3,Trips!$D5:$D1004,$A85)+SUMIFS(Trips!$O5:$O1004,Trips!$Z5:$Z1004,$B$3,Trips!$E5:$E1004,$A85))</f>
        <v/>
      </c>
      <c r="F85" s="184">
        <f>IF($A85="","",SUMIFS(Trips!$P5:$P1004,Trips!$Z5:$Z1004,$B$3,Trips!$D5:$D1004,$A85))</f>
        <v/>
      </c>
      <c r="G85" s="184">
        <f>IF($A85="","",SUMIFS(Trips!$Q5:$Q1004,Trips!$Z5:$Z1004,$B$3,Trips!$D5:$D1004,$A85))</f>
        <v/>
      </c>
      <c r="H85" s="184">
        <f>IF($A85="","",SUMIFS(Expenses!$F5:$F1004,Expenses!$B5:$B1004,"Cash Advance",Expenses!$J5:$J1004,$B$3,Expenses!$E5:$E1004,$A85))</f>
        <v/>
      </c>
      <c r="I85" s="184">
        <f>IF($A85="","",SUMIFS(Expenses!$F5:$F1004,Expenses!$B5:$B1004,"Payroll Payout",Expenses!$J5:$J1004,$B$3,Expenses!$E5:$E1004,$A85))</f>
        <v/>
      </c>
      <c r="J85" s="193">
        <f>IF($A85="","",$E85+$F85+$G85-$H85-$I85)</f>
        <v/>
      </c>
    </row>
    <row r="86">
      <c r="A86" s="190">
        <f>IF(Setup!$A87="","",Setup!$A87)</f>
        <v/>
      </c>
      <c r="B86" s="190">
        <f>IF($A86="","",Setup!$B87)</f>
        <v/>
      </c>
      <c r="C86" s="191">
        <f>IF($A86="","",COUNTIFS(Trips!$Z5:$Z1004,$B$3,Trips!$D5:$D1004,$A86)+COUNTIFS(Trips!$Z5:$Z1004,$B$3,Trips!$E5:$E1004,$A86))</f>
        <v/>
      </c>
      <c r="D86" s="184">
        <f>IF($A86="","",SUMIFS(Trips!$K5:$K1004,Trips!$Z5:$Z1004,$B$3,Trips!$D5:$D1004,$A86)+SUMIFS(Trips!$K5:$K1004,Trips!$Z5:$Z1004,$B$3,Trips!$E5:$E1004,$A86))</f>
        <v/>
      </c>
      <c r="E86" s="184">
        <f>IF($A86="","",SUMIFS(Trips!$N5:$N1004,Trips!$Z5:$Z1004,$B$3,Trips!$D5:$D1004,$A86)+SUMIFS(Trips!$O5:$O1004,Trips!$Z5:$Z1004,$B$3,Trips!$E5:$E1004,$A86))</f>
        <v/>
      </c>
      <c r="F86" s="184">
        <f>IF($A86="","",SUMIFS(Trips!$P5:$P1004,Trips!$Z5:$Z1004,$B$3,Trips!$D5:$D1004,$A86))</f>
        <v/>
      </c>
      <c r="G86" s="184">
        <f>IF($A86="","",SUMIFS(Trips!$Q5:$Q1004,Trips!$Z5:$Z1004,$B$3,Trips!$D5:$D1004,$A86))</f>
        <v/>
      </c>
      <c r="H86" s="184">
        <f>IF($A86="","",SUMIFS(Expenses!$F5:$F1004,Expenses!$B5:$B1004,"Cash Advance",Expenses!$J5:$J1004,$B$3,Expenses!$E5:$E1004,$A86))</f>
        <v/>
      </c>
      <c r="I86" s="184">
        <f>IF($A86="","",SUMIFS(Expenses!$F5:$F1004,Expenses!$B5:$B1004,"Payroll Payout",Expenses!$J5:$J1004,$B$3,Expenses!$E5:$E1004,$A86))</f>
        <v/>
      </c>
      <c r="J86" s="193">
        <f>IF($A86="","",$E86+$F86+$G86-$H86-$I86)</f>
        <v/>
      </c>
    </row>
    <row r="89">
      <c r="A89" s="180" t="inlineStr">
        <is>
          <t>EXPENSES BY COST GROUP (selected month)</t>
        </is>
      </c>
    </row>
    <row r="90">
      <c r="A90" s="196" t="inlineStr">
        <is>
          <t>GROUP</t>
        </is>
      </c>
      <c r="B90" s="196" t="inlineStr">
        <is>
          <t>AMOUNT</t>
        </is>
      </c>
    </row>
    <row r="91">
      <c r="A91" s="190" t="inlineStr">
        <is>
          <t>Vehicle</t>
        </is>
      </c>
      <c r="B91" s="184">
        <f>IF($B$4="All",SUMIFS(Expenses!$F5:$F1004,Expenses!$J5:$J1004,$B$3,Expenses!$I5:$I1004,$A91),SUMIFS(Expenses!$F5:$F1004,Expenses!$J5:$J1004,$B$3,Expenses!$I5:$I1004,$A91,Expenses!$D5:$D1004,$B$4))</f>
        <v/>
      </c>
    </row>
    <row r="92">
      <c r="A92" s="190" t="inlineStr">
        <is>
          <t>Financing</t>
        </is>
      </c>
      <c r="B92" s="184">
        <f>IF($B$4="All",SUMIFS(Expenses!$F5:$F1004,Expenses!$J5:$J1004,$B$3,Expenses!$I5:$I1004,$A92),SUMIFS(Expenses!$F5:$F1004,Expenses!$J5:$J1004,$B$3,Expenses!$I5:$I1004,$A92,Expenses!$D5:$D1004,$B$4))</f>
        <v/>
      </c>
    </row>
    <row r="93">
      <c r="A93" s="190" t="inlineStr">
        <is>
          <t>Transfer</t>
        </is>
      </c>
      <c r="B93" s="184">
        <f>IF($B$4="All",SUMIFS(Expenses!$F5:$F1004,Expenses!$J5:$J1004,$B$3,Expenses!$I5:$I1004,$A93),SUMIFS(Expenses!$F5:$F1004,Expenses!$J5:$J1004,$B$3,Expenses!$I5:$I1004,$A93,Expenses!$D5:$D1004,$B$4))</f>
        <v/>
      </c>
    </row>
    <row r="94">
      <c r="A94" s="190" t="inlineStr">
        <is>
          <t>Overhead</t>
        </is>
      </c>
      <c r="B94" s="184">
        <f>IF($B$4="All",SUMIFS(Expenses!$F5:$F1004,Expenses!$J5:$J1004,$B$3,Expenses!$I5:$I1004,$A94),SUMIFS(Expenses!$F5:$F1004,Expenses!$J5:$J1004,$B$3,Expenses!$I5:$I1004,$A94,Expenses!$D5:$D1004,$B$4))</f>
        <v/>
      </c>
    </row>
    <row r="95">
      <c r="A95" s="190" t="inlineStr">
        <is>
          <t>Other</t>
        </is>
      </c>
      <c r="B95" s="184">
        <f>IF($B$4="All",SUMIFS(Expenses!$F5:$F1004,Expenses!$J5:$J1004,$B$3,Expenses!$I5:$I1004,$A95),SUMIFS(Expenses!$F5:$F1004,Expenses!$J5:$J1004,$B$3,Expenses!$I5:$I1004,$A95,Expenses!$D5:$D1004,$B$4))</f>
        <v/>
      </c>
    </row>
    <row r="97">
      <c r="A97" s="203" t="inlineStr">
        <is>
          <t>TOTAL BOOKED EXPENSES</t>
        </is>
      </c>
      <c r="B97" s="193">
        <f>SUM(B91:B95)</f>
        <v/>
      </c>
    </row>
    <row r="98">
      <c r="A98" s="204" t="inlineStr">
        <is>
          <t>Loan totals</t>
        </is>
      </c>
      <c r="B98" s="193">
        <f>SUM(Setup!$I$133:$I$138)</f>
        <v/>
      </c>
      <c r="C98" s="92" t="inlineStr">
        <is>
          <t>monthly amortisation</t>
        </is>
      </c>
    </row>
    <row r="99">
      <c r="A99" s="204" t="inlineStr">
        <is>
          <t>Loan balance</t>
        </is>
      </c>
      <c r="B99" s="193">
        <f>SUM(Setup!$K$133:$K$138)</f>
        <v/>
      </c>
      <c r="C99" s="92" t="inlineStr">
        <is>
          <t>remaining principal</t>
        </is>
      </c>
    </row>
    <row r="100">
      <c r="A100" s="204" t="inlineStr">
        <is>
          <t>Loan obligation</t>
        </is>
      </c>
      <c r="B100" s="193">
        <f>SUM(Setup!$L$133:$L$138)</f>
        <v/>
      </c>
      <c r="C100" s="92" t="inlineStr">
        <is>
          <t>cash still to be produced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J&amp;Z Trucking</dc:creator>
  <dc:title>J&amp;Z Trucking Command Center</dc:title>
  <dc:subject>Trip profitability, expenses, payroll and loan tracking (Philippines)</dc:subject>
  <dcterms:created xsi:type="dcterms:W3CDTF">2026-10-21T05:44:10Z</dcterms:created>
  <dcterms:modified xsi:type="dcterms:W3CDTF">2026-10-21T05:44:14Z</dcterms:modified>
  <cp:keywords>trucking, P&amp;L, payroll, loans, Philippines, dashboard</cp:keywords>
</cp:coreProperties>
</file>